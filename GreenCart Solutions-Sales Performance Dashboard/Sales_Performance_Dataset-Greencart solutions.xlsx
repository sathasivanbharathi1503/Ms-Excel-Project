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hidePivotFieldList="1" defaultThemeVersion="124226"/>
  <mc:AlternateContent xmlns:mc="http://schemas.openxmlformats.org/markup-compatibility/2006">
    <mc:Choice Requires="x15">
      <x15ac:absPath xmlns:x15ac="http://schemas.microsoft.com/office/spreadsheetml/2010/11/ac" url="C:\Users\SELVABHARATHI\Downloads\"/>
    </mc:Choice>
  </mc:AlternateContent>
  <xr:revisionPtr revIDLastSave="0" documentId="13_ncr:1_{C2B02F81-48E9-4B02-B05C-D8FEBBB2D3F4}" xr6:coauthVersionLast="45" xr6:coauthVersionMax="45" xr10:uidLastSave="{00000000-0000-0000-0000-000000000000}"/>
  <bookViews>
    <workbookView xWindow="-108" yWindow="-108" windowWidth="23256" windowHeight="12456" activeTab="4" xr2:uid="{00000000-000D-0000-FFFF-FFFF00000000}"/>
  </bookViews>
  <sheets>
    <sheet name="Raw Data" sheetId="1" r:id="rId1"/>
    <sheet name="Cleaned Data" sheetId="2" r:id="rId2"/>
    <sheet name="Pivot _analysis" sheetId="6" r:id="rId3"/>
    <sheet name="KPI Summary" sheetId="3" r:id="rId4"/>
    <sheet name="Dashboard" sheetId="5" r:id="rId5"/>
  </sheets>
  <definedNames>
    <definedName name="Slicer_Category">#N/A</definedName>
    <definedName name="Slicer_Region">#N/A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W1816" i="2" l="1"/>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7" i="2"/>
  <c r="W1818" i="2"/>
  <c r="W1819" i="2"/>
  <c r="W1820" i="2"/>
  <c r="W1821" i="2"/>
  <c r="W1822" i="2"/>
  <c r="W2" i="2"/>
  <c r="V194" i="2"/>
  <c r="V434" i="2"/>
  <c r="V607" i="2"/>
  <c r="V615" i="2"/>
  <c r="V1237" i="2"/>
  <c r="V1309" i="2"/>
  <c r="V1373" i="2"/>
  <c r="V1423" i="2"/>
  <c r="V1508" i="2"/>
  <c r="V1557" i="2"/>
  <c r="V1660" i="2"/>
  <c r="V1700" i="2"/>
  <c r="V1732" i="2"/>
  <c r="V1765" i="2"/>
  <c r="V7" i="2"/>
  <c r="V29" i="2"/>
  <c r="U50" i="2"/>
  <c r="V64" i="2"/>
  <c r="U66" i="2"/>
  <c r="V112" i="2"/>
  <c r="U114" i="2"/>
  <c r="U130" i="2"/>
  <c r="U178" i="2"/>
  <c r="U194" i="2"/>
  <c r="U242" i="2"/>
  <c r="U258" i="2"/>
  <c r="U306" i="2"/>
  <c r="U322" i="2"/>
  <c r="U370" i="2"/>
  <c r="V376" i="2"/>
  <c r="U386" i="2"/>
  <c r="V432" i="2"/>
  <c r="U434" i="2"/>
  <c r="U450" i="2"/>
  <c r="V464" i="2"/>
  <c r="U485" i="2"/>
  <c r="U494" i="2"/>
  <c r="U495" i="2"/>
  <c r="V544" i="2"/>
  <c r="U578" i="2"/>
  <c r="U579" i="2"/>
  <c r="V592" i="2"/>
  <c r="U607" i="2"/>
  <c r="U615" i="2"/>
  <c r="V640" i="2"/>
  <c r="U687" i="2"/>
  <c r="U783" i="2"/>
  <c r="V840" i="2"/>
  <c r="U848" i="2"/>
  <c r="U872" i="2"/>
  <c r="U879" i="2"/>
  <c r="V920" i="2"/>
  <c r="U925" i="2"/>
  <c r="U927" i="2"/>
  <c r="U943" i="2"/>
  <c r="U981" i="2"/>
  <c r="U985" i="2"/>
  <c r="U1017" i="2"/>
  <c r="V1024" i="2"/>
  <c r="U1029" i="2"/>
  <c r="U1077" i="2"/>
  <c r="U1109" i="2"/>
  <c r="U1157" i="2"/>
  <c r="U1205" i="2"/>
  <c r="U1237" i="2"/>
  <c r="U1270" i="2"/>
  <c r="U1278" i="2"/>
  <c r="U1302" i="2"/>
  <c r="U1309" i="2"/>
  <c r="U1324" i="2"/>
  <c r="U1325" i="2"/>
  <c r="U1330" i="2"/>
  <c r="U1346" i="2"/>
  <c r="U1366" i="2"/>
  <c r="U1373" i="2"/>
  <c r="U1388" i="2"/>
  <c r="U1389" i="2"/>
  <c r="U1394" i="2"/>
  <c r="U1407" i="2"/>
  <c r="U1412" i="2"/>
  <c r="U1423" i="2"/>
  <c r="U1428" i="2"/>
  <c r="U1439" i="2"/>
  <c r="U1444" i="2"/>
  <c r="U1455" i="2"/>
  <c r="U1460" i="2"/>
  <c r="U1471" i="2"/>
  <c r="U1476" i="2"/>
  <c r="U1487" i="2"/>
  <c r="U1492" i="2"/>
  <c r="U1503" i="2"/>
  <c r="U1508" i="2"/>
  <c r="U1509" i="2"/>
  <c r="U1524" i="2"/>
  <c r="U1525" i="2"/>
  <c r="U1528" i="2"/>
  <c r="U1540" i="2"/>
  <c r="U1541" i="2"/>
  <c r="U1556" i="2"/>
  <c r="U1557" i="2"/>
  <c r="U1572" i="2"/>
  <c r="U1573" i="2"/>
  <c r="U1588" i="2"/>
  <c r="U1589" i="2"/>
  <c r="U1604" i="2"/>
  <c r="U1605" i="2"/>
  <c r="U1620" i="2"/>
  <c r="U1621" i="2"/>
  <c r="U1636" i="2"/>
  <c r="U1637" i="2"/>
  <c r="U1652" i="2"/>
  <c r="U1660" i="2"/>
  <c r="U1661" i="2"/>
  <c r="U1668" i="2"/>
  <c r="U1676" i="2"/>
  <c r="U1677" i="2"/>
  <c r="U1685" i="2"/>
  <c r="U1693" i="2"/>
  <c r="U1700" i="2"/>
  <c r="U1701" i="2"/>
  <c r="U1709" i="2"/>
  <c r="U1713" i="2"/>
  <c r="U1716" i="2"/>
  <c r="U1724" i="2"/>
  <c r="U1732" i="2"/>
  <c r="U1733" i="2"/>
  <c r="U1741" i="2"/>
  <c r="U1748" i="2"/>
  <c r="U1756" i="2"/>
  <c r="U1764" i="2"/>
  <c r="U1765" i="2"/>
  <c r="U1773" i="2"/>
  <c r="U1780" i="2"/>
  <c r="U1785" i="2"/>
  <c r="U1788" i="2"/>
  <c r="U1796" i="2"/>
  <c r="U1797" i="2"/>
  <c r="U1805" i="2"/>
  <c r="U1812" i="2"/>
  <c r="U1820" i="2"/>
  <c r="U2" i="2"/>
  <c r="V370" i="2"/>
  <c r="V477" i="2"/>
  <c r="V485" i="2"/>
  <c r="V878" i="2"/>
  <c r="V1324" i="2"/>
  <c r="V1460" i="2"/>
  <c r="V1471" i="2"/>
  <c r="V1556" i="2"/>
  <c r="V1605" i="2"/>
  <c r="V1636" i="2"/>
  <c r="V1676" i="2"/>
  <c r="V1677" i="2"/>
  <c r="V1716" i="2"/>
  <c r="V1733" i="2"/>
  <c r="V1748" i="2"/>
  <c r="V6" i="2"/>
  <c r="V8" i="2"/>
  <c r="V30" i="2"/>
  <c r="V50" i="2"/>
  <c r="V66" i="2"/>
  <c r="V96" i="2"/>
  <c r="V130" i="2"/>
  <c r="V133" i="2"/>
  <c r="V176" i="2"/>
  <c r="V178" i="2"/>
  <c r="V272" i="2"/>
  <c r="V322" i="2"/>
  <c r="V5" i="2"/>
  <c r="U5" i="2"/>
  <c r="U6" i="2"/>
  <c r="U7" i="2"/>
  <c r="U8" i="2"/>
  <c r="U29" i="2"/>
  <c r="U30" i="2"/>
  <c r="U64" i="2"/>
  <c r="U96" i="2"/>
  <c r="U112" i="2"/>
  <c r="U133" i="2"/>
  <c r="U176" i="2"/>
  <c r="U272" i="2"/>
  <c r="U376" i="2"/>
  <c r="U432" i="2"/>
  <c r="U464" i="2"/>
  <c r="U477" i="2"/>
  <c r="U544" i="2"/>
  <c r="U592" i="2"/>
  <c r="U640" i="2"/>
  <c r="U840" i="2"/>
  <c r="U878" i="2"/>
  <c r="U920" i="2"/>
  <c r="U1024"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2" i="2"/>
  <c r="B6" i="3"/>
  <c r="B5" i="3"/>
  <c r="B3" i="3"/>
  <c r="B4" i="3"/>
  <c r="B7" i="3"/>
  <c r="U1816" i="2" l="1"/>
  <c r="V1816" i="2"/>
  <c r="U1808" i="2"/>
  <c r="V1808" i="2"/>
  <c r="U1800" i="2"/>
  <c r="V1800" i="2"/>
  <c r="U1792" i="2"/>
  <c r="V1792" i="2"/>
  <c r="U1784" i="2"/>
  <c r="V1784" i="2"/>
  <c r="U1776" i="2"/>
  <c r="V1776" i="2"/>
  <c r="U1768" i="2"/>
  <c r="V1768" i="2"/>
  <c r="U1760" i="2"/>
  <c r="V1760" i="2"/>
  <c r="U1752" i="2"/>
  <c r="V1752" i="2"/>
  <c r="U1744" i="2"/>
  <c r="V1744" i="2"/>
  <c r="U1736" i="2"/>
  <c r="V1736" i="2"/>
  <c r="U1728" i="2"/>
  <c r="V1728" i="2"/>
  <c r="U1720" i="2"/>
  <c r="V1720" i="2"/>
  <c r="U1712" i="2"/>
  <c r="V1712" i="2"/>
  <c r="U1704" i="2"/>
  <c r="V1704" i="2"/>
  <c r="U1696" i="2"/>
  <c r="V1696" i="2"/>
  <c r="U1688" i="2"/>
  <c r="V1688" i="2"/>
  <c r="U1680" i="2"/>
  <c r="V1680" i="2"/>
  <c r="U1672" i="2"/>
  <c r="V1672" i="2"/>
  <c r="U1664" i="2"/>
  <c r="V1664" i="2"/>
  <c r="U1656" i="2"/>
  <c r="V1656" i="2"/>
  <c r="U1648" i="2"/>
  <c r="V1648" i="2"/>
  <c r="U1640" i="2"/>
  <c r="V1640" i="2"/>
  <c r="U1632" i="2"/>
  <c r="V1632" i="2"/>
  <c r="U1624" i="2"/>
  <c r="V1624" i="2"/>
  <c r="U1616" i="2"/>
  <c r="V1616" i="2"/>
  <c r="U1608" i="2"/>
  <c r="V1608" i="2"/>
  <c r="U1600" i="2"/>
  <c r="V1600" i="2"/>
  <c r="U1592" i="2"/>
  <c r="V1592" i="2"/>
  <c r="U1584" i="2"/>
  <c r="V1584" i="2"/>
  <c r="U1576" i="2"/>
  <c r="V1576" i="2"/>
  <c r="U1568" i="2"/>
  <c r="V1568" i="2"/>
  <c r="U1560" i="2"/>
  <c r="V1560" i="2"/>
  <c r="U1552" i="2"/>
  <c r="V1552" i="2"/>
  <c r="U1544" i="2"/>
  <c r="V1544" i="2"/>
  <c r="U1536" i="2"/>
  <c r="V1536" i="2"/>
  <c r="U1520" i="2"/>
  <c r="V1520" i="2"/>
  <c r="U1512" i="2"/>
  <c r="V1512" i="2"/>
  <c r="U1504" i="2"/>
  <c r="V1504" i="2"/>
  <c r="U1496" i="2"/>
  <c r="V1496" i="2"/>
  <c r="U1488" i="2"/>
  <c r="V1488" i="2"/>
  <c r="U1480" i="2"/>
  <c r="V1480" i="2"/>
  <c r="U1472" i="2"/>
  <c r="V1472" i="2"/>
  <c r="U1464" i="2"/>
  <c r="V1464" i="2"/>
  <c r="U1456" i="2"/>
  <c r="V1456" i="2"/>
  <c r="U1448" i="2"/>
  <c r="V1448" i="2"/>
  <c r="U1440" i="2"/>
  <c r="V1440" i="2"/>
  <c r="U1432" i="2"/>
  <c r="V1432" i="2"/>
  <c r="U1424" i="2"/>
  <c r="V1424" i="2"/>
  <c r="U1416" i="2"/>
  <c r="V1416" i="2"/>
  <c r="U1408" i="2"/>
  <c r="V1408" i="2"/>
  <c r="U1400" i="2"/>
  <c r="V1400" i="2"/>
  <c r="U1392" i="2"/>
  <c r="V1392" i="2"/>
  <c r="U1384" i="2"/>
  <c r="V1384" i="2"/>
  <c r="U1376" i="2"/>
  <c r="V1376" i="2"/>
  <c r="U1368" i="2"/>
  <c r="V1368" i="2"/>
  <c r="U1360" i="2"/>
  <c r="V1360" i="2"/>
  <c r="U1352" i="2"/>
  <c r="V1352" i="2"/>
  <c r="U1344" i="2"/>
  <c r="V1344" i="2"/>
  <c r="U1336" i="2"/>
  <c r="V1336" i="2"/>
  <c r="U1328" i="2"/>
  <c r="V1328" i="2"/>
  <c r="U1320" i="2"/>
  <c r="V1320" i="2"/>
  <c r="U1312" i="2"/>
  <c r="V1312" i="2"/>
  <c r="U1304" i="2"/>
  <c r="V1304" i="2"/>
  <c r="U1296" i="2"/>
  <c r="V1296" i="2"/>
  <c r="U1288" i="2"/>
  <c r="V1288" i="2"/>
  <c r="U1280" i="2"/>
  <c r="V1280" i="2"/>
  <c r="U1272" i="2"/>
  <c r="V1272" i="2"/>
  <c r="U1264" i="2"/>
  <c r="V1264" i="2"/>
  <c r="U1256" i="2"/>
  <c r="V1256" i="2"/>
  <c r="U1248" i="2"/>
  <c r="V1248" i="2"/>
  <c r="U1240" i="2"/>
  <c r="V1240" i="2"/>
  <c r="U1232" i="2"/>
  <c r="V1232" i="2"/>
  <c r="U1224" i="2"/>
  <c r="V1224" i="2"/>
  <c r="U1216" i="2"/>
  <c r="V1216" i="2"/>
  <c r="U1208" i="2"/>
  <c r="V1208" i="2"/>
  <c r="U1200" i="2"/>
  <c r="V1200" i="2"/>
  <c r="U1192" i="2"/>
  <c r="V1192" i="2"/>
  <c r="U1184" i="2"/>
  <c r="V1184" i="2"/>
  <c r="U1176" i="2"/>
  <c r="V1176" i="2"/>
  <c r="U1168" i="2"/>
  <c r="V1168" i="2"/>
  <c r="U1160" i="2"/>
  <c r="V1160" i="2"/>
  <c r="U1152" i="2"/>
  <c r="V1152" i="2"/>
  <c r="U1144" i="2"/>
  <c r="V1144" i="2"/>
  <c r="U1136" i="2"/>
  <c r="V1136" i="2"/>
  <c r="U1128" i="2"/>
  <c r="V1128" i="2"/>
  <c r="U1120" i="2"/>
  <c r="V1120" i="2"/>
  <c r="U1112" i="2"/>
  <c r="V1112" i="2"/>
  <c r="U1104" i="2"/>
  <c r="V1104" i="2"/>
  <c r="U1096" i="2"/>
  <c r="V1096" i="2"/>
  <c r="U1088" i="2"/>
  <c r="V1088" i="2"/>
  <c r="U1080" i="2"/>
  <c r="V1080" i="2"/>
  <c r="U1072" i="2"/>
  <c r="V1072" i="2"/>
  <c r="U1064" i="2"/>
  <c r="V1064" i="2"/>
  <c r="U1056" i="2"/>
  <c r="V1056" i="2"/>
  <c r="U1815" i="2"/>
  <c r="V1815" i="2"/>
  <c r="U1807" i="2"/>
  <c r="V1807" i="2"/>
  <c r="U1799" i="2"/>
  <c r="V1799" i="2"/>
  <c r="U1791" i="2"/>
  <c r="V1791" i="2"/>
  <c r="U1783" i="2"/>
  <c r="V1783" i="2"/>
  <c r="U1775" i="2"/>
  <c r="V1775" i="2"/>
  <c r="U1767" i="2"/>
  <c r="V1767" i="2"/>
  <c r="U1759" i="2"/>
  <c r="V1759" i="2"/>
  <c r="U1751" i="2"/>
  <c r="V1751" i="2"/>
  <c r="U1743" i="2"/>
  <c r="V1743" i="2"/>
  <c r="U1735" i="2"/>
  <c r="V1735" i="2"/>
  <c r="U1727" i="2"/>
  <c r="V1727" i="2"/>
  <c r="U1719" i="2"/>
  <c r="V1719" i="2"/>
  <c r="U1711" i="2"/>
  <c r="V1711" i="2"/>
  <c r="U1703" i="2"/>
  <c r="V1703" i="2"/>
  <c r="U1695" i="2"/>
  <c r="V1695" i="2"/>
  <c r="U1687" i="2"/>
  <c r="V1687" i="2"/>
  <c r="U1679" i="2"/>
  <c r="V1679" i="2"/>
  <c r="U1671" i="2"/>
  <c r="V1671" i="2"/>
  <c r="U1663" i="2"/>
  <c r="V1663" i="2"/>
  <c r="U1655" i="2"/>
  <c r="V1655" i="2"/>
  <c r="U1647" i="2"/>
  <c r="V1647" i="2"/>
  <c r="U1639" i="2"/>
  <c r="V1639" i="2"/>
  <c r="U1631" i="2"/>
  <c r="V1631" i="2"/>
  <c r="U1623" i="2"/>
  <c r="V1623" i="2"/>
  <c r="U1615" i="2"/>
  <c r="V1615" i="2"/>
  <c r="U1607" i="2"/>
  <c r="V1607" i="2"/>
  <c r="U1599" i="2"/>
  <c r="V1599" i="2"/>
  <c r="U1591" i="2"/>
  <c r="V1591" i="2"/>
  <c r="U1583" i="2"/>
  <c r="V1583" i="2"/>
  <c r="U1575" i="2"/>
  <c r="V1575" i="2"/>
  <c r="U1567" i="2"/>
  <c r="V1567" i="2"/>
  <c r="U1559" i="2"/>
  <c r="V1559" i="2"/>
  <c r="U1551" i="2"/>
  <c r="V1551" i="2"/>
  <c r="U1543" i="2"/>
  <c r="V1543" i="2"/>
  <c r="U1535" i="2"/>
  <c r="V1535" i="2"/>
  <c r="U1527" i="2"/>
  <c r="V1527" i="2"/>
  <c r="U1519" i="2"/>
  <c r="V1519" i="2"/>
  <c r="V1528" i="2"/>
  <c r="U1817" i="2"/>
  <c r="V1817" i="2"/>
  <c r="U1809" i="2"/>
  <c r="V1809" i="2"/>
  <c r="U1801" i="2"/>
  <c r="V1801" i="2"/>
  <c r="U1793" i="2"/>
  <c r="V1793" i="2"/>
  <c r="U1777" i="2"/>
  <c r="V1777" i="2"/>
  <c r="U1769" i="2"/>
  <c r="V1769" i="2"/>
  <c r="U1761" i="2"/>
  <c r="V1761" i="2"/>
  <c r="U1753" i="2"/>
  <c r="V1753" i="2"/>
  <c r="U1745" i="2"/>
  <c r="V1745" i="2"/>
  <c r="U1737" i="2"/>
  <c r="V1737" i="2"/>
  <c r="U1729" i="2"/>
  <c r="V1729" i="2"/>
  <c r="U1721" i="2"/>
  <c r="V1721" i="2"/>
  <c r="U1705" i="2"/>
  <c r="V1705" i="2"/>
  <c r="U1697" i="2"/>
  <c r="V1697" i="2"/>
  <c r="U1689" i="2"/>
  <c r="V1689" i="2"/>
  <c r="U1681" i="2"/>
  <c r="V1681" i="2"/>
  <c r="U1673" i="2"/>
  <c r="V1673" i="2"/>
  <c r="U1665" i="2"/>
  <c r="V1665" i="2"/>
  <c r="U1657" i="2"/>
  <c r="V1657" i="2"/>
  <c r="U1649" i="2"/>
  <c r="V1649" i="2"/>
  <c r="U1641" i="2"/>
  <c r="V1641" i="2"/>
  <c r="U1633" i="2"/>
  <c r="V1633" i="2"/>
  <c r="U1625" i="2"/>
  <c r="V1625" i="2"/>
  <c r="U1617" i="2"/>
  <c r="V1617" i="2"/>
  <c r="U1609" i="2"/>
  <c r="V1609" i="2"/>
  <c r="U1601" i="2"/>
  <c r="V1601" i="2"/>
  <c r="U1593" i="2"/>
  <c r="V1593" i="2"/>
  <c r="U1585" i="2"/>
  <c r="V1585" i="2"/>
  <c r="U1577" i="2"/>
  <c r="V1577" i="2"/>
  <c r="U1569" i="2"/>
  <c r="V1569" i="2"/>
  <c r="U1561" i="2"/>
  <c r="V1561" i="2"/>
  <c r="U1553" i="2"/>
  <c r="V1553" i="2"/>
  <c r="U1545" i="2"/>
  <c r="V1545" i="2"/>
  <c r="U1537" i="2"/>
  <c r="V1537" i="2"/>
  <c r="U1529" i="2"/>
  <c r="V1529" i="2"/>
  <c r="U1521" i="2"/>
  <c r="V1521" i="2"/>
  <c r="U1513" i="2"/>
  <c r="V1513" i="2"/>
  <c r="U1505" i="2"/>
  <c r="V1505" i="2"/>
  <c r="U1497" i="2"/>
  <c r="V1497" i="2"/>
  <c r="U1489" i="2"/>
  <c r="V1489" i="2"/>
  <c r="U1481" i="2"/>
  <c r="V1481" i="2"/>
  <c r="U1473" i="2"/>
  <c r="V1473" i="2"/>
  <c r="U1465" i="2"/>
  <c r="V1465" i="2"/>
  <c r="U1457" i="2"/>
  <c r="V1457" i="2"/>
  <c r="U1449" i="2"/>
  <c r="V1449" i="2"/>
  <c r="U1441" i="2"/>
  <c r="V1441" i="2"/>
  <c r="U1433" i="2"/>
  <c r="V1433" i="2"/>
  <c r="U1425" i="2"/>
  <c r="V1425" i="2"/>
  <c r="U1417" i="2"/>
  <c r="V1417" i="2"/>
  <c r="U1409" i="2"/>
  <c r="V1409" i="2"/>
  <c r="U1401" i="2"/>
  <c r="V1401" i="2"/>
  <c r="U1393" i="2"/>
  <c r="V1393" i="2"/>
  <c r="U1385" i="2"/>
  <c r="V1385" i="2"/>
  <c r="U1377" i="2"/>
  <c r="V1377" i="2"/>
  <c r="U1369" i="2"/>
  <c r="V1369" i="2"/>
  <c r="U1361" i="2"/>
  <c r="V1361" i="2"/>
  <c r="U1353" i="2"/>
  <c r="V1353" i="2"/>
  <c r="U1345" i="2"/>
  <c r="V1345" i="2"/>
  <c r="U1337" i="2"/>
  <c r="V1337" i="2"/>
  <c r="U1329" i="2"/>
  <c r="V1329" i="2"/>
  <c r="U1321" i="2"/>
  <c r="V1321" i="2"/>
  <c r="U1313" i="2"/>
  <c r="V1313" i="2"/>
  <c r="U1305" i="2"/>
  <c r="V1305" i="2"/>
  <c r="U1297" i="2"/>
  <c r="V1297" i="2"/>
  <c r="U1289" i="2"/>
  <c r="V1289" i="2"/>
  <c r="U1281" i="2"/>
  <c r="V1281" i="2"/>
  <c r="U1273" i="2"/>
  <c r="V1273" i="2"/>
  <c r="U1265" i="2"/>
  <c r="V1265" i="2"/>
  <c r="U1257" i="2"/>
  <c r="V1257" i="2"/>
  <c r="U1249" i="2"/>
  <c r="V1249" i="2"/>
  <c r="U1241" i="2"/>
  <c r="V1241" i="2"/>
  <c r="U1233" i="2"/>
  <c r="V1233" i="2"/>
  <c r="U1225" i="2"/>
  <c r="V1225" i="2"/>
  <c r="U1217" i="2"/>
  <c r="V1217" i="2"/>
  <c r="U1209" i="2"/>
  <c r="V1209" i="2"/>
  <c r="U1201" i="2"/>
  <c r="V1201" i="2"/>
  <c r="U1193" i="2"/>
  <c r="V1193" i="2"/>
  <c r="U1185" i="2"/>
  <c r="V1185" i="2"/>
  <c r="U1177" i="2"/>
  <c r="V1177" i="2"/>
  <c r="U1169" i="2"/>
  <c r="V1169" i="2"/>
  <c r="U1161" i="2"/>
  <c r="V1161" i="2"/>
  <c r="U1153" i="2"/>
  <c r="V1153" i="2"/>
  <c r="U1145" i="2"/>
  <c r="V1145" i="2"/>
  <c r="U1137" i="2"/>
  <c r="V1137" i="2"/>
  <c r="U1129" i="2"/>
  <c r="V1129" i="2"/>
  <c r="U1121" i="2"/>
  <c r="V1121" i="2"/>
  <c r="U1113" i="2"/>
  <c r="V1113" i="2"/>
  <c r="U1105" i="2"/>
  <c r="V1105" i="2"/>
  <c r="U1097" i="2"/>
  <c r="V1097" i="2"/>
  <c r="U1089" i="2"/>
  <c r="V1089" i="2"/>
  <c r="U1081" i="2"/>
  <c r="V1081" i="2"/>
  <c r="U1073" i="2"/>
  <c r="V1073" i="2"/>
  <c r="U1065" i="2"/>
  <c r="V1065" i="2"/>
  <c r="U1057" i="2"/>
  <c r="V1057" i="2"/>
  <c r="U1049" i="2"/>
  <c r="V1049" i="2"/>
  <c r="U1041" i="2"/>
  <c r="V1041" i="2"/>
  <c r="U1033" i="2"/>
  <c r="V1033" i="2"/>
  <c r="U1025" i="2"/>
  <c r="V1025" i="2"/>
  <c r="U1009" i="2"/>
  <c r="V1009" i="2"/>
  <c r="U1001" i="2"/>
  <c r="V1001" i="2"/>
  <c r="U993" i="2"/>
  <c r="V993" i="2"/>
  <c r="U977" i="2"/>
  <c r="V977" i="2"/>
  <c r="U969" i="2"/>
  <c r="V969" i="2"/>
  <c r="U961" i="2"/>
  <c r="V961" i="2"/>
  <c r="U953" i="2"/>
  <c r="V953" i="2"/>
  <c r="U945" i="2"/>
  <c r="V945" i="2"/>
  <c r="U937" i="2"/>
  <c r="V937" i="2"/>
  <c r="U929" i="2"/>
  <c r="V929" i="2"/>
  <c r="U921" i="2"/>
  <c r="V921" i="2"/>
  <c r="U913" i="2"/>
  <c r="V913" i="2"/>
  <c r="U905" i="2"/>
  <c r="V905" i="2"/>
  <c r="U897" i="2"/>
  <c r="V897" i="2"/>
  <c r="U889" i="2"/>
  <c r="V889" i="2"/>
  <c r="U881" i="2"/>
  <c r="V881" i="2"/>
  <c r="U873" i="2"/>
  <c r="V873" i="2"/>
  <c r="U865" i="2"/>
  <c r="V865" i="2"/>
  <c r="U857" i="2"/>
  <c r="V857" i="2"/>
  <c r="U849" i="2"/>
  <c r="V849" i="2"/>
  <c r="U841" i="2"/>
  <c r="V841" i="2"/>
  <c r="U833" i="2"/>
  <c r="V833" i="2"/>
  <c r="U825" i="2"/>
  <c r="V825" i="2"/>
  <c r="U817" i="2"/>
  <c r="V817" i="2"/>
  <c r="U809" i="2"/>
  <c r="V809" i="2"/>
  <c r="U801" i="2"/>
  <c r="V801" i="2"/>
  <c r="U793" i="2"/>
  <c r="V793" i="2"/>
  <c r="U785" i="2"/>
  <c r="V785" i="2"/>
  <c r="U777" i="2"/>
  <c r="V777" i="2"/>
  <c r="U769" i="2"/>
  <c r="V769" i="2"/>
  <c r="U761" i="2"/>
  <c r="V761" i="2"/>
  <c r="U753" i="2"/>
  <c r="V753" i="2"/>
  <c r="U745" i="2"/>
  <c r="V745" i="2"/>
  <c r="U737" i="2"/>
  <c r="V737" i="2"/>
  <c r="U729" i="2"/>
  <c r="V729" i="2"/>
  <c r="U721" i="2"/>
  <c r="V721" i="2"/>
  <c r="U713" i="2"/>
  <c r="V713" i="2"/>
  <c r="U705" i="2"/>
  <c r="V705" i="2"/>
  <c r="U697" i="2"/>
  <c r="V697" i="2"/>
  <c r="U689" i="2"/>
  <c r="V689" i="2"/>
  <c r="U681" i="2"/>
  <c r="V681" i="2"/>
  <c r="U673" i="2"/>
  <c r="V673" i="2"/>
  <c r="U665" i="2"/>
  <c r="V665" i="2"/>
  <c r="U657" i="2"/>
  <c r="V657" i="2"/>
  <c r="U649" i="2"/>
  <c r="V649" i="2"/>
  <c r="U641" i="2"/>
  <c r="V641" i="2"/>
  <c r="U633" i="2"/>
  <c r="V633" i="2"/>
  <c r="U625" i="2"/>
  <c r="V625" i="2"/>
  <c r="U617" i="2"/>
  <c r="V617" i="2"/>
  <c r="U609" i="2"/>
  <c r="V609" i="2"/>
  <c r="U601" i="2"/>
  <c r="V601" i="2"/>
  <c r="U593" i="2"/>
  <c r="V593" i="2"/>
  <c r="U585" i="2"/>
  <c r="V585" i="2"/>
  <c r="U577" i="2"/>
  <c r="V577" i="2"/>
  <c r="U569" i="2"/>
  <c r="V569" i="2"/>
  <c r="U561" i="2"/>
  <c r="V561" i="2"/>
  <c r="U553" i="2"/>
  <c r="V553" i="2"/>
  <c r="U545" i="2"/>
  <c r="V545" i="2"/>
  <c r="U537" i="2"/>
  <c r="V537" i="2"/>
  <c r="U529" i="2"/>
  <c r="V529" i="2"/>
  <c r="U521" i="2"/>
  <c r="V521" i="2"/>
  <c r="U513" i="2"/>
  <c r="V513" i="2"/>
  <c r="U505" i="2"/>
  <c r="V505" i="2"/>
  <c r="U497" i="2"/>
  <c r="V497" i="2"/>
  <c r="U489" i="2"/>
  <c r="V489" i="2"/>
  <c r="U481" i="2"/>
  <c r="V481" i="2"/>
  <c r="U473" i="2"/>
  <c r="V473" i="2"/>
  <c r="U465" i="2"/>
  <c r="V465" i="2"/>
  <c r="U457" i="2"/>
  <c r="V457" i="2"/>
  <c r="U449" i="2"/>
  <c r="V449" i="2"/>
  <c r="U441" i="2"/>
  <c r="V441" i="2"/>
  <c r="U433" i="2"/>
  <c r="V433" i="2"/>
  <c r="U425" i="2"/>
  <c r="V425" i="2"/>
  <c r="U417" i="2"/>
  <c r="V417" i="2"/>
  <c r="U409" i="2"/>
  <c r="V409" i="2"/>
  <c r="U401" i="2"/>
  <c r="V401" i="2"/>
  <c r="U393" i="2"/>
  <c r="V393" i="2"/>
  <c r="U385" i="2"/>
  <c r="V385" i="2"/>
  <c r="U377" i="2"/>
  <c r="V377" i="2"/>
  <c r="U369" i="2"/>
  <c r="V369" i="2"/>
  <c r="U361" i="2"/>
  <c r="V361" i="2"/>
  <c r="U353" i="2"/>
  <c r="V353" i="2"/>
  <c r="U345" i="2"/>
  <c r="V345" i="2"/>
  <c r="U337" i="2"/>
  <c r="V337" i="2"/>
  <c r="U329" i="2"/>
  <c r="V329" i="2"/>
  <c r="U321" i="2"/>
  <c r="V321" i="2"/>
  <c r="U313" i="2"/>
  <c r="V313" i="2"/>
  <c r="U305" i="2"/>
  <c r="V305" i="2"/>
  <c r="U297" i="2"/>
  <c r="V297" i="2"/>
  <c r="U289" i="2"/>
  <c r="V289" i="2"/>
  <c r="U281" i="2"/>
  <c r="V281" i="2"/>
  <c r="U273" i="2"/>
  <c r="V273" i="2"/>
  <c r="U265" i="2"/>
  <c r="V265" i="2"/>
  <c r="U257" i="2"/>
  <c r="V257" i="2"/>
  <c r="U249" i="2"/>
  <c r="V249" i="2"/>
  <c r="U241" i="2"/>
  <c r="V241" i="2"/>
  <c r="U233" i="2"/>
  <c r="V233" i="2"/>
  <c r="U225" i="2"/>
  <c r="V225" i="2"/>
  <c r="U217" i="2"/>
  <c r="V217" i="2"/>
  <c r="U209" i="2"/>
  <c r="V209" i="2"/>
  <c r="U201" i="2"/>
  <c r="V201" i="2"/>
  <c r="U193" i="2"/>
  <c r="V193" i="2"/>
  <c r="U185" i="2"/>
  <c r="V185" i="2"/>
  <c r="U177" i="2"/>
  <c r="V177" i="2"/>
  <c r="U169" i="2"/>
  <c r="V169" i="2"/>
  <c r="U161" i="2"/>
  <c r="V161" i="2"/>
  <c r="U153" i="2"/>
  <c r="V153" i="2"/>
  <c r="U145" i="2"/>
  <c r="V145" i="2"/>
  <c r="U137" i="2"/>
  <c r="V137" i="2"/>
  <c r="U129" i="2"/>
  <c r="V129" i="2"/>
  <c r="U121" i="2"/>
  <c r="V121" i="2"/>
  <c r="U113" i="2"/>
  <c r="V113" i="2"/>
  <c r="U1822" i="2"/>
  <c r="V1822" i="2"/>
  <c r="U1814" i="2"/>
  <c r="V1814" i="2"/>
  <c r="U1806" i="2"/>
  <c r="V1806" i="2"/>
  <c r="U1798" i="2"/>
  <c r="V1798" i="2"/>
  <c r="U1790" i="2"/>
  <c r="V1790" i="2"/>
  <c r="U1782" i="2"/>
  <c r="V1782" i="2"/>
  <c r="U1774" i="2"/>
  <c r="V1774" i="2"/>
  <c r="U1766" i="2"/>
  <c r="V1766" i="2"/>
  <c r="U1758" i="2"/>
  <c r="V1758" i="2"/>
  <c r="U1750" i="2"/>
  <c r="V1750" i="2"/>
  <c r="U1742" i="2"/>
  <c r="V1742" i="2"/>
  <c r="U1734" i="2"/>
  <c r="V1734" i="2"/>
  <c r="U1726" i="2"/>
  <c r="V1726" i="2"/>
  <c r="U1718" i="2"/>
  <c r="V1718" i="2"/>
  <c r="U1710" i="2"/>
  <c r="V1710" i="2"/>
  <c r="U1702" i="2"/>
  <c r="V1702" i="2"/>
  <c r="U1694" i="2"/>
  <c r="V1694" i="2"/>
  <c r="U1686" i="2"/>
  <c r="V1686" i="2"/>
  <c r="U1678" i="2"/>
  <c r="V1678" i="2"/>
  <c r="U1670" i="2"/>
  <c r="V1670" i="2"/>
  <c r="U1662" i="2"/>
  <c r="V1662" i="2"/>
  <c r="U1654" i="2"/>
  <c r="V1654" i="2"/>
  <c r="U1646" i="2"/>
  <c r="V1646" i="2"/>
  <c r="U1638" i="2"/>
  <c r="V1638" i="2"/>
  <c r="U1630" i="2"/>
  <c r="V1630" i="2"/>
  <c r="U1622" i="2"/>
  <c r="V1622" i="2"/>
  <c r="U1614" i="2"/>
  <c r="V1614" i="2"/>
  <c r="U1606" i="2"/>
  <c r="V1606" i="2"/>
  <c r="U1598" i="2"/>
  <c r="V1598" i="2"/>
  <c r="U1590" i="2"/>
  <c r="V1590" i="2"/>
  <c r="U1582" i="2"/>
  <c r="V1582" i="2"/>
  <c r="U1574" i="2"/>
  <c r="V1574" i="2"/>
  <c r="U1566" i="2"/>
  <c r="V1566" i="2"/>
  <c r="U1558" i="2"/>
  <c r="V1558" i="2"/>
  <c r="U1550" i="2"/>
  <c r="V1550" i="2"/>
  <c r="U1542" i="2"/>
  <c r="V1542" i="2"/>
  <c r="U1534" i="2"/>
  <c r="V1534" i="2"/>
  <c r="U1526" i="2"/>
  <c r="V1526" i="2"/>
  <c r="U1518" i="2"/>
  <c r="V1518" i="2"/>
  <c r="U1510" i="2"/>
  <c r="V1510" i="2"/>
  <c r="U1502" i="2"/>
  <c r="V1502" i="2"/>
  <c r="U1494" i="2"/>
  <c r="V1494" i="2"/>
  <c r="U1486" i="2"/>
  <c r="V1486" i="2"/>
  <c r="U1478" i="2"/>
  <c r="V1478" i="2"/>
  <c r="V1017" i="2"/>
  <c r="V985" i="2"/>
  <c r="U1819" i="2"/>
  <c r="V1819" i="2"/>
  <c r="U1811" i="2"/>
  <c r="V1811" i="2"/>
  <c r="U1803" i="2"/>
  <c r="V1803" i="2"/>
  <c r="U1795" i="2"/>
  <c r="V1795" i="2"/>
  <c r="U1787" i="2"/>
  <c r="V1787" i="2"/>
  <c r="U1779" i="2"/>
  <c r="V1779" i="2"/>
  <c r="U1771" i="2"/>
  <c r="V1771" i="2"/>
  <c r="U1763" i="2"/>
  <c r="V1763" i="2"/>
  <c r="U1755" i="2"/>
  <c r="V1755" i="2"/>
  <c r="U1747" i="2"/>
  <c r="V1747" i="2"/>
  <c r="U1739" i="2"/>
  <c r="V1739" i="2"/>
  <c r="U1731" i="2"/>
  <c r="V1731" i="2"/>
  <c r="U1723" i="2"/>
  <c r="V1723" i="2"/>
  <c r="U1715" i="2"/>
  <c r="V1715" i="2"/>
  <c r="U1707" i="2"/>
  <c r="V1707" i="2"/>
  <c r="V1713" i="2"/>
  <c r="V1785" i="2"/>
  <c r="V872" i="2"/>
  <c r="V848" i="2"/>
  <c r="U105" i="2"/>
  <c r="V105" i="2"/>
  <c r="U97" i="2"/>
  <c r="V97" i="2"/>
  <c r="U89" i="2"/>
  <c r="V89" i="2"/>
  <c r="U81" i="2"/>
  <c r="V81" i="2"/>
  <c r="U73" i="2"/>
  <c r="V73" i="2"/>
  <c r="U65" i="2"/>
  <c r="V65" i="2"/>
  <c r="U57" i="2"/>
  <c r="V57" i="2"/>
  <c r="U49" i="2"/>
  <c r="V49" i="2"/>
  <c r="U41" i="2"/>
  <c r="V41" i="2"/>
  <c r="U33" i="2"/>
  <c r="V33" i="2"/>
  <c r="U25" i="2"/>
  <c r="V25" i="2"/>
  <c r="U17" i="2"/>
  <c r="V17" i="2"/>
  <c r="U9" i="2"/>
  <c r="V9" i="2"/>
  <c r="U1048" i="2"/>
  <c r="V1048" i="2"/>
  <c r="U1040" i="2"/>
  <c r="V1040" i="2"/>
  <c r="U1032" i="2"/>
  <c r="V1032" i="2"/>
  <c r="U1016" i="2"/>
  <c r="V1016" i="2"/>
  <c r="U1008" i="2"/>
  <c r="V1008" i="2"/>
  <c r="U1000" i="2"/>
  <c r="V1000" i="2"/>
  <c r="U992" i="2"/>
  <c r="V992" i="2"/>
  <c r="U984" i="2"/>
  <c r="V984" i="2"/>
  <c r="U976" i="2"/>
  <c r="V976" i="2"/>
  <c r="U968" i="2"/>
  <c r="V968" i="2"/>
  <c r="U960" i="2"/>
  <c r="V960" i="2"/>
  <c r="U952" i="2"/>
  <c r="V952" i="2"/>
  <c r="U944" i="2"/>
  <c r="V944" i="2"/>
  <c r="U936" i="2"/>
  <c r="V936" i="2"/>
  <c r="U928" i="2"/>
  <c r="V928" i="2"/>
  <c r="U912" i="2"/>
  <c r="V912" i="2"/>
  <c r="U904" i="2"/>
  <c r="V904" i="2"/>
  <c r="U896" i="2"/>
  <c r="V896" i="2"/>
  <c r="U888" i="2"/>
  <c r="V888" i="2"/>
  <c r="U880" i="2"/>
  <c r="V880" i="2"/>
  <c r="U864" i="2"/>
  <c r="V864" i="2"/>
  <c r="U856" i="2"/>
  <c r="V856" i="2"/>
  <c r="U832" i="2"/>
  <c r="V832" i="2"/>
  <c r="U824" i="2"/>
  <c r="V824" i="2"/>
  <c r="U816" i="2"/>
  <c r="V816" i="2"/>
  <c r="U808" i="2"/>
  <c r="V808" i="2"/>
  <c r="U800" i="2"/>
  <c r="V800" i="2"/>
  <c r="U792" i="2"/>
  <c r="V792" i="2"/>
  <c r="U784" i="2"/>
  <c r="V784" i="2"/>
  <c r="U776" i="2"/>
  <c r="V776" i="2"/>
  <c r="U768" i="2"/>
  <c r="V768" i="2"/>
  <c r="U760" i="2"/>
  <c r="V760" i="2"/>
  <c r="U752" i="2"/>
  <c r="V752" i="2"/>
  <c r="U744" i="2"/>
  <c r="V744" i="2"/>
  <c r="U736" i="2"/>
  <c r="V736" i="2"/>
  <c r="U728" i="2"/>
  <c r="V728" i="2"/>
  <c r="U720" i="2"/>
  <c r="V720" i="2"/>
  <c r="U712" i="2"/>
  <c r="V712" i="2"/>
  <c r="U704" i="2"/>
  <c r="V704" i="2"/>
  <c r="U696" i="2"/>
  <c r="V696" i="2"/>
  <c r="U688" i="2"/>
  <c r="V688" i="2"/>
  <c r="U680" i="2"/>
  <c r="V680" i="2"/>
  <c r="U672" i="2"/>
  <c r="V672" i="2"/>
  <c r="U664" i="2"/>
  <c r="V664" i="2"/>
  <c r="U656" i="2"/>
  <c r="V656" i="2"/>
  <c r="U648" i="2"/>
  <c r="V648" i="2"/>
  <c r="U632" i="2"/>
  <c r="V632" i="2"/>
  <c r="U624" i="2"/>
  <c r="V624" i="2"/>
  <c r="U616" i="2"/>
  <c r="V616" i="2"/>
  <c r="U608" i="2"/>
  <c r="V608" i="2"/>
  <c r="U600" i="2"/>
  <c r="V600" i="2"/>
  <c r="U584" i="2"/>
  <c r="V584" i="2"/>
  <c r="U576" i="2"/>
  <c r="V576" i="2"/>
  <c r="U568" i="2"/>
  <c r="V568" i="2"/>
  <c r="U560" i="2"/>
  <c r="V560" i="2"/>
  <c r="U552" i="2"/>
  <c r="V552" i="2"/>
  <c r="U536" i="2"/>
  <c r="V536" i="2"/>
  <c r="U528" i="2"/>
  <c r="V528" i="2"/>
  <c r="U520" i="2"/>
  <c r="V520" i="2"/>
  <c r="U512" i="2"/>
  <c r="V512" i="2"/>
  <c r="U504" i="2"/>
  <c r="V504" i="2"/>
  <c r="U496" i="2"/>
  <c r="V496" i="2"/>
  <c r="U488" i="2"/>
  <c r="V488" i="2"/>
  <c r="U480" i="2"/>
  <c r="V480" i="2"/>
  <c r="U472" i="2"/>
  <c r="V472" i="2"/>
  <c r="U456" i="2"/>
  <c r="V456" i="2"/>
  <c r="U448" i="2"/>
  <c r="V448" i="2"/>
  <c r="U440" i="2"/>
  <c r="V440" i="2"/>
  <c r="U424" i="2"/>
  <c r="V424" i="2"/>
  <c r="U416" i="2"/>
  <c r="V416" i="2"/>
  <c r="U408" i="2"/>
  <c r="V408" i="2"/>
  <c r="U400" i="2"/>
  <c r="V400" i="2"/>
  <c r="U392" i="2"/>
  <c r="V392" i="2"/>
  <c r="U384" i="2"/>
  <c r="V384" i="2"/>
  <c r="U368" i="2"/>
  <c r="V368" i="2"/>
  <c r="U360" i="2"/>
  <c r="V360" i="2"/>
  <c r="U352" i="2"/>
  <c r="V352" i="2"/>
  <c r="U344" i="2"/>
  <c r="V344" i="2"/>
  <c r="U336" i="2"/>
  <c r="V336" i="2"/>
  <c r="U328" i="2"/>
  <c r="V328" i="2"/>
  <c r="U320" i="2"/>
  <c r="V320" i="2"/>
  <c r="U312" i="2"/>
  <c r="V312" i="2"/>
  <c r="U304" i="2"/>
  <c r="V304" i="2"/>
  <c r="U296" i="2"/>
  <c r="V296" i="2"/>
  <c r="U288" i="2"/>
  <c r="V288" i="2"/>
  <c r="U280" i="2"/>
  <c r="V280" i="2"/>
  <c r="U264" i="2"/>
  <c r="V264" i="2"/>
  <c r="U256" i="2"/>
  <c r="V256" i="2"/>
  <c r="U248" i="2"/>
  <c r="V248" i="2"/>
  <c r="U240" i="2"/>
  <c r="V240" i="2"/>
  <c r="U232" i="2"/>
  <c r="V232" i="2"/>
  <c r="U224" i="2"/>
  <c r="V224" i="2"/>
  <c r="U216" i="2"/>
  <c r="V216" i="2"/>
  <c r="U208" i="2"/>
  <c r="V208" i="2"/>
  <c r="U200" i="2"/>
  <c r="V200" i="2"/>
  <c r="U192" i="2"/>
  <c r="V192" i="2"/>
  <c r="U184" i="2"/>
  <c r="V184" i="2"/>
  <c r="U168" i="2"/>
  <c r="V168" i="2"/>
  <c r="U160" i="2"/>
  <c r="V160" i="2"/>
  <c r="U152" i="2"/>
  <c r="V152" i="2"/>
  <c r="U144" i="2"/>
  <c r="V144" i="2"/>
  <c r="U136" i="2"/>
  <c r="V136" i="2"/>
  <c r="U128" i="2"/>
  <c r="V128" i="2"/>
  <c r="U120" i="2"/>
  <c r="V120" i="2"/>
  <c r="U104" i="2"/>
  <c r="V104" i="2"/>
  <c r="U88" i="2"/>
  <c r="V88" i="2"/>
  <c r="U80" i="2"/>
  <c r="V80" i="2"/>
  <c r="U72" i="2"/>
  <c r="V72" i="2"/>
  <c r="U56" i="2"/>
  <c r="V56" i="2"/>
  <c r="U48" i="2"/>
  <c r="V48" i="2"/>
  <c r="U40" i="2"/>
  <c r="V40" i="2"/>
  <c r="U32" i="2"/>
  <c r="V32" i="2"/>
  <c r="U24" i="2"/>
  <c r="V24" i="2"/>
  <c r="U16" i="2"/>
  <c r="V16" i="2"/>
  <c r="U1511" i="2"/>
  <c r="V1511" i="2"/>
  <c r="U1495" i="2"/>
  <c r="V1495" i="2"/>
  <c r="U1479" i="2"/>
  <c r="V1479" i="2"/>
  <c r="U1463" i="2"/>
  <c r="V1463" i="2"/>
  <c r="U1447" i="2"/>
  <c r="V1447" i="2"/>
  <c r="U1431" i="2"/>
  <c r="V1431" i="2"/>
  <c r="U1415" i="2"/>
  <c r="V1415" i="2"/>
  <c r="U1399" i="2"/>
  <c r="V1399" i="2"/>
  <c r="U1391" i="2"/>
  <c r="V1391" i="2"/>
  <c r="U1383" i="2"/>
  <c r="V1383" i="2"/>
  <c r="U1375" i="2"/>
  <c r="V1375" i="2"/>
  <c r="U1367" i="2"/>
  <c r="V1367" i="2"/>
  <c r="U1359" i="2"/>
  <c r="V1359" i="2"/>
  <c r="U1351" i="2"/>
  <c r="V1351" i="2"/>
  <c r="U1343" i="2"/>
  <c r="V1343" i="2"/>
  <c r="U1335" i="2"/>
  <c r="V1335" i="2"/>
  <c r="U1327" i="2"/>
  <c r="V1327" i="2"/>
  <c r="U1319" i="2"/>
  <c r="V1319" i="2"/>
  <c r="U1311" i="2"/>
  <c r="V1311" i="2"/>
  <c r="U1303" i="2"/>
  <c r="V1303" i="2"/>
  <c r="U1295" i="2"/>
  <c r="V1295" i="2"/>
  <c r="U1287" i="2"/>
  <c r="V1287" i="2"/>
  <c r="U1279" i="2"/>
  <c r="V1279" i="2"/>
  <c r="U1271" i="2"/>
  <c r="V1271" i="2"/>
  <c r="U1263" i="2"/>
  <c r="V1263" i="2"/>
  <c r="U1255" i="2"/>
  <c r="V1255" i="2"/>
  <c r="U1247" i="2"/>
  <c r="V1247" i="2"/>
  <c r="U1239" i="2"/>
  <c r="V1239" i="2"/>
  <c r="U1231" i="2"/>
  <c r="V1231" i="2"/>
  <c r="U1223" i="2"/>
  <c r="V1223" i="2"/>
  <c r="U1215" i="2"/>
  <c r="V1215" i="2"/>
  <c r="U1207" i="2"/>
  <c r="V1207" i="2"/>
  <c r="U1199" i="2"/>
  <c r="V1199" i="2"/>
  <c r="U1191" i="2"/>
  <c r="V1191" i="2"/>
  <c r="U1183" i="2"/>
  <c r="V1183" i="2"/>
  <c r="U1175" i="2"/>
  <c r="V1175" i="2"/>
  <c r="U1167" i="2"/>
  <c r="V1167" i="2"/>
  <c r="U1159" i="2"/>
  <c r="V1159" i="2"/>
  <c r="U1151" i="2"/>
  <c r="V1151" i="2"/>
  <c r="U1143" i="2"/>
  <c r="V1143" i="2"/>
  <c r="U1135" i="2"/>
  <c r="V1135" i="2"/>
  <c r="U1127" i="2"/>
  <c r="V1127" i="2"/>
  <c r="U1119" i="2"/>
  <c r="V1119" i="2"/>
  <c r="U1111" i="2"/>
  <c r="V1111" i="2"/>
  <c r="U1103" i="2"/>
  <c r="V1103" i="2"/>
  <c r="U1095" i="2"/>
  <c r="V1095" i="2"/>
  <c r="U1087" i="2"/>
  <c r="V1087" i="2"/>
  <c r="U1079" i="2"/>
  <c r="V1079" i="2"/>
  <c r="U1071" i="2"/>
  <c r="V1071" i="2"/>
  <c r="U1063" i="2"/>
  <c r="V1063" i="2"/>
  <c r="U1055" i="2"/>
  <c r="V1055" i="2"/>
  <c r="U1047" i="2"/>
  <c r="V1047" i="2"/>
  <c r="U1039" i="2"/>
  <c r="V1039" i="2"/>
  <c r="U1031" i="2"/>
  <c r="V1031" i="2"/>
  <c r="U1023" i="2"/>
  <c r="V1023" i="2"/>
  <c r="U1015" i="2"/>
  <c r="V1015" i="2"/>
  <c r="U1007" i="2"/>
  <c r="V1007" i="2"/>
  <c r="U999" i="2"/>
  <c r="V999" i="2"/>
  <c r="U991" i="2"/>
  <c r="V991" i="2"/>
  <c r="U983" i="2"/>
  <c r="V983" i="2"/>
  <c r="U975" i="2"/>
  <c r="V975" i="2"/>
  <c r="U967" i="2"/>
  <c r="V967" i="2"/>
  <c r="U959" i="2"/>
  <c r="V959" i="2"/>
  <c r="U951" i="2"/>
  <c r="V951" i="2"/>
  <c r="U935" i="2"/>
  <c r="V935" i="2"/>
  <c r="U919" i="2"/>
  <c r="V919" i="2"/>
  <c r="U911" i="2"/>
  <c r="V911" i="2"/>
  <c r="U903" i="2"/>
  <c r="V903" i="2"/>
  <c r="U895" i="2"/>
  <c r="V895" i="2"/>
  <c r="U887" i="2"/>
  <c r="V887" i="2"/>
  <c r="U871" i="2"/>
  <c r="V871" i="2"/>
  <c r="U863" i="2"/>
  <c r="V863" i="2"/>
  <c r="U855" i="2"/>
  <c r="V855" i="2"/>
  <c r="U847" i="2"/>
  <c r="V847" i="2"/>
  <c r="U839" i="2"/>
  <c r="V839" i="2"/>
  <c r="U831" i="2"/>
  <c r="V831" i="2"/>
  <c r="U823" i="2"/>
  <c r="V823" i="2"/>
  <c r="U815" i="2"/>
  <c r="V815" i="2"/>
  <c r="U807" i="2"/>
  <c r="V807" i="2"/>
  <c r="U799" i="2"/>
  <c r="V799" i="2"/>
  <c r="U791" i="2"/>
  <c r="V791" i="2"/>
  <c r="U775" i="2"/>
  <c r="V775" i="2"/>
  <c r="U767" i="2"/>
  <c r="V767" i="2"/>
  <c r="U759" i="2"/>
  <c r="V759" i="2"/>
  <c r="U751" i="2"/>
  <c r="V751" i="2"/>
  <c r="U743" i="2"/>
  <c r="V743" i="2"/>
  <c r="U735" i="2"/>
  <c r="V735" i="2"/>
  <c r="U727" i="2"/>
  <c r="V727" i="2"/>
  <c r="U719" i="2"/>
  <c r="V719" i="2"/>
  <c r="U711" i="2"/>
  <c r="V711" i="2"/>
  <c r="U703" i="2"/>
  <c r="V703" i="2"/>
  <c r="U695" i="2"/>
  <c r="V695" i="2"/>
  <c r="U679" i="2"/>
  <c r="V679" i="2"/>
  <c r="U671" i="2"/>
  <c r="V671" i="2"/>
  <c r="U663" i="2"/>
  <c r="V663" i="2"/>
  <c r="U655" i="2"/>
  <c r="V655" i="2"/>
  <c r="U647" i="2"/>
  <c r="V647" i="2"/>
  <c r="U639" i="2"/>
  <c r="V639" i="2"/>
  <c r="U631" i="2"/>
  <c r="V631" i="2"/>
  <c r="U623" i="2"/>
  <c r="V623" i="2"/>
  <c r="U599" i="2"/>
  <c r="V599" i="2"/>
  <c r="U591" i="2"/>
  <c r="V591" i="2"/>
  <c r="U583" i="2"/>
  <c r="V583" i="2"/>
  <c r="U575" i="2"/>
  <c r="V575" i="2"/>
  <c r="U567" i="2"/>
  <c r="V567" i="2"/>
  <c r="U559" i="2"/>
  <c r="V559" i="2"/>
  <c r="U551" i="2"/>
  <c r="V551" i="2"/>
  <c r="U543" i="2"/>
  <c r="V543" i="2"/>
  <c r="U535" i="2"/>
  <c r="V535" i="2"/>
  <c r="U527" i="2"/>
  <c r="V527" i="2"/>
  <c r="U519" i="2"/>
  <c r="V519" i="2"/>
  <c r="U511" i="2"/>
  <c r="V511" i="2"/>
  <c r="U503" i="2"/>
  <c r="V503" i="2"/>
  <c r="U487" i="2"/>
  <c r="V487" i="2"/>
  <c r="U479" i="2"/>
  <c r="V479" i="2"/>
  <c r="U471" i="2"/>
  <c r="V471" i="2"/>
  <c r="U463" i="2"/>
  <c r="V463" i="2"/>
  <c r="U455" i="2"/>
  <c r="V455" i="2"/>
  <c r="U447" i="2"/>
  <c r="V447" i="2"/>
  <c r="U439" i="2"/>
  <c r="V439" i="2"/>
  <c r="U431" i="2"/>
  <c r="V431" i="2"/>
  <c r="U423" i="2"/>
  <c r="V423" i="2"/>
  <c r="U415" i="2"/>
  <c r="V415" i="2"/>
  <c r="U407" i="2"/>
  <c r="V407" i="2"/>
  <c r="U399" i="2"/>
  <c r="V399" i="2"/>
  <c r="U391" i="2"/>
  <c r="V391" i="2"/>
  <c r="U383" i="2"/>
  <c r="V383" i="2"/>
  <c r="U375" i="2"/>
  <c r="V375" i="2"/>
  <c r="U367" i="2"/>
  <c r="V367" i="2"/>
  <c r="U359" i="2"/>
  <c r="V359" i="2"/>
  <c r="U351" i="2"/>
  <c r="V351" i="2"/>
  <c r="U343" i="2"/>
  <c r="V343" i="2"/>
  <c r="U335" i="2"/>
  <c r="V335" i="2"/>
  <c r="U327" i="2"/>
  <c r="V327" i="2"/>
  <c r="U319" i="2"/>
  <c r="V319" i="2"/>
  <c r="U311" i="2"/>
  <c r="V311" i="2"/>
  <c r="U303" i="2"/>
  <c r="V303" i="2"/>
  <c r="U295" i="2"/>
  <c r="V295" i="2"/>
  <c r="U287" i="2"/>
  <c r="V287" i="2"/>
  <c r="U279" i="2"/>
  <c r="V279" i="2"/>
  <c r="U271" i="2"/>
  <c r="V271" i="2"/>
  <c r="U263" i="2"/>
  <c r="V263" i="2"/>
  <c r="U255" i="2"/>
  <c r="V255" i="2"/>
  <c r="U247" i="2"/>
  <c r="V247" i="2"/>
  <c r="U239" i="2"/>
  <c r="V239" i="2"/>
  <c r="U231" i="2"/>
  <c r="V231" i="2"/>
  <c r="U223" i="2"/>
  <c r="V223" i="2"/>
  <c r="U215" i="2"/>
  <c r="V215" i="2"/>
  <c r="U207" i="2"/>
  <c r="V207" i="2"/>
  <c r="U199" i="2"/>
  <c r="V199" i="2"/>
  <c r="U191" i="2"/>
  <c r="V191" i="2"/>
  <c r="U183" i="2"/>
  <c r="V183" i="2"/>
  <c r="U175" i="2"/>
  <c r="V175" i="2"/>
  <c r="U167" i="2"/>
  <c r="V167" i="2"/>
  <c r="U159" i="2"/>
  <c r="V159" i="2"/>
  <c r="U151" i="2"/>
  <c r="V151" i="2"/>
  <c r="U143" i="2"/>
  <c r="V143" i="2"/>
  <c r="U135" i="2"/>
  <c r="V135" i="2"/>
  <c r="U127" i="2"/>
  <c r="V127" i="2"/>
  <c r="U119" i="2"/>
  <c r="V119" i="2"/>
  <c r="U111" i="2"/>
  <c r="V111" i="2"/>
  <c r="U103" i="2"/>
  <c r="V103" i="2"/>
  <c r="U95" i="2"/>
  <c r="V95" i="2"/>
  <c r="U87" i="2"/>
  <c r="V87" i="2"/>
  <c r="U79" i="2"/>
  <c r="V79" i="2"/>
  <c r="U71" i="2"/>
  <c r="V71" i="2"/>
  <c r="U63" i="2"/>
  <c r="V63" i="2"/>
  <c r="U55" i="2"/>
  <c r="V55" i="2"/>
  <c r="U47" i="2"/>
  <c r="V47" i="2"/>
  <c r="U39" i="2"/>
  <c r="V39" i="2"/>
  <c r="U31" i="2"/>
  <c r="V31" i="2"/>
  <c r="U23" i="2"/>
  <c r="V23" i="2"/>
  <c r="U15" i="2"/>
  <c r="V15" i="2"/>
  <c r="V1797" i="2"/>
  <c r="V1780" i="2"/>
  <c r="V1764" i="2"/>
  <c r="V1693" i="2"/>
  <c r="V1652" i="2"/>
  <c r="V1604" i="2"/>
  <c r="V1525" i="2"/>
  <c r="V1503" i="2"/>
  <c r="V1412" i="2"/>
  <c r="V1366" i="2"/>
  <c r="V1205" i="2"/>
  <c r="V1109" i="2"/>
  <c r="V579" i="2"/>
  <c r="U1470" i="2"/>
  <c r="V1470" i="2"/>
  <c r="U1462" i="2"/>
  <c r="V1462" i="2"/>
  <c r="U1454" i="2"/>
  <c r="V1454" i="2"/>
  <c r="U1446" i="2"/>
  <c r="V1446" i="2"/>
  <c r="U1438" i="2"/>
  <c r="V1438" i="2"/>
  <c r="U1430" i="2"/>
  <c r="V1430" i="2"/>
  <c r="U1422" i="2"/>
  <c r="V1422" i="2"/>
  <c r="U1414" i="2"/>
  <c r="V1414" i="2"/>
  <c r="U1406" i="2"/>
  <c r="V1406" i="2"/>
  <c r="U1398" i="2"/>
  <c r="V1398" i="2"/>
  <c r="U1390" i="2"/>
  <c r="V1390" i="2"/>
  <c r="U1382" i="2"/>
  <c r="V1382" i="2"/>
  <c r="U1374" i="2"/>
  <c r="V1374" i="2"/>
  <c r="U1358" i="2"/>
  <c r="V1358" i="2"/>
  <c r="U1350" i="2"/>
  <c r="V1350" i="2"/>
  <c r="U1342" i="2"/>
  <c r="V1342" i="2"/>
  <c r="U1334" i="2"/>
  <c r="V1334" i="2"/>
  <c r="U1326" i="2"/>
  <c r="V1326" i="2"/>
  <c r="U1318" i="2"/>
  <c r="V1318" i="2"/>
  <c r="U1310" i="2"/>
  <c r="V1310" i="2"/>
  <c r="U1294" i="2"/>
  <c r="V1294" i="2"/>
  <c r="U1286" i="2"/>
  <c r="V1286" i="2"/>
  <c r="U1262" i="2"/>
  <c r="V1262" i="2"/>
  <c r="U1254" i="2"/>
  <c r="V1254" i="2"/>
  <c r="U1246" i="2"/>
  <c r="V1246" i="2"/>
  <c r="U1238" i="2"/>
  <c r="V1238" i="2"/>
  <c r="U1230" i="2"/>
  <c r="V1230" i="2"/>
  <c r="U1222" i="2"/>
  <c r="V1222" i="2"/>
  <c r="U1214" i="2"/>
  <c r="V1214" i="2"/>
  <c r="U1206" i="2"/>
  <c r="V1206" i="2"/>
  <c r="U1198" i="2"/>
  <c r="V1198" i="2"/>
  <c r="U1190" i="2"/>
  <c r="V1190" i="2"/>
  <c r="U1182" i="2"/>
  <c r="V1182" i="2"/>
  <c r="U1174" i="2"/>
  <c r="V1174" i="2"/>
  <c r="U1166" i="2"/>
  <c r="V1166" i="2"/>
  <c r="U1158" i="2"/>
  <c r="V1158" i="2"/>
  <c r="U1150" i="2"/>
  <c r="V1150" i="2"/>
  <c r="U1142" i="2"/>
  <c r="V1142" i="2"/>
  <c r="U1134" i="2"/>
  <c r="V1134" i="2"/>
  <c r="U1126" i="2"/>
  <c r="V1126" i="2"/>
  <c r="U1118" i="2"/>
  <c r="V1118" i="2"/>
  <c r="U1110" i="2"/>
  <c r="V1110" i="2"/>
  <c r="U1102" i="2"/>
  <c r="V1102" i="2"/>
  <c r="U1094" i="2"/>
  <c r="V1094" i="2"/>
  <c r="U1086" i="2"/>
  <c r="V1086" i="2"/>
  <c r="U1078" i="2"/>
  <c r="V1078" i="2"/>
  <c r="U1070" i="2"/>
  <c r="V1070" i="2"/>
  <c r="U1062" i="2"/>
  <c r="V1062" i="2"/>
  <c r="U1054" i="2"/>
  <c r="V1054" i="2"/>
  <c r="U1046" i="2"/>
  <c r="V1046" i="2"/>
  <c r="U1038" i="2"/>
  <c r="V1038" i="2"/>
  <c r="U1030" i="2"/>
  <c r="V1030" i="2"/>
  <c r="U1022" i="2"/>
  <c r="V1022" i="2"/>
  <c r="U1014" i="2"/>
  <c r="V1014" i="2"/>
  <c r="U1006" i="2"/>
  <c r="V1006" i="2"/>
  <c r="U998" i="2"/>
  <c r="V998" i="2"/>
  <c r="U990" i="2"/>
  <c r="V990" i="2"/>
  <c r="U982" i="2"/>
  <c r="V982" i="2"/>
  <c r="U974" i="2"/>
  <c r="V974" i="2"/>
  <c r="U966" i="2"/>
  <c r="V966" i="2"/>
  <c r="U958" i="2"/>
  <c r="V958" i="2"/>
  <c r="U950" i="2"/>
  <c r="V950" i="2"/>
  <c r="U942" i="2"/>
  <c r="V942" i="2"/>
  <c r="U934" i="2"/>
  <c r="V934" i="2"/>
  <c r="U926" i="2"/>
  <c r="V926" i="2"/>
  <c r="U918" i="2"/>
  <c r="V918" i="2"/>
  <c r="U910" i="2"/>
  <c r="V910" i="2"/>
  <c r="U902" i="2"/>
  <c r="V902" i="2"/>
  <c r="U894" i="2"/>
  <c r="V894" i="2"/>
  <c r="U886" i="2"/>
  <c r="V886" i="2"/>
  <c r="U870" i="2"/>
  <c r="V870" i="2"/>
  <c r="U862" i="2"/>
  <c r="V862" i="2"/>
  <c r="U854" i="2"/>
  <c r="V854" i="2"/>
  <c r="U846" i="2"/>
  <c r="V846" i="2"/>
  <c r="U838" i="2"/>
  <c r="V838" i="2"/>
  <c r="U830" i="2"/>
  <c r="V830" i="2"/>
  <c r="U822" i="2"/>
  <c r="V822" i="2"/>
  <c r="U814" i="2"/>
  <c r="V814" i="2"/>
  <c r="U806" i="2"/>
  <c r="V806" i="2"/>
  <c r="U798" i="2"/>
  <c r="V798" i="2"/>
  <c r="U790" i="2"/>
  <c r="V790" i="2"/>
  <c r="U782" i="2"/>
  <c r="V782" i="2"/>
  <c r="U774" i="2"/>
  <c r="V774" i="2"/>
  <c r="U766" i="2"/>
  <c r="V766" i="2"/>
  <c r="U758" i="2"/>
  <c r="V758" i="2"/>
  <c r="U750" i="2"/>
  <c r="V750" i="2"/>
  <c r="U742" i="2"/>
  <c r="V742" i="2"/>
  <c r="U734" i="2"/>
  <c r="V734" i="2"/>
  <c r="U726" i="2"/>
  <c r="V726" i="2"/>
  <c r="U718" i="2"/>
  <c r="V718" i="2"/>
  <c r="U710" i="2"/>
  <c r="V710" i="2"/>
  <c r="U702" i="2"/>
  <c r="V702" i="2"/>
  <c r="U694" i="2"/>
  <c r="V694" i="2"/>
  <c r="U686" i="2"/>
  <c r="V686" i="2"/>
  <c r="U678" i="2"/>
  <c r="V678" i="2"/>
  <c r="U670" i="2"/>
  <c r="V670" i="2"/>
  <c r="U662" i="2"/>
  <c r="V662" i="2"/>
  <c r="U654" i="2"/>
  <c r="V654" i="2"/>
  <c r="U646" i="2"/>
  <c r="V646" i="2"/>
  <c r="U638" i="2"/>
  <c r="V638" i="2"/>
  <c r="U630" i="2"/>
  <c r="V630" i="2"/>
  <c r="U622" i="2"/>
  <c r="V622" i="2"/>
  <c r="U614" i="2"/>
  <c r="V614" i="2"/>
  <c r="U606" i="2"/>
  <c r="V606" i="2"/>
  <c r="U598" i="2"/>
  <c r="V598" i="2"/>
  <c r="U590" i="2"/>
  <c r="V590" i="2"/>
  <c r="U582" i="2"/>
  <c r="V582" i="2"/>
  <c r="U574" i="2"/>
  <c r="V574" i="2"/>
  <c r="U566" i="2"/>
  <c r="V566" i="2"/>
  <c r="U558" i="2"/>
  <c r="V558" i="2"/>
  <c r="U550" i="2"/>
  <c r="V550" i="2"/>
  <c r="U542" i="2"/>
  <c r="V542" i="2"/>
  <c r="U534" i="2"/>
  <c r="V534" i="2"/>
  <c r="U526" i="2"/>
  <c r="V526" i="2"/>
  <c r="U518" i="2"/>
  <c r="V518" i="2"/>
  <c r="U510" i="2"/>
  <c r="V510" i="2"/>
  <c r="U502" i="2"/>
  <c r="V502" i="2"/>
  <c r="U486" i="2"/>
  <c r="V486" i="2"/>
  <c r="U478" i="2"/>
  <c r="V478" i="2"/>
  <c r="U470" i="2"/>
  <c r="V470" i="2"/>
  <c r="U462" i="2"/>
  <c r="V462" i="2"/>
  <c r="U454" i="2"/>
  <c r="V454" i="2"/>
  <c r="U446" i="2"/>
  <c r="V446" i="2"/>
  <c r="U438" i="2"/>
  <c r="V438" i="2"/>
  <c r="U430" i="2"/>
  <c r="V430" i="2"/>
  <c r="U422" i="2"/>
  <c r="V422" i="2"/>
  <c r="U414" i="2"/>
  <c r="V414" i="2"/>
  <c r="U406" i="2"/>
  <c r="V406" i="2"/>
  <c r="U398" i="2"/>
  <c r="V398" i="2"/>
  <c r="U390" i="2"/>
  <c r="V390" i="2"/>
  <c r="U382" i="2"/>
  <c r="V382" i="2"/>
  <c r="U374" i="2"/>
  <c r="V374" i="2"/>
  <c r="U366" i="2"/>
  <c r="V366" i="2"/>
  <c r="U358" i="2"/>
  <c r="V358" i="2"/>
  <c r="U350" i="2"/>
  <c r="V350" i="2"/>
  <c r="U342" i="2"/>
  <c r="V342" i="2"/>
  <c r="U334" i="2"/>
  <c r="V334" i="2"/>
  <c r="U326" i="2"/>
  <c r="V326" i="2"/>
  <c r="U318" i="2"/>
  <c r="V318" i="2"/>
  <c r="U310" i="2"/>
  <c r="V310" i="2"/>
  <c r="U302" i="2"/>
  <c r="V302" i="2"/>
  <c r="U294" i="2"/>
  <c r="V294" i="2"/>
  <c r="U286" i="2"/>
  <c r="V286" i="2"/>
  <c r="U278" i="2"/>
  <c r="V278" i="2"/>
  <c r="U270" i="2"/>
  <c r="V270" i="2"/>
  <c r="U262" i="2"/>
  <c r="V262" i="2"/>
  <c r="U254" i="2"/>
  <c r="V254" i="2"/>
  <c r="U246" i="2"/>
  <c r="V246" i="2"/>
  <c r="U238" i="2"/>
  <c r="V238" i="2"/>
  <c r="U230" i="2"/>
  <c r="V230" i="2"/>
  <c r="U222" i="2"/>
  <c r="V222" i="2"/>
  <c r="U214" i="2"/>
  <c r="V214" i="2"/>
  <c r="U206" i="2"/>
  <c r="V206" i="2"/>
  <c r="U198" i="2"/>
  <c r="V198" i="2"/>
  <c r="U190" i="2"/>
  <c r="V190" i="2"/>
  <c r="U182" i="2"/>
  <c r="V182" i="2"/>
  <c r="U174" i="2"/>
  <c r="V174" i="2"/>
  <c r="U166" i="2"/>
  <c r="V166" i="2"/>
  <c r="U158" i="2"/>
  <c r="V158" i="2"/>
  <c r="U150" i="2"/>
  <c r="V150" i="2"/>
  <c r="U142" i="2"/>
  <c r="V142" i="2"/>
  <c r="U134" i="2"/>
  <c r="V134" i="2"/>
  <c r="U126" i="2"/>
  <c r="V126" i="2"/>
  <c r="U118" i="2"/>
  <c r="V118" i="2"/>
  <c r="U110" i="2"/>
  <c r="V110" i="2"/>
  <c r="U102" i="2"/>
  <c r="V102" i="2"/>
  <c r="U94" i="2"/>
  <c r="V94" i="2"/>
  <c r="U86" i="2"/>
  <c r="V86" i="2"/>
  <c r="U78" i="2"/>
  <c r="V78" i="2"/>
  <c r="U70" i="2"/>
  <c r="V70" i="2"/>
  <c r="U62" i="2"/>
  <c r="V62" i="2"/>
  <c r="U54" i="2"/>
  <c r="V54" i="2"/>
  <c r="U46" i="2"/>
  <c r="V46" i="2"/>
  <c r="U38" i="2"/>
  <c r="V38" i="2"/>
  <c r="U22" i="2"/>
  <c r="V22" i="2"/>
  <c r="U14" i="2"/>
  <c r="V14" i="2"/>
  <c r="V1812" i="2"/>
  <c r="V1796" i="2"/>
  <c r="V1573" i="2"/>
  <c r="V1524" i="2"/>
  <c r="V1492" i="2"/>
  <c r="V1455" i="2"/>
  <c r="V1302" i="2"/>
  <c r="V1077" i="2"/>
  <c r="V981" i="2"/>
  <c r="V783" i="2"/>
  <c r="V495" i="2"/>
  <c r="U1821" i="2"/>
  <c r="V1821" i="2"/>
  <c r="U1813" i="2"/>
  <c r="V1813" i="2"/>
  <c r="U1789" i="2"/>
  <c r="V1789" i="2"/>
  <c r="U1781" i="2"/>
  <c r="V1781" i="2"/>
  <c r="U1757" i="2"/>
  <c r="V1757" i="2"/>
  <c r="U1749" i="2"/>
  <c r="V1749" i="2"/>
  <c r="U1725" i="2"/>
  <c r="V1725" i="2"/>
  <c r="U1717" i="2"/>
  <c r="V1717" i="2"/>
  <c r="U1669" i="2"/>
  <c r="V1669" i="2"/>
  <c r="U1653" i="2"/>
  <c r="V1653" i="2"/>
  <c r="U1645" i="2"/>
  <c r="V1645" i="2"/>
  <c r="U1629" i="2"/>
  <c r="V1629" i="2"/>
  <c r="U1613" i="2"/>
  <c r="V1613" i="2"/>
  <c r="U1597" i="2"/>
  <c r="V1597" i="2"/>
  <c r="U1581" i="2"/>
  <c r="V1581" i="2"/>
  <c r="U1565" i="2"/>
  <c r="V1565" i="2"/>
  <c r="U1549" i="2"/>
  <c r="V1549" i="2"/>
  <c r="U1533" i="2"/>
  <c r="V1533" i="2"/>
  <c r="U1517" i="2"/>
  <c r="V1517" i="2"/>
  <c r="U1501" i="2"/>
  <c r="V1501" i="2"/>
  <c r="U1493" i="2"/>
  <c r="V1493" i="2"/>
  <c r="U1485" i="2"/>
  <c r="V1485" i="2"/>
  <c r="U1477" i="2"/>
  <c r="V1477" i="2"/>
  <c r="U1469" i="2"/>
  <c r="V1469" i="2"/>
  <c r="U1461" i="2"/>
  <c r="V1461" i="2"/>
  <c r="U1453" i="2"/>
  <c r="V1453" i="2"/>
  <c r="U1445" i="2"/>
  <c r="V1445" i="2"/>
  <c r="U1437" i="2"/>
  <c r="V1437" i="2"/>
  <c r="U1429" i="2"/>
  <c r="V1429" i="2"/>
  <c r="U1421" i="2"/>
  <c r="V1421" i="2"/>
  <c r="U1413" i="2"/>
  <c r="V1413" i="2"/>
  <c r="U1405" i="2"/>
  <c r="V1405" i="2"/>
  <c r="U1397" i="2"/>
  <c r="V1397" i="2"/>
  <c r="U1381" i="2"/>
  <c r="V1381" i="2"/>
  <c r="U1365" i="2"/>
  <c r="V1365" i="2"/>
  <c r="U1357" i="2"/>
  <c r="V1357" i="2"/>
  <c r="U1349" i="2"/>
  <c r="V1349" i="2"/>
  <c r="U1341" i="2"/>
  <c r="V1341" i="2"/>
  <c r="U1333" i="2"/>
  <c r="V1333" i="2"/>
  <c r="U1317" i="2"/>
  <c r="V1317" i="2"/>
  <c r="U1301" i="2"/>
  <c r="V1301" i="2"/>
  <c r="U1293" i="2"/>
  <c r="V1293" i="2"/>
  <c r="U1285" i="2"/>
  <c r="V1285" i="2"/>
  <c r="U1277" i="2"/>
  <c r="V1277" i="2"/>
  <c r="U1269" i="2"/>
  <c r="V1269" i="2"/>
  <c r="U1261" i="2"/>
  <c r="V1261" i="2"/>
  <c r="U1253" i="2"/>
  <c r="V1253" i="2"/>
  <c r="U1245" i="2"/>
  <c r="V1245" i="2"/>
  <c r="U1229" i="2"/>
  <c r="V1229" i="2"/>
  <c r="U1221" i="2"/>
  <c r="V1221" i="2"/>
  <c r="U1213" i="2"/>
  <c r="V1213" i="2"/>
  <c r="U1197" i="2"/>
  <c r="V1197" i="2"/>
  <c r="U1189" i="2"/>
  <c r="V1189" i="2"/>
  <c r="U1181" i="2"/>
  <c r="V1181" i="2"/>
  <c r="U1173" i="2"/>
  <c r="V1173" i="2"/>
  <c r="U1165" i="2"/>
  <c r="V1165" i="2"/>
  <c r="U1149" i="2"/>
  <c r="V1149" i="2"/>
  <c r="U1141" i="2"/>
  <c r="V1141" i="2"/>
  <c r="U1133" i="2"/>
  <c r="V1133" i="2"/>
  <c r="U1125" i="2"/>
  <c r="V1125" i="2"/>
  <c r="U1117" i="2"/>
  <c r="V1117" i="2"/>
  <c r="U1101" i="2"/>
  <c r="V1101" i="2"/>
  <c r="U1093" i="2"/>
  <c r="V1093" i="2"/>
  <c r="U1085" i="2"/>
  <c r="V1085" i="2"/>
  <c r="U1069" i="2"/>
  <c r="V1069" i="2"/>
  <c r="U1061" i="2"/>
  <c r="V1061" i="2"/>
  <c r="U1053" i="2"/>
  <c r="V1053" i="2"/>
  <c r="U1045" i="2"/>
  <c r="V1045" i="2"/>
  <c r="U1037" i="2"/>
  <c r="V1037" i="2"/>
  <c r="U1021" i="2"/>
  <c r="V1021" i="2"/>
  <c r="U1013" i="2"/>
  <c r="V1013" i="2"/>
  <c r="U1005" i="2"/>
  <c r="V1005" i="2"/>
  <c r="U997" i="2"/>
  <c r="V997" i="2"/>
  <c r="U989" i="2"/>
  <c r="V989" i="2"/>
  <c r="U973" i="2"/>
  <c r="V973" i="2"/>
  <c r="U965" i="2"/>
  <c r="V965" i="2"/>
  <c r="U957" i="2"/>
  <c r="V957" i="2"/>
  <c r="U949" i="2"/>
  <c r="V949" i="2"/>
  <c r="U941" i="2"/>
  <c r="V941" i="2"/>
  <c r="U933" i="2"/>
  <c r="V933" i="2"/>
  <c r="U917" i="2"/>
  <c r="V917" i="2"/>
  <c r="U909" i="2"/>
  <c r="V909" i="2"/>
  <c r="U901" i="2"/>
  <c r="V901" i="2"/>
  <c r="U893" i="2"/>
  <c r="V893" i="2"/>
  <c r="U885" i="2"/>
  <c r="V885" i="2"/>
  <c r="U877" i="2"/>
  <c r="V877" i="2"/>
  <c r="U869" i="2"/>
  <c r="V869" i="2"/>
  <c r="U861" i="2"/>
  <c r="V861" i="2"/>
  <c r="U853" i="2"/>
  <c r="V853" i="2"/>
  <c r="U845" i="2"/>
  <c r="V845" i="2"/>
  <c r="U837" i="2"/>
  <c r="V837" i="2"/>
  <c r="U829" i="2"/>
  <c r="V829" i="2"/>
  <c r="U821" i="2"/>
  <c r="V821" i="2"/>
  <c r="U813" i="2"/>
  <c r="V813" i="2"/>
  <c r="U805" i="2"/>
  <c r="V805" i="2"/>
  <c r="U797" i="2"/>
  <c r="V797" i="2"/>
  <c r="U789" i="2"/>
  <c r="V789" i="2"/>
  <c r="U781" i="2"/>
  <c r="V781" i="2"/>
  <c r="U773" i="2"/>
  <c r="V773" i="2"/>
  <c r="U765" i="2"/>
  <c r="V765" i="2"/>
  <c r="U757" i="2"/>
  <c r="V757" i="2"/>
  <c r="U749" i="2"/>
  <c r="V749" i="2"/>
  <c r="U741" i="2"/>
  <c r="V741" i="2"/>
  <c r="U733" i="2"/>
  <c r="V733" i="2"/>
  <c r="U725" i="2"/>
  <c r="V725" i="2"/>
  <c r="U717" i="2"/>
  <c r="V717" i="2"/>
  <c r="U709" i="2"/>
  <c r="V709" i="2"/>
  <c r="U701" i="2"/>
  <c r="V701" i="2"/>
  <c r="U693" i="2"/>
  <c r="V693" i="2"/>
  <c r="U685" i="2"/>
  <c r="V685" i="2"/>
  <c r="U677" i="2"/>
  <c r="V677" i="2"/>
  <c r="U669" i="2"/>
  <c r="V669" i="2"/>
  <c r="U661" i="2"/>
  <c r="V661" i="2"/>
  <c r="U653" i="2"/>
  <c r="V653" i="2"/>
  <c r="U645" i="2"/>
  <c r="V645" i="2"/>
  <c r="U637" i="2"/>
  <c r="V637" i="2"/>
  <c r="U629" i="2"/>
  <c r="V629" i="2"/>
  <c r="U621" i="2"/>
  <c r="V621" i="2"/>
  <c r="U613" i="2"/>
  <c r="V613" i="2"/>
  <c r="U605" i="2"/>
  <c r="V605" i="2"/>
  <c r="U597" i="2"/>
  <c r="V597" i="2"/>
  <c r="V1724" i="2"/>
  <c r="V1709" i="2"/>
  <c r="V1668" i="2"/>
  <c r="V1621" i="2"/>
  <c r="V1572" i="2"/>
  <c r="V1444" i="2"/>
  <c r="V1407" i="2"/>
  <c r="V1346" i="2"/>
  <c r="V943" i="2"/>
  <c r="V494" i="2"/>
  <c r="U1804" i="2"/>
  <c r="V1804" i="2"/>
  <c r="U1772" i="2"/>
  <c r="V1772" i="2"/>
  <c r="U1740" i="2"/>
  <c r="V1740" i="2"/>
  <c r="U1708" i="2"/>
  <c r="V1708" i="2"/>
  <c r="U1692" i="2"/>
  <c r="V1692" i="2"/>
  <c r="U1684" i="2"/>
  <c r="V1684" i="2"/>
  <c r="U1644" i="2"/>
  <c r="V1644" i="2"/>
  <c r="U1628" i="2"/>
  <c r="V1628" i="2"/>
  <c r="U1612" i="2"/>
  <c r="V1612" i="2"/>
  <c r="U1596" i="2"/>
  <c r="V1596" i="2"/>
  <c r="U1580" i="2"/>
  <c r="V1580" i="2"/>
  <c r="U1564" i="2"/>
  <c r="V1564" i="2"/>
  <c r="U1548" i="2"/>
  <c r="V1548" i="2"/>
  <c r="U1532" i="2"/>
  <c r="V1532" i="2"/>
  <c r="U1516" i="2"/>
  <c r="V1516" i="2"/>
  <c r="U1500" i="2"/>
  <c r="V1500" i="2"/>
  <c r="U1484" i="2"/>
  <c r="V1484" i="2"/>
  <c r="U1468" i="2"/>
  <c r="V1468" i="2"/>
  <c r="U1452" i="2"/>
  <c r="V1452" i="2"/>
  <c r="U1436" i="2"/>
  <c r="V1436" i="2"/>
  <c r="U1420" i="2"/>
  <c r="V1420" i="2"/>
  <c r="U1404" i="2"/>
  <c r="V1404" i="2"/>
  <c r="U1396" i="2"/>
  <c r="V1396" i="2"/>
  <c r="U1380" i="2"/>
  <c r="V1380" i="2"/>
  <c r="U1372" i="2"/>
  <c r="V1372" i="2"/>
  <c r="U1364" i="2"/>
  <c r="V1364" i="2"/>
  <c r="U1356" i="2"/>
  <c r="V1356" i="2"/>
  <c r="U1348" i="2"/>
  <c r="V1348" i="2"/>
  <c r="U1340" i="2"/>
  <c r="V1340" i="2"/>
  <c r="U1332" i="2"/>
  <c r="V1332" i="2"/>
  <c r="U1316" i="2"/>
  <c r="V1316" i="2"/>
  <c r="U1308" i="2"/>
  <c r="V1308" i="2"/>
  <c r="U1300" i="2"/>
  <c r="V1300" i="2"/>
  <c r="U1292" i="2"/>
  <c r="V1292" i="2"/>
  <c r="U1284" i="2"/>
  <c r="V1284" i="2"/>
  <c r="U1276" i="2"/>
  <c r="V1276" i="2"/>
  <c r="U1268" i="2"/>
  <c r="V1268" i="2"/>
  <c r="U1260" i="2"/>
  <c r="V1260" i="2"/>
  <c r="U1252" i="2"/>
  <c r="V1252" i="2"/>
  <c r="U1244" i="2"/>
  <c r="V1244" i="2"/>
  <c r="U1236" i="2"/>
  <c r="V1236" i="2"/>
  <c r="U1228" i="2"/>
  <c r="V1228" i="2"/>
  <c r="U1220" i="2"/>
  <c r="V1220" i="2"/>
  <c r="U1212" i="2"/>
  <c r="V1212" i="2"/>
  <c r="U1204" i="2"/>
  <c r="V1204" i="2"/>
  <c r="U1196" i="2"/>
  <c r="V1196" i="2"/>
  <c r="U1188" i="2"/>
  <c r="V1188" i="2"/>
  <c r="U1180" i="2"/>
  <c r="V1180" i="2"/>
  <c r="U1172" i="2"/>
  <c r="V1172" i="2"/>
  <c r="U1164" i="2"/>
  <c r="V1164" i="2"/>
  <c r="U1156" i="2"/>
  <c r="V1156" i="2"/>
  <c r="U1148" i="2"/>
  <c r="V1148" i="2"/>
  <c r="U1140" i="2"/>
  <c r="V1140" i="2"/>
  <c r="U1132" i="2"/>
  <c r="V1132" i="2"/>
  <c r="U1124" i="2"/>
  <c r="V1124" i="2"/>
  <c r="U1116" i="2"/>
  <c r="V1116" i="2"/>
  <c r="U1108" i="2"/>
  <c r="V1108" i="2"/>
  <c r="U1100" i="2"/>
  <c r="V1100" i="2"/>
  <c r="U1092" i="2"/>
  <c r="V1092" i="2"/>
  <c r="U1084" i="2"/>
  <c r="V1084" i="2"/>
  <c r="U1076" i="2"/>
  <c r="V1076" i="2"/>
  <c r="U1068" i="2"/>
  <c r="V1068" i="2"/>
  <c r="U1060" i="2"/>
  <c r="V1060" i="2"/>
  <c r="U1052" i="2"/>
  <c r="V1052" i="2"/>
  <c r="U1044" i="2"/>
  <c r="V1044" i="2"/>
  <c r="U1036" i="2"/>
  <c r="V1036" i="2"/>
  <c r="U1028" i="2"/>
  <c r="V1028" i="2"/>
  <c r="U1020" i="2"/>
  <c r="V1020" i="2"/>
  <c r="U1012" i="2"/>
  <c r="V1012" i="2"/>
  <c r="U1004" i="2"/>
  <c r="V1004" i="2"/>
  <c r="U996" i="2"/>
  <c r="V996" i="2"/>
  <c r="U988" i="2"/>
  <c r="V988" i="2"/>
  <c r="U980" i="2"/>
  <c r="V980" i="2"/>
  <c r="U972" i="2"/>
  <c r="V972" i="2"/>
  <c r="U964" i="2"/>
  <c r="V964" i="2"/>
  <c r="U956" i="2"/>
  <c r="V956" i="2"/>
  <c r="U948" i="2"/>
  <c r="V948" i="2"/>
  <c r="U940" i="2"/>
  <c r="V940" i="2"/>
  <c r="U932" i="2"/>
  <c r="V932" i="2"/>
  <c r="U924" i="2"/>
  <c r="V924" i="2"/>
  <c r="U916" i="2"/>
  <c r="V916" i="2"/>
  <c r="U908" i="2"/>
  <c r="V908" i="2"/>
  <c r="U900" i="2"/>
  <c r="V900" i="2"/>
  <c r="U892" i="2"/>
  <c r="V892" i="2"/>
  <c r="U884" i="2"/>
  <c r="V884" i="2"/>
  <c r="U876" i="2"/>
  <c r="V876" i="2"/>
  <c r="U868" i="2"/>
  <c r="V868" i="2"/>
  <c r="U860" i="2"/>
  <c r="V860" i="2"/>
  <c r="U852" i="2"/>
  <c r="V852" i="2"/>
  <c r="U844" i="2"/>
  <c r="V844" i="2"/>
  <c r="U836" i="2"/>
  <c r="V836" i="2"/>
  <c r="U828" i="2"/>
  <c r="V828" i="2"/>
  <c r="U820" i="2"/>
  <c r="V820" i="2"/>
  <c r="U812" i="2"/>
  <c r="V812" i="2"/>
  <c r="U804" i="2"/>
  <c r="V804" i="2"/>
  <c r="U796" i="2"/>
  <c r="V796" i="2"/>
  <c r="U788" i="2"/>
  <c r="V788" i="2"/>
  <c r="V1756" i="2"/>
  <c r="V1741" i="2"/>
  <c r="V1620" i="2"/>
  <c r="V1541" i="2"/>
  <c r="V1487" i="2"/>
  <c r="V1394" i="2"/>
  <c r="V1278" i="2"/>
  <c r="V927" i="2"/>
  <c r="U1699" i="2"/>
  <c r="V1699" i="2"/>
  <c r="U1691" i="2"/>
  <c r="V1691" i="2"/>
  <c r="U1683" i="2"/>
  <c r="V1683" i="2"/>
  <c r="U1675" i="2"/>
  <c r="V1675" i="2"/>
  <c r="U1667" i="2"/>
  <c r="V1667" i="2"/>
  <c r="U1659" i="2"/>
  <c r="V1659" i="2"/>
  <c r="U1651" i="2"/>
  <c r="V1651" i="2"/>
  <c r="U1643" i="2"/>
  <c r="V1643" i="2"/>
  <c r="U1635" i="2"/>
  <c r="V1635" i="2"/>
  <c r="U1627" i="2"/>
  <c r="V1627" i="2"/>
  <c r="U1619" i="2"/>
  <c r="V1619" i="2"/>
  <c r="U1611" i="2"/>
  <c r="V1611" i="2"/>
  <c r="U1603" i="2"/>
  <c r="V1603" i="2"/>
  <c r="U1595" i="2"/>
  <c r="V1595" i="2"/>
  <c r="U1587" i="2"/>
  <c r="V1587" i="2"/>
  <c r="U1579" i="2"/>
  <c r="V1579" i="2"/>
  <c r="U1571" i="2"/>
  <c r="V1571" i="2"/>
  <c r="U1563" i="2"/>
  <c r="V1563" i="2"/>
  <c r="U1555" i="2"/>
  <c r="V1555" i="2"/>
  <c r="U1547" i="2"/>
  <c r="V1547" i="2"/>
  <c r="U1539" i="2"/>
  <c r="V1539" i="2"/>
  <c r="U1531" i="2"/>
  <c r="V1531" i="2"/>
  <c r="U1523" i="2"/>
  <c r="V1523" i="2"/>
  <c r="U1515" i="2"/>
  <c r="V1515" i="2"/>
  <c r="U1507" i="2"/>
  <c r="V1507" i="2"/>
  <c r="U1499" i="2"/>
  <c r="V1499" i="2"/>
  <c r="U1491" i="2"/>
  <c r="V1491" i="2"/>
  <c r="U1483" i="2"/>
  <c r="V1483" i="2"/>
  <c r="U1475" i="2"/>
  <c r="V1475" i="2"/>
  <c r="U1467" i="2"/>
  <c r="V1467" i="2"/>
  <c r="U1459" i="2"/>
  <c r="V1459" i="2"/>
  <c r="U1451" i="2"/>
  <c r="V1451" i="2"/>
  <c r="U1443" i="2"/>
  <c r="V1443" i="2"/>
  <c r="U1435" i="2"/>
  <c r="V1435" i="2"/>
  <c r="U1427" i="2"/>
  <c r="V1427" i="2"/>
  <c r="U1419" i="2"/>
  <c r="V1419" i="2"/>
  <c r="U1411" i="2"/>
  <c r="V1411" i="2"/>
  <c r="U1403" i="2"/>
  <c r="V1403" i="2"/>
  <c r="U1395" i="2"/>
  <c r="V1395" i="2"/>
  <c r="U1387" i="2"/>
  <c r="V1387" i="2"/>
  <c r="U1379" i="2"/>
  <c r="V1379" i="2"/>
  <c r="U1371" i="2"/>
  <c r="V1371" i="2"/>
  <c r="U1363" i="2"/>
  <c r="V1363" i="2"/>
  <c r="U1355" i="2"/>
  <c r="V1355" i="2"/>
  <c r="U1347" i="2"/>
  <c r="V1347" i="2"/>
  <c r="U1339" i="2"/>
  <c r="V1339" i="2"/>
  <c r="U1331" i="2"/>
  <c r="V1331" i="2"/>
  <c r="U1323" i="2"/>
  <c r="V1323" i="2"/>
  <c r="U1315" i="2"/>
  <c r="V1315" i="2"/>
  <c r="U1307" i="2"/>
  <c r="V1307" i="2"/>
  <c r="U1299" i="2"/>
  <c r="V1299" i="2"/>
  <c r="U1291" i="2"/>
  <c r="V1291" i="2"/>
  <c r="U1283" i="2"/>
  <c r="V1283" i="2"/>
  <c r="U1275" i="2"/>
  <c r="V1275" i="2"/>
  <c r="U1267" i="2"/>
  <c r="V1267" i="2"/>
  <c r="U1259" i="2"/>
  <c r="V1259" i="2"/>
  <c r="U1251" i="2"/>
  <c r="V1251" i="2"/>
  <c r="U1243" i="2"/>
  <c r="V1243" i="2"/>
  <c r="U1235" i="2"/>
  <c r="V1235" i="2"/>
  <c r="U1227" i="2"/>
  <c r="V1227" i="2"/>
  <c r="U1219" i="2"/>
  <c r="V1219" i="2"/>
  <c r="U1211" i="2"/>
  <c r="V1211" i="2"/>
  <c r="U1203" i="2"/>
  <c r="V1203" i="2"/>
  <c r="U1195" i="2"/>
  <c r="V1195" i="2"/>
  <c r="U1187" i="2"/>
  <c r="V1187" i="2"/>
  <c r="U1179" i="2"/>
  <c r="V1179" i="2"/>
  <c r="U1171" i="2"/>
  <c r="V1171" i="2"/>
  <c r="U1163" i="2"/>
  <c r="V1163" i="2"/>
  <c r="U1155" i="2"/>
  <c r="V1155" i="2"/>
  <c r="U1147" i="2"/>
  <c r="V1147" i="2"/>
  <c r="U1139" i="2"/>
  <c r="V1139" i="2"/>
  <c r="U1131" i="2"/>
  <c r="V1131" i="2"/>
  <c r="U1123" i="2"/>
  <c r="V1123" i="2"/>
  <c r="U1115" i="2"/>
  <c r="V1115" i="2"/>
  <c r="U1107" i="2"/>
  <c r="V1107" i="2"/>
  <c r="U1099" i="2"/>
  <c r="V1099" i="2"/>
  <c r="U1091" i="2"/>
  <c r="V1091" i="2"/>
  <c r="U1083" i="2"/>
  <c r="V1083" i="2"/>
  <c r="U1075" i="2"/>
  <c r="V1075" i="2"/>
  <c r="U1067" i="2"/>
  <c r="V1067" i="2"/>
  <c r="U1059" i="2"/>
  <c r="V1059" i="2"/>
  <c r="U1051" i="2"/>
  <c r="V1051" i="2"/>
  <c r="U1043" i="2"/>
  <c r="V1043" i="2"/>
  <c r="U1035" i="2"/>
  <c r="V1035" i="2"/>
  <c r="U1027" i="2"/>
  <c r="V1027" i="2"/>
  <c r="U1019" i="2"/>
  <c r="V1019" i="2"/>
  <c r="U1011" i="2"/>
  <c r="V1011" i="2"/>
  <c r="U1003" i="2"/>
  <c r="V1003" i="2"/>
  <c r="U995" i="2"/>
  <c r="V995" i="2"/>
  <c r="U987" i="2"/>
  <c r="V987" i="2"/>
  <c r="U979" i="2"/>
  <c r="V979" i="2"/>
  <c r="U971" i="2"/>
  <c r="V971" i="2"/>
  <c r="U963" i="2"/>
  <c r="V963" i="2"/>
  <c r="U955" i="2"/>
  <c r="V955" i="2"/>
  <c r="U947" i="2"/>
  <c r="V947" i="2"/>
  <c r="U939" i="2"/>
  <c r="V939" i="2"/>
  <c r="U931" i="2"/>
  <c r="V931" i="2"/>
  <c r="U923" i="2"/>
  <c r="V923" i="2"/>
  <c r="U915" i="2"/>
  <c r="V915" i="2"/>
  <c r="U907" i="2"/>
  <c r="V907" i="2"/>
  <c r="U899" i="2"/>
  <c r="V899" i="2"/>
  <c r="U891" i="2"/>
  <c r="V891" i="2"/>
  <c r="U883" i="2"/>
  <c r="V883" i="2"/>
  <c r="U875" i="2"/>
  <c r="V875" i="2"/>
  <c r="U867" i="2"/>
  <c r="V867" i="2"/>
  <c r="U859" i="2"/>
  <c r="V859" i="2"/>
  <c r="U851" i="2"/>
  <c r="V851" i="2"/>
  <c r="U843" i="2"/>
  <c r="V843" i="2"/>
  <c r="U835" i="2"/>
  <c r="V835" i="2"/>
  <c r="U827" i="2"/>
  <c r="V827" i="2"/>
  <c r="U819" i="2"/>
  <c r="V819" i="2"/>
  <c r="U811" i="2"/>
  <c r="V811" i="2"/>
  <c r="U803" i="2"/>
  <c r="V803" i="2"/>
  <c r="U795" i="2"/>
  <c r="V795" i="2"/>
  <c r="U787" i="2"/>
  <c r="V787" i="2"/>
  <c r="U779" i="2"/>
  <c r="V779" i="2"/>
  <c r="U771" i="2"/>
  <c r="V771" i="2"/>
  <c r="U763" i="2"/>
  <c r="V763" i="2"/>
  <c r="U755" i="2"/>
  <c r="V755" i="2"/>
  <c r="U747" i="2"/>
  <c r="V747" i="2"/>
  <c r="U739" i="2"/>
  <c r="V739" i="2"/>
  <c r="U731" i="2"/>
  <c r="V731" i="2"/>
  <c r="U723" i="2"/>
  <c r="V723" i="2"/>
  <c r="U715" i="2"/>
  <c r="V715" i="2"/>
  <c r="U707" i="2"/>
  <c r="V707" i="2"/>
  <c r="U699" i="2"/>
  <c r="V699" i="2"/>
  <c r="U691" i="2"/>
  <c r="V691" i="2"/>
  <c r="U683" i="2"/>
  <c r="V683" i="2"/>
  <c r="U675" i="2"/>
  <c r="V675" i="2"/>
  <c r="U667" i="2"/>
  <c r="V667" i="2"/>
  <c r="U659" i="2"/>
  <c r="V659" i="2"/>
  <c r="U651" i="2"/>
  <c r="V651" i="2"/>
  <c r="U643" i="2"/>
  <c r="V643" i="2"/>
  <c r="U635" i="2"/>
  <c r="V635" i="2"/>
  <c r="U627" i="2"/>
  <c r="V627" i="2"/>
  <c r="U619" i="2"/>
  <c r="V619" i="2"/>
  <c r="U611" i="2"/>
  <c r="V611" i="2"/>
  <c r="U603" i="2"/>
  <c r="V603" i="2"/>
  <c r="U595" i="2"/>
  <c r="V595" i="2"/>
  <c r="U587" i="2"/>
  <c r="V587" i="2"/>
  <c r="U571" i="2"/>
  <c r="V571" i="2"/>
  <c r="U563" i="2"/>
  <c r="V563" i="2"/>
  <c r="U555" i="2"/>
  <c r="V555" i="2"/>
  <c r="U547" i="2"/>
  <c r="V547" i="2"/>
  <c r="U539" i="2"/>
  <c r="V539" i="2"/>
  <c r="U531" i="2"/>
  <c r="V531" i="2"/>
  <c r="U523" i="2"/>
  <c r="V523" i="2"/>
  <c r="U515" i="2"/>
  <c r="V515" i="2"/>
  <c r="U507" i="2"/>
  <c r="V507" i="2"/>
  <c r="U499" i="2"/>
  <c r="V499" i="2"/>
  <c r="U491" i="2"/>
  <c r="V491" i="2"/>
  <c r="U483" i="2"/>
  <c r="V483" i="2"/>
  <c r="U475" i="2"/>
  <c r="V475" i="2"/>
  <c r="U467" i="2"/>
  <c r="V467" i="2"/>
  <c r="U459" i="2"/>
  <c r="V459" i="2"/>
  <c r="U451" i="2"/>
  <c r="V451" i="2"/>
  <c r="U443" i="2"/>
  <c r="V443" i="2"/>
  <c r="U435" i="2"/>
  <c r="V435" i="2"/>
  <c r="U427" i="2"/>
  <c r="V427" i="2"/>
  <c r="U419" i="2"/>
  <c r="V419" i="2"/>
  <c r="U411" i="2"/>
  <c r="V411" i="2"/>
  <c r="U403" i="2"/>
  <c r="V403" i="2"/>
  <c r="U395" i="2"/>
  <c r="V395" i="2"/>
  <c r="U387" i="2"/>
  <c r="V387" i="2"/>
  <c r="U379" i="2"/>
  <c r="V379" i="2"/>
  <c r="U371" i="2"/>
  <c r="V371" i="2"/>
  <c r="U363" i="2"/>
  <c r="V363" i="2"/>
  <c r="U355" i="2"/>
  <c r="V355" i="2"/>
  <c r="U347" i="2"/>
  <c r="V347" i="2"/>
  <c r="U339" i="2"/>
  <c r="V339" i="2"/>
  <c r="U331" i="2"/>
  <c r="V331" i="2"/>
  <c r="U323" i="2"/>
  <c r="V323" i="2"/>
  <c r="U315" i="2"/>
  <c r="V315" i="2"/>
  <c r="U307" i="2"/>
  <c r="V307" i="2"/>
  <c r="U299" i="2"/>
  <c r="V299" i="2"/>
  <c r="U291" i="2"/>
  <c r="V291" i="2"/>
  <c r="U283" i="2"/>
  <c r="V283" i="2"/>
  <c r="U275" i="2"/>
  <c r="V275" i="2"/>
  <c r="U267" i="2"/>
  <c r="V267" i="2"/>
  <c r="U259" i="2"/>
  <c r="V259" i="2"/>
  <c r="U251" i="2"/>
  <c r="V251" i="2"/>
  <c r="U243" i="2"/>
  <c r="V243" i="2"/>
  <c r="U235" i="2"/>
  <c r="V235" i="2"/>
  <c r="U227" i="2"/>
  <c r="V227" i="2"/>
  <c r="U219" i="2"/>
  <c r="V219" i="2"/>
  <c r="U211" i="2"/>
  <c r="V211" i="2"/>
  <c r="U203" i="2"/>
  <c r="V203" i="2"/>
  <c r="U195" i="2"/>
  <c r="V195" i="2"/>
  <c r="U187" i="2"/>
  <c r="V187" i="2"/>
  <c r="U179" i="2"/>
  <c r="V179" i="2"/>
  <c r="U171" i="2"/>
  <c r="V171" i="2"/>
  <c r="U163" i="2"/>
  <c r="V163" i="2"/>
  <c r="U155" i="2"/>
  <c r="V155" i="2"/>
  <c r="U147" i="2"/>
  <c r="V147" i="2"/>
  <c r="U139" i="2"/>
  <c r="V139" i="2"/>
  <c r="U131" i="2"/>
  <c r="V131" i="2"/>
  <c r="U123" i="2"/>
  <c r="V123" i="2"/>
  <c r="U115" i="2"/>
  <c r="V115" i="2"/>
  <c r="U107" i="2"/>
  <c r="V107" i="2"/>
  <c r="U99" i="2"/>
  <c r="V99" i="2"/>
  <c r="U91" i="2"/>
  <c r="V91" i="2"/>
  <c r="U83" i="2"/>
  <c r="V83" i="2"/>
  <c r="U75" i="2"/>
  <c r="V75" i="2"/>
  <c r="U67" i="2"/>
  <c r="V67" i="2"/>
  <c r="U59" i="2"/>
  <c r="V59" i="2"/>
  <c r="U51" i="2"/>
  <c r="V51" i="2"/>
  <c r="U43" i="2"/>
  <c r="V43" i="2"/>
  <c r="U35" i="2"/>
  <c r="V35" i="2"/>
  <c r="U27" i="2"/>
  <c r="V27" i="2"/>
  <c r="U19" i="2"/>
  <c r="V19" i="2"/>
  <c r="U11" i="2"/>
  <c r="V11" i="2"/>
  <c r="U3" i="2"/>
  <c r="V3" i="2"/>
  <c r="V1788" i="2"/>
  <c r="V1773" i="2"/>
  <c r="V1685" i="2"/>
  <c r="V1589" i="2"/>
  <c r="V1540" i="2"/>
  <c r="V1476" i="2"/>
  <c r="V1439" i="2"/>
  <c r="V1389" i="2"/>
  <c r="V1330" i="2"/>
  <c r="V1270" i="2"/>
  <c r="V1157" i="2"/>
  <c r="V925" i="2"/>
  <c r="U1818" i="2"/>
  <c r="V1818" i="2"/>
  <c r="U1810" i="2"/>
  <c r="V1810" i="2"/>
  <c r="U1802" i="2"/>
  <c r="V1802" i="2"/>
  <c r="U1794" i="2"/>
  <c r="V1794" i="2"/>
  <c r="U1786" i="2"/>
  <c r="V1786" i="2"/>
  <c r="U1778" i="2"/>
  <c r="V1778" i="2"/>
  <c r="U1770" i="2"/>
  <c r="V1770" i="2"/>
  <c r="U1762" i="2"/>
  <c r="V1762" i="2"/>
  <c r="U1754" i="2"/>
  <c r="V1754" i="2"/>
  <c r="U1746" i="2"/>
  <c r="V1746" i="2"/>
  <c r="U1738" i="2"/>
  <c r="V1738" i="2"/>
  <c r="U1730" i="2"/>
  <c r="V1730" i="2"/>
  <c r="U1722" i="2"/>
  <c r="V1722" i="2"/>
  <c r="U1714" i="2"/>
  <c r="V1714" i="2"/>
  <c r="U1706" i="2"/>
  <c r="V1706" i="2"/>
  <c r="U1698" i="2"/>
  <c r="V1698" i="2"/>
  <c r="U1690" i="2"/>
  <c r="V1690" i="2"/>
  <c r="U1682" i="2"/>
  <c r="V1682" i="2"/>
  <c r="U1674" i="2"/>
  <c r="V1674" i="2"/>
  <c r="U1666" i="2"/>
  <c r="V1666" i="2"/>
  <c r="U1658" i="2"/>
  <c r="V1658" i="2"/>
  <c r="U1650" i="2"/>
  <c r="V1650" i="2"/>
  <c r="U1642" i="2"/>
  <c r="V1642" i="2"/>
  <c r="U1634" i="2"/>
  <c r="V1634" i="2"/>
  <c r="U1626" i="2"/>
  <c r="V1626" i="2"/>
  <c r="U1618" i="2"/>
  <c r="V1618" i="2"/>
  <c r="U1610" i="2"/>
  <c r="V1610" i="2"/>
  <c r="U1602" i="2"/>
  <c r="V1602" i="2"/>
  <c r="U1594" i="2"/>
  <c r="V1594" i="2"/>
  <c r="U1586" i="2"/>
  <c r="V1586" i="2"/>
  <c r="U1578" i="2"/>
  <c r="V1578" i="2"/>
  <c r="U1570" i="2"/>
  <c r="V1570" i="2"/>
  <c r="U1562" i="2"/>
  <c r="V1562" i="2"/>
  <c r="U1554" i="2"/>
  <c r="V1554" i="2"/>
  <c r="U1546" i="2"/>
  <c r="V1546" i="2"/>
  <c r="U1538" i="2"/>
  <c r="V1538" i="2"/>
  <c r="U1530" i="2"/>
  <c r="V1530" i="2"/>
  <c r="U1522" i="2"/>
  <c r="V1522" i="2"/>
  <c r="U1514" i="2"/>
  <c r="V1514" i="2"/>
  <c r="U1506" i="2"/>
  <c r="V1506" i="2"/>
  <c r="U1498" i="2"/>
  <c r="V1498" i="2"/>
  <c r="U1490" i="2"/>
  <c r="V1490" i="2"/>
  <c r="U1482" i="2"/>
  <c r="V1482" i="2"/>
  <c r="U1474" i="2"/>
  <c r="V1474" i="2"/>
  <c r="U1466" i="2"/>
  <c r="V1466" i="2"/>
  <c r="U1458" i="2"/>
  <c r="V1458" i="2"/>
  <c r="U1450" i="2"/>
  <c r="V1450" i="2"/>
  <c r="U1442" i="2"/>
  <c r="V1442" i="2"/>
  <c r="U1434" i="2"/>
  <c r="V1434" i="2"/>
  <c r="U1426" i="2"/>
  <c r="V1426" i="2"/>
  <c r="U1418" i="2"/>
  <c r="V1418" i="2"/>
  <c r="U1410" i="2"/>
  <c r="V1410" i="2"/>
  <c r="U1402" i="2"/>
  <c r="V1402" i="2"/>
  <c r="U1386" i="2"/>
  <c r="V1386" i="2"/>
  <c r="U1378" i="2"/>
  <c r="V1378" i="2"/>
  <c r="U1370" i="2"/>
  <c r="V1370" i="2"/>
  <c r="U1362" i="2"/>
  <c r="V1362" i="2"/>
  <c r="U1354" i="2"/>
  <c r="V1354" i="2"/>
  <c r="U1338" i="2"/>
  <c r="V1338" i="2"/>
  <c r="U1322" i="2"/>
  <c r="V1322" i="2"/>
  <c r="U1314" i="2"/>
  <c r="V1314" i="2"/>
  <c r="U1306" i="2"/>
  <c r="V1306" i="2"/>
  <c r="U1298" i="2"/>
  <c r="V1298" i="2"/>
  <c r="U1290" i="2"/>
  <c r="V1290" i="2"/>
  <c r="U1282" i="2"/>
  <c r="V1282" i="2"/>
  <c r="U1274" i="2"/>
  <c r="V1274" i="2"/>
  <c r="U1266" i="2"/>
  <c r="V1266" i="2"/>
  <c r="U1258" i="2"/>
  <c r="V1258" i="2"/>
  <c r="U1250" i="2"/>
  <c r="V1250" i="2"/>
  <c r="U1242" i="2"/>
  <c r="V1242" i="2"/>
  <c r="U1234" i="2"/>
  <c r="V1234" i="2"/>
  <c r="U1226" i="2"/>
  <c r="V1226" i="2"/>
  <c r="U1218" i="2"/>
  <c r="V1218" i="2"/>
  <c r="U1210" i="2"/>
  <c r="V1210" i="2"/>
  <c r="U1202" i="2"/>
  <c r="V1202" i="2"/>
  <c r="U1194" i="2"/>
  <c r="V1194" i="2"/>
  <c r="U1186" i="2"/>
  <c r="V1186" i="2"/>
  <c r="U1178" i="2"/>
  <c r="V1178" i="2"/>
  <c r="U1170" i="2"/>
  <c r="V1170" i="2"/>
  <c r="U1162" i="2"/>
  <c r="V1162" i="2"/>
  <c r="U1154" i="2"/>
  <c r="V1154" i="2"/>
  <c r="U1146" i="2"/>
  <c r="V1146" i="2"/>
  <c r="U1138" i="2"/>
  <c r="V1138" i="2"/>
  <c r="U1130" i="2"/>
  <c r="V1130" i="2"/>
  <c r="U1122" i="2"/>
  <c r="V1122" i="2"/>
  <c r="U1114" i="2"/>
  <c r="V1114" i="2"/>
  <c r="U1106" i="2"/>
  <c r="V1106" i="2"/>
  <c r="U1098" i="2"/>
  <c r="V1098" i="2"/>
  <c r="U1090" i="2"/>
  <c r="V1090" i="2"/>
  <c r="U1082" i="2"/>
  <c r="V1082" i="2"/>
  <c r="U1074" i="2"/>
  <c r="V1074" i="2"/>
  <c r="U1066" i="2"/>
  <c r="V1066" i="2"/>
  <c r="U1058" i="2"/>
  <c r="V1058" i="2"/>
  <c r="U1050" i="2"/>
  <c r="V1050" i="2"/>
  <c r="U1042" i="2"/>
  <c r="V1042" i="2"/>
  <c r="U1034" i="2"/>
  <c r="V1034" i="2"/>
  <c r="U1026" i="2"/>
  <c r="V1026" i="2"/>
  <c r="U1018" i="2"/>
  <c r="V1018" i="2"/>
  <c r="U1010" i="2"/>
  <c r="V1010" i="2"/>
  <c r="U1002" i="2"/>
  <c r="V1002" i="2"/>
  <c r="U994" i="2"/>
  <c r="V994" i="2"/>
  <c r="U986" i="2"/>
  <c r="V986" i="2"/>
  <c r="U978" i="2"/>
  <c r="V978" i="2"/>
  <c r="U970" i="2"/>
  <c r="V970" i="2"/>
  <c r="U962" i="2"/>
  <c r="V962" i="2"/>
  <c r="U954" i="2"/>
  <c r="V954" i="2"/>
  <c r="U946" i="2"/>
  <c r="V946" i="2"/>
  <c r="U938" i="2"/>
  <c r="V938" i="2"/>
  <c r="U930" i="2"/>
  <c r="V930" i="2"/>
  <c r="U922" i="2"/>
  <c r="V922" i="2"/>
  <c r="U914" i="2"/>
  <c r="V914" i="2"/>
  <c r="U906" i="2"/>
  <c r="V906" i="2"/>
  <c r="U898" i="2"/>
  <c r="V898" i="2"/>
  <c r="U890" i="2"/>
  <c r="V890" i="2"/>
  <c r="U882" i="2"/>
  <c r="V882" i="2"/>
  <c r="U874" i="2"/>
  <c r="V874" i="2"/>
  <c r="U866" i="2"/>
  <c r="V866" i="2"/>
  <c r="U858" i="2"/>
  <c r="V858" i="2"/>
  <c r="U850" i="2"/>
  <c r="V850" i="2"/>
  <c r="U842" i="2"/>
  <c r="V842" i="2"/>
  <c r="U834" i="2"/>
  <c r="V834" i="2"/>
  <c r="U826" i="2"/>
  <c r="V826" i="2"/>
  <c r="U818" i="2"/>
  <c r="V818" i="2"/>
  <c r="U810" i="2"/>
  <c r="V810" i="2"/>
  <c r="U802" i="2"/>
  <c r="V802" i="2"/>
  <c r="U794" i="2"/>
  <c r="V794" i="2"/>
  <c r="U786" i="2"/>
  <c r="V786" i="2"/>
  <c r="U778" i="2"/>
  <c r="V778" i="2"/>
  <c r="U770" i="2"/>
  <c r="V770" i="2"/>
  <c r="U762" i="2"/>
  <c r="V762" i="2"/>
  <c r="U754" i="2"/>
  <c r="V754" i="2"/>
  <c r="U746" i="2"/>
  <c r="V746" i="2"/>
  <c r="U738" i="2"/>
  <c r="V738" i="2"/>
  <c r="U730" i="2"/>
  <c r="V730" i="2"/>
  <c r="U722" i="2"/>
  <c r="V722" i="2"/>
  <c r="U714" i="2"/>
  <c r="V714" i="2"/>
  <c r="U706" i="2"/>
  <c r="V706" i="2"/>
  <c r="U698" i="2"/>
  <c r="V698" i="2"/>
  <c r="U690" i="2"/>
  <c r="V690" i="2"/>
  <c r="U682" i="2"/>
  <c r="V682" i="2"/>
  <c r="U674" i="2"/>
  <c r="V674" i="2"/>
  <c r="V1820" i="2"/>
  <c r="V1805" i="2"/>
  <c r="V1701" i="2"/>
  <c r="V1661" i="2"/>
  <c r="V1637" i="2"/>
  <c r="V1588" i="2"/>
  <c r="V1509" i="2"/>
  <c r="V1428" i="2"/>
  <c r="V1388" i="2"/>
  <c r="V1325" i="2"/>
  <c r="V1029" i="2"/>
  <c r="V879" i="2"/>
  <c r="V687" i="2"/>
  <c r="U589" i="2"/>
  <c r="V589" i="2"/>
  <c r="U581" i="2"/>
  <c r="V581" i="2"/>
  <c r="U573" i="2"/>
  <c r="V573" i="2"/>
  <c r="U565" i="2"/>
  <c r="V565" i="2"/>
  <c r="U557" i="2"/>
  <c r="V557" i="2"/>
  <c r="U549" i="2"/>
  <c r="V549" i="2"/>
  <c r="U541" i="2"/>
  <c r="V541" i="2"/>
  <c r="U533" i="2"/>
  <c r="V533" i="2"/>
  <c r="U525" i="2"/>
  <c r="V525" i="2"/>
  <c r="U517" i="2"/>
  <c r="V517" i="2"/>
  <c r="U509" i="2"/>
  <c r="V509" i="2"/>
  <c r="U501" i="2"/>
  <c r="V501" i="2"/>
  <c r="U493" i="2"/>
  <c r="V493" i="2"/>
  <c r="U469" i="2"/>
  <c r="V469" i="2"/>
  <c r="U461" i="2"/>
  <c r="V461" i="2"/>
  <c r="U453" i="2"/>
  <c r="V453" i="2"/>
  <c r="U445" i="2"/>
  <c r="V445" i="2"/>
  <c r="U437" i="2"/>
  <c r="V437" i="2"/>
  <c r="U429" i="2"/>
  <c r="V429" i="2"/>
  <c r="U421" i="2"/>
  <c r="V421" i="2"/>
  <c r="U413" i="2"/>
  <c r="V413" i="2"/>
  <c r="U405" i="2"/>
  <c r="V405" i="2"/>
  <c r="U397" i="2"/>
  <c r="V397" i="2"/>
  <c r="U389" i="2"/>
  <c r="V389" i="2"/>
  <c r="U381" i="2"/>
  <c r="V381" i="2"/>
  <c r="U373" i="2"/>
  <c r="V373" i="2"/>
  <c r="U365" i="2"/>
  <c r="V365" i="2"/>
  <c r="U357" i="2"/>
  <c r="V357" i="2"/>
  <c r="U349" i="2"/>
  <c r="V349" i="2"/>
  <c r="U341" i="2"/>
  <c r="V341" i="2"/>
  <c r="U333" i="2"/>
  <c r="V333" i="2"/>
  <c r="U325" i="2"/>
  <c r="V325" i="2"/>
  <c r="U317" i="2"/>
  <c r="V317" i="2"/>
  <c r="U309" i="2"/>
  <c r="V309" i="2"/>
  <c r="U301" i="2"/>
  <c r="V301" i="2"/>
  <c r="U293" i="2"/>
  <c r="V293" i="2"/>
  <c r="U285" i="2"/>
  <c r="V285" i="2"/>
  <c r="U277" i="2"/>
  <c r="V277" i="2"/>
  <c r="U269" i="2"/>
  <c r="V269" i="2"/>
  <c r="U261" i="2"/>
  <c r="V261" i="2"/>
  <c r="U253" i="2"/>
  <c r="V253" i="2"/>
  <c r="U245" i="2"/>
  <c r="V245" i="2"/>
  <c r="U237" i="2"/>
  <c r="V237" i="2"/>
  <c r="U229" i="2"/>
  <c r="V229" i="2"/>
  <c r="U221" i="2"/>
  <c r="V221" i="2"/>
  <c r="U213" i="2"/>
  <c r="V213" i="2"/>
  <c r="U205" i="2"/>
  <c r="V205" i="2"/>
  <c r="U197" i="2"/>
  <c r="V197" i="2"/>
  <c r="U189" i="2"/>
  <c r="V189" i="2"/>
  <c r="U181" i="2"/>
  <c r="V181" i="2"/>
  <c r="U173" i="2"/>
  <c r="V173" i="2"/>
  <c r="U165" i="2"/>
  <c r="V165" i="2"/>
  <c r="U157" i="2"/>
  <c r="V157" i="2"/>
  <c r="U149" i="2"/>
  <c r="V149" i="2"/>
  <c r="U141" i="2"/>
  <c r="V141" i="2"/>
  <c r="U125" i="2"/>
  <c r="V125" i="2"/>
  <c r="U117" i="2"/>
  <c r="V117" i="2"/>
  <c r="U109" i="2"/>
  <c r="V109" i="2"/>
  <c r="U101" i="2"/>
  <c r="V101" i="2"/>
  <c r="U93" i="2"/>
  <c r="V93" i="2"/>
  <c r="U85" i="2"/>
  <c r="V85" i="2"/>
  <c r="U77" i="2"/>
  <c r="V77" i="2"/>
  <c r="U69" i="2"/>
  <c r="V69" i="2"/>
  <c r="U61" i="2"/>
  <c r="V61" i="2"/>
  <c r="U53" i="2"/>
  <c r="V53" i="2"/>
  <c r="U45" i="2"/>
  <c r="V45" i="2"/>
  <c r="U37" i="2"/>
  <c r="V37" i="2"/>
  <c r="U21" i="2"/>
  <c r="V21" i="2"/>
  <c r="U13" i="2"/>
  <c r="V13" i="2"/>
  <c r="V578" i="2"/>
  <c r="V450" i="2"/>
  <c r="V306" i="2"/>
  <c r="U780" i="2"/>
  <c r="V780" i="2"/>
  <c r="U772" i="2"/>
  <c r="V772" i="2"/>
  <c r="U764" i="2"/>
  <c r="V764" i="2"/>
  <c r="U756" i="2"/>
  <c r="V756" i="2"/>
  <c r="U748" i="2"/>
  <c r="V748" i="2"/>
  <c r="U740" i="2"/>
  <c r="V740" i="2"/>
  <c r="U732" i="2"/>
  <c r="V732" i="2"/>
  <c r="U724" i="2"/>
  <c r="V724" i="2"/>
  <c r="U716" i="2"/>
  <c r="V716" i="2"/>
  <c r="U708" i="2"/>
  <c r="V708" i="2"/>
  <c r="U700" i="2"/>
  <c r="V700" i="2"/>
  <c r="U692" i="2"/>
  <c r="V692" i="2"/>
  <c r="U684" i="2"/>
  <c r="V684" i="2"/>
  <c r="U676" i="2"/>
  <c r="V676" i="2"/>
  <c r="U668" i="2"/>
  <c r="V668" i="2"/>
  <c r="U660" i="2"/>
  <c r="V660" i="2"/>
  <c r="U652" i="2"/>
  <c r="V652" i="2"/>
  <c r="U644" i="2"/>
  <c r="V644" i="2"/>
  <c r="U636" i="2"/>
  <c r="V636" i="2"/>
  <c r="U628" i="2"/>
  <c r="V628" i="2"/>
  <c r="U620" i="2"/>
  <c r="V620" i="2"/>
  <c r="U612" i="2"/>
  <c r="V612" i="2"/>
  <c r="U604" i="2"/>
  <c r="V604" i="2"/>
  <c r="U596" i="2"/>
  <c r="V596" i="2"/>
  <c r="U588" i="2"/>
  <c r="V588" i="2"/>
  <c r="U580" i="2"/>
  <c r="V580" i="2"/>
  <c r="U572" i="2"/>
  <c r="V572" i="2"/>
  <c r="U564" i="2"/>
  <c r="V564" i="2"/>
  <c r="U556" i="2"/>
  <c r="V556" i="2"/>
  <c r="U548" i="2"/>
  <c r="V548" i="2"/>
  <c r="U540" i="2"/>
  <c r="V540" i="2"/>
  <c r="U532" i="2"/>
  <c r="V532" i="2"/>
  <c r="U524" i="2"/>
  <c r="V524" i="2"/>
  <c r="U516" i="2"/>
  <c r="V516" i="2"/>
  <c r="U508" i="2"/>
  <c r="V508" i="2"/>
  <c r="U500" i="2"/>
  <c r="V500" i="2"/>
  <c r="U492" i="2"/>
  <c r="V492" i="2"/>
  <c r="U484" i="2"/>
  <c r="V484" i="2"/>
  <c r="U476" i="2"/>
  <c r="V476" i="2"/>
  <c r="U468" i="2"/>
  <c r="V468" i="2"/>
  <c r="U460" i="2"/>
  <c r="V460" i="2"/>
  <c r="U452" i="2"/>
  <c r="V452" i="2"/>
  <c r="U444" i="2"/>
  <c r="V444" i="2"/>
  <c r="U436" i="2"/>
  <c r="V436" i="2"/>
  <c r="U428" i="2"/>
  <c r="V428" i="2"/>
  <c r="U420" i="2"/>
  <c r="V420" i="2"/>
  <c r="U412" i="2"/>
  <c r="V412" i="2"/>
  <c r="U404" i="2"/>
  <c r="V404" i="2"/>
  <c r="U396" i="2"/>
  <c r="V396" i="2"/>
  <c r="U388" i="2"/>
  <c r="V388" i="2"/>
  <c r="U380" i="2"/>
  <c r="V380" i="2"/>
  <c r="U372" i="2"/>
  <c r="V372" i="2"/>
  <c r="U364" i="2"/>
  <c r="V364" i="2"/>
  <c r="U356" i="2"/>
  <c r="V356" i="2"/>
  <c r="U348" i="2"/>
  <c r="V348" i="2"/>
  <c r="U340" i="2"/>
  <c r="V340" i="2"/>
  <c r="U332" i="2"/>
  <c r="V332" i="2"/>
  <c r="U324" i="2"/>
  <c r="V324" i="2"/>
  <c r="U316" i="2"/>
  <c r="V316" i="2"/>
  <c r="U308" i="2"/>
  <c r="V308" i="2"/>
  <c r="U300" i="2"/>
  <c r="V300" i="2"/>
  <c r="U292" i="2"/>
  <c r="V292" i="2"/>
  <c r="U284" i="2"/>
  <c r="V284" i="2"/>
  <c r="U276" i="2"/>
  <c r="V276" i="2"/>
  <c r="U268" i="2"/>
  <c r="V268" i="2"/>
  <c r="U260" i="2"/>
  <c r="V260" i="2"/>
  <c r="U252" i="2"/>
  <c r="V252" i="2"/>
  <c r="U244" i="2"/>
  <c r="V244" i="2"/>
  <c r="U236" i="2"/>
  <c r="V236" i="2"/>
  <c r="U228" i="2"/>
  <c r="V228" i="2"/>
  <c r="U220" i="2"/>
  <c r="V220" i="2"/>
  <c r="U212" i="2"/>
  <c r="V212" i="2"/>
  <c r="U204" i="2"/>
  <c r="V204" i="2"/>
  <c r="U196" i="2"/>
  <c r="V196" i="2"/>
  <c r="U188" i="2"/>
  <c r="V188" i="2"/>
  <c r="U180" i="2"/>
  <c r="V180" i="2"/>
  <c r="U172" i="2"/>
  <c r="V172" i="2"/>
  <c r="U164" i="2"/>
  <c r="V164" i="2"/>
  <c r="U156" i="2"/>
  <c r="V156" i="2"/>
  <c r="U148" i="2"/>
  <c r="V148" i="2"/>
  <c r="U140" i="2"/>
  <c r="V140" i="2"/>
  <c r="U132" i="2"/>
  <c r="V132" i="2"/>
  <c r="U124" i="2"/>
  <c r="V124" i="2"/>
  <c r="U116" i="2"/>
  <c r="V116" i="2"/>
  <c r="U108" i="2"/>
  <c r="V108" i="2"/>
  <c r="U100" i="2"/>
  <c r="V100" i="2"/>
  <c r="U92" i="2"/>
  <c r="V92" i="2"/>
  <c r="U84" i="2"/>
  <c r="V84" i="2"/>
  <c r="U76" i="2"/>
  <c r="V76" i="2"/>
  <c r="U68" i="2"/>
  <c r="V68" i="2"/>
  <c r="U60" i="2"/>
  <c r="V60" i="2"/>
  <c r="U52" i="2"/>
  <c r="V52" i="2"/>
  <c r="U44" i="2"/>
  <c r="V44" i="2"/>
  <c r="U36" i="2"/>
  <c r="V36" i="2"/>
  <c r="U28" i="2"/>
  <c r="V28" i="2"/>
  <c r="U20" i="2"/>
  <c r="V20" i="2"/>
  <c r="U12" i="2"/>
  <c r="V12" i="2"/>
  <c r="U4" i="2"/>
  <c r="V4" i="2"/>
  <c r="V258" i="2"/>
  <c r="V114" i="2"/>
  <c r="U666" i="2"/>
  <c r="V666" i="2"/>
  <c r="U658" i="2"/>
  <c r="V658" i="2"/>
  <c r="U650" i="2"/>
  <c r="V650" i="2"/>
  <c r="U642" i="2"/>
  <c r="V642" i="2"/>
  <c r="U634" i="2"/>
  <c r="V634" i="2"/>
  <c r="U626" i="2"/>
  <c r="V626" i="2"/>
  <c r="U618" i="2"/>
  <c r="V618" i="2"/>
  <c r="U610" i="2"/>
  <c r="V610" i="2"/>
  <c r="U602" i="2"/>
  <c r="V602" i="2"/>
  <c r="U594" i="2"/>
  <c r="V594" i="2"/>
  <c r="U586" i="2"/>
  <c r="V586" i="2"/>
  <c r="U570" i="2"/>
  <c r="V570" i="2"/>
  <c r="U562" i="2"/>
  <c r="V562" i="2"/>
  <c r="U554" i="2"/>
  <c r="V554" i="2"/>
  <c r="U546" i="2"/>
  <c r="V546" i="2"/>
  <c r="U538" i="2"/>
  <c r="V538" i="2"/>
  <c r="U530" i="2"/>
  <c r="V530" i="2"/>
  <c r="U522" i="2"/>
  <c r="V522" i="2"/>
  <c r="U514" i="2"/>
  <c r="V514" i="2"/>
  <c r="U506" i="2"/>
  <c r="V506" i="2"/>
  <c r="U498" i="2"/>
  <c r="V498" i="2"/>
  <c r="U490" i="2"/>
  <c r="V490" i="2"/>
  <c r="U482" i="2"/>
  <c r="V482" i="2"/>
  <c r="U474" i="2"/>
  <c r="V474" i="2"/>
  <c r="U466" i="2"/>
  <c r="V466" i="2"/>
  <c r="U458" i="2"/>
  <c r="V458" i="2"/>
  <c r="U442" i="2"/>
  <c r="V442" i="2"/>
  <c r="U426" i="2"/>
  <c r="V426" i="2"/>
  <c r="U418" i="2"/>
  <c r="V418" i="2"/>
  <c r="U410" i="2"/>
  <c r="V410" i="2"/>
  <c r="U402" i="2"/>
  <c r="V402" i="2"/>
  <c r="U394" i="2"/>
  <c r="V394" i="2"/>
  <c r="U378" i="2"/>
  <c r="V378" i="2"/>
  <c r="U362" i="2"/>
  <c r="V362" i="2"/>
  <c r="U354" i="2"/>
  <c r="V354" i="2"/>
  <c r="U346" i="2"/>
  <c r="V346" i="2"/>
  <c r="U338" i="2"/>
  <c r="V338" i="2"/>
  <c r="U330" i="2"/>
  <c r="V330" i="2"/>
  <c r="U314" i="2"/>
  <c r="V314" i="2"/>
  <c r="U298" i="2"/>
  <c r="V298" i="2"/>
  <c r="U290" i="2"/>
  <c r="V290" i="2"/>
  <c r="U282" i="2"/>
  <c r="V282" i="2"/>
  <c r="U274" i="2"/>
  <c r="V274" i="2"/>
  <c r="U266" i="2"/>
  <c r="V266" i="2"/>
  <c r="U250" i="2"/>
  <c r="V250" i="2"/>
  <c r="U234" i="2"/>
  <c r="V234" i="2"/>
  <c r="U226" i="2"/>
  <c r="V226" i="2"/>
  <c r="U218" i="2"/>
  <c r="V218" i="2"/>
  <c r="U210" i="2"/>
  <c r="V210" i="2"/>
  <c r="U202" i="2"/>
  <c r="V202" i="2"/>
  <c r="U186" i="2"/>
  <c r="V186" i="2"/>
  <c r="U170" i="2"/>
  <c r="V170" i="2"/>
  <c r="U162" i="2"/>
  <c r="V162" i="2"/>
  <c r="U154" i="2"/>
  <c r="V154" i="2"/>
  <c r="U146" i="2"/>
  <c r="V146" i="2"/>
  <c r="U138" i="2"/>
  <c r="V138" i="2"/>
  <c r="U122" i="2"/>
  <c r="V122" i="2"/>
  <c r="U106" i="2"/>
  <c r="V106" i="2"/>
  <c r="U98" i="2"/>
  <c r="V98" i="2"/>
  <c r="U90" i="2"/>
  <c r="V90" i="2"/>
  <c r="U82" i="2"/>
  <c r="V82" i="2"/>
  <c r="U74" i="2"/>
  <c r="V74" i="2"/>
  <c r="U58" i="2"/>
  <c r="V58" i="2"/>
  <c r="U42" i="2"/>
  <c r="V42" i="2"/>
  <c r="U34" i="2"/>
  <c r="V34" i="2"/>
  <c r="U26" i="2"/>
  <c r="V26" i="2"/>
  <c r="U18" i="2"/>
  <c r="V18" i="2"/>
  <c r="V386" i="2"/>
  <c r="V242" i="2"/>
  <c r="U10" i="2"/>
  <c r="V10" i="2"/>
  <c r="V2" i="2"/>
</calcChain>
</file>

<file path=xl/sharedStrings.xml><?xml version="1.0" encoding="utf-8"?>
<sst xmlns="http://schemas.openxmlformats.org/spreadsheetml/2006/main" count="36534" uniqueCount="94">
  <si>
    <t>OrderID</t>
  </si>
  <si>
    <t>OrderDate</t>
  </si>
  <si>
    <t>ShipDate</t>
  </si>
  <si>
    <t>DeliveryDate</t>
  </si>
  <si>
    <t>Region</t>
  </si>
  <si>
    <t>Country</t>
  </si>
  <si>
    <t>State</t>
  </si>
  <si>
    <t>City</t>
  </si>
  <si>
    <t>Category</t>
  </si>
  <si>
    <t>Sub-Category</t>
  </si>
  <si>
    <t>Product</t>
  </si>
  <si>
    <t>Customer Segment</t>
  </si>
  <si>
    <t>Sales</t>
  </si>
  <si>
    <t>Discount</t>
  </si>
  <si>
    <t>Profit</t>
  </si>
  <si>
    <t>Quantity</t>
  </si>
  <si>
    <t>Payment Mode</t>
  </si>
  <si>
    <t>Order Priority</t>
  </si>
  <si>
    <t>West</t>
  </si>
  <si>
    <t>North</t>
  </si>
  <si>
    <t>South</t>
  </si>
  <si>
    <t>East</t>
  </si>
  <si>
    <t>India</t>
  </si>
  <si>
    <t>Karnataka</t>
  </si>
  <si>
    <t>Telangana</t>
  </si>
  <si>
    <t>Delhi</t>
  </si>
  <si>
    <t>Kerala</t>
  </si>
  <si>
    <t>Tamil Nadu</t>
  </si>
  <si>
    <t>Maharashtra</t>
  </si>
  <si>
    <t>Bangalore</t>
  </si>
  <si>
    <t>Kochi</t>
  </si>
  <si>
    <t>Chennai</t>
  </si>
  <si>
    <t>Mumbai</t>
  </si>
  <si>
    <t>Hyderabad</t>
  </si>
  <si>
    <t>Office Supplies</t>
  </si>
  <si>
    <t>Technology</t>
  </si>
  <si>
    <t>Furniture</t>
  </si>
  <si>
    <t>Mobile</t>
  </si>
  <si>
    <t>Laptop</t>
  </si>
  <si>
    <t>Printer</t>
  </si>
  <si>
    <t>Notebook</t>
  </si>
  <si>
    <t>Chair</t>
  </si>
  <si>
    <t>Table</t>
  </si>
  <si>
    <t>Pen</t>
  </si>
  <si>
    <t>Dining Table</t>
  </si>
  <si>
    <t>Office Chair</t>
  </si>
  <si>
    <t>Gaming Laptop</t>
  </si>
  <si>
    <t>Spiral Notebook</t>
  </si>
  <si>
    <t>Gel Pen</t>
  </si>
  <si>
    <t>Laser Printer</t>
  </si>
  <si>
    <t>Smartphone</t>
  </si>
  <si>
    <t>Home Office</t>
  </si>
  <si>
    <t>Consumer</t>
  </si>
  <si>
    <t>Corporate</t>
  </si>
  <si>
    <t>Credit Card</t>
  </si>
  <si>
    <t>Net Banking</t>
  </si>
  <si>
    <t>UPI</t>
  </si>
  <si>
    <t>Debit Card</t>
  </si>
  <si>
    <t>Cash</t>
  </si>
  <si>
    <t>Critical</t>
  </si>
  <si>
    <t>Medium</t>
  </si>
  <si>
    <t>High</t>
  </si>
  <si>
    <t>Low</t>
  </si>
  <si>
    <t>Year</t>
  </si>
  <si>
    <t>Month</t>
  </si>
  <si>
    <t>Shipping Days</t>
  </si>
  <si>
    <t>Delivery Days</t>
  </si>
  <si>
    <t>Profit%</t>
  </si>
  <si>
    <t>Row Labels</t>
  </si>
  <si>
    <t>Grand Total</t>
  </si>
  <si>
    <t>Sum of Sales</t>
  </si>
  <si>
    <t>Sum of Profit</t>
  </si>
  <si>
    <t>Sum of Profit Margin</t>
  </si>
  <si>
    <t>Jan</t>
  </si>
  <si>
    <t>Feb</t>
  </si>
  <si>
    <t>Mar</t>
  </si>
  <si>
    <t>Apr</t>
  </si>
  <si>
    <t>May</t>
  </si>
  <si>
    <t>Jun</t>
  </si>
  <si>
    <t>Jul</t>
  </si>
  <si>
    <t>Aug</t>
  </si>
  <si>
    <t>Sep</t>
  </si>
  <si>
    <t>Oct</t>
  </si>
  <si>
    <t>Nov</t>
  </si>
  <si>
    <t>Dec</t>
  </si>
  <si>
    <t>KPI SUMMARY</t>
  </si>
  <si>
    <t>Total Sales</t>
  </si>
  <si>
    <t>Total Profit</t>
  </si>
  <si>
    <t>Profit Margin%</t>
  </si>
  <si>
    <t>Total Orders</t>
  </si>
  <si>
    <t>Avg Delivery Days</t>
  </si>
  <si>
    <t>Sum of OrderID</t>
  </si>
  <si>
    <t>Sum of Delivery Days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</si>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</sst>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quot;₹&quot;\ #,##0.00"/>
  </numFmts>
  <fonts count="4">
    <font>
      <sz val="11"/>
      <color theme="1"/>
      <name val="Calibri"/>
      <family val="2"/>
      <scheme val="minor"/>
    </font>
    <font>
      <b/>
      <sz val="11"/>
      <color theme="1"/>
      <name val="Calibri"/>
      <family val="2"/>
      <scheme val="minor"/>
    </font>
    <font>
      <b/>
      <sz val="18"/>
      <color theme="1"/>
      <name val="Calibri"/>
      <family val="2"/>
      <scheme val="minor"/>
    </font>
    <font>
      <sz val="10"/>
      <color theme="1"/>
      <name val="Arial Unicode MS"/>
    </font>
  </fonts>
  <fills count="3">
    <fill>
      <patternFill patternType="none"/>
    </fill>
    <fill>
      <patternFill patternType="gray125"/>
    </fill>
    <fill>
      <patternFill patternType="solid">
        <fgColor theme="0" tint="-0.34998626667073579"/>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Fill="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165" fontId="1" fillId="0" borderId="1" xfId="0" applyNumberFormat="1" applyFont="1" applyBorder="1" applyAlignment="1">
      <alignment horizontal="center" vertical="top"/>
    </xf>
    <xf numFmtId="165" fontId="0" fillId="0" borderId="0" xfId="0" applyNumberFormat="1"/>
    <xf numFmtId="10" fontId="1" fillId="0" borderId="2" xfId="0" applyNumberFormat="1" applyFont="1" applyFill="1" applyBorder="1" applyAlignment="1">
      <alignment horizontal="center" vertical="top"/>
    </xf>
    <xf numFmtId="1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0" borderId="0" xfId="0" applyFont="1"/>
    <xf numFmtId="0" fontId="0" fillId="0" borderId="0" xfId="0" applyAlignment="1">
      <alignment vertical="center" wrapText="1"/>
    </xf>
    <xf numFmtId="0" fontId="3" fillId="0" borderId="0" xfId="0" applyFont="1" applyAlignment="1">
      <alignment vertical="center" wrapText="1"/>
    </xf>
    <xf numFmtId="0" fontId="0" fillId="2" borderId="0" xfId="0" applyFill="1"/>
    <xf numFmtId="165" fontId="0" fillId="2" borderId="0" xfId="0" applyNumberFormat="1" applyFill="1"/>
    <xf numFmtId="10" fontId="0" fillId="2" borderId="0" xfId="0" applyNumberFormat="1" applyFill="1"/>
    <xf numFmtId="0" fontId="0" fillId="2" borderId="0" xfId="0" applyFill="1" applyAlignment="1">
      <alignment vertical="center" wrapText="1"/>
    </xf>
    <xf numFmtId="0" fontId="3" fillId="2" borderId="0" xfId="0" applyFont="1" applyFill="1" applyAlignment="1">
      <alignment vertical="center" wrapText="1"/>
    </xf>
    <xf numFmtId="0" fontId="0" fillId="2" borderId="0" xfId="0" applyFill="1" applyBorder="1"/>
  </cellXfs>
  <cellStyles count="1">
    <cellStyle name="Normal" xfId="0" builtinId="0"/>
  </cellStyles>
  <dxfs count="7">
    <dxf>
      <numFmt numFmtId="14" formatCode="0.00%"/>
    </dxf>
    <dxf>
      <numFmt numFmtId="165" formatCode="&quot;₹&quot;\ #,##0.00"/>
    </dxf>
    <dxf>
      <numFmt numFmtId="165" formatCode="&quot;₹&quot;\ #,##0.00"/>
    </dxf>
    <dxf>
      <numFmt numFmtId="19" formatCode="dd/mm/yyyy"/>
    </dxf>
    <dxf>
      <numFmt numFmtId="19" formatCode="dd/mm/yyyy"/>
    </dxf>
    <dxf>
      <numFmt numFmtId="19" formatCode="dd/mm/yyyy"/>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2D2D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[Sales_Performance_Dataset_2500_Rows_18_Columns.xlsx]Pivot _analysis!PivotTable7</c:name>
    <c:fmtId val="7"/>
  </c:pivotSource>
  <c:chart>
    <c:autoTitleDeleted val="1"/>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dLbl>
          <c:idx val="0"/>
          <c:showLegendKey val="1"/>
          <c:showVal val="1"/>
          <c:showCatName val="1"/>
          <c:showSerName val="1"/>
          <c:showPercent val="1"/>
          <c:showBubbleSize val="1"/>
          <c:extLst>
            <c:ext xmlns:c15="http://schemas.microsoft.com/office/drawing/2012/chart" uri="{CE6537A1-D6FC-4f65-9D91-7224C49458BB}"/>
          </c:extLst>
        </c:dLbl>
      </c:pivotFmt>
      <c:pivotFmt>
        <c:idx val="5"/>
        <c:dLbl>
          <c:idx val="0"/>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3"/>
          </a:solidFill>
          <a:ln>
            <a:noFill/>
          </a:ln>
          <a:effectLst/>
        </c:spPr>
        <c:marker>
          <c:symbol val="diamond"/>
          <c:size val="6"/>
          <c:spPr>
            <a:solidFill>
              <a:schemeClr val="accent3">
                <a:tint val="65000"/>
              </a:schemeClr>
            </a:solidFill>
            <a:ln w="9525">
              <a:solidFill>
                <a:schemeClr val="accent3">
                  <a:tint val="65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square"/>
          <c:size val="6"/>
          <c:spPr>
            <a:solidFill>
              <a:schemeClr val="accent3"/>
            </a:solidFill>
            <a:ln w="9525">
              <a:solidFill>
                <a:schemeClr val="accent3"/>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triangle"/>
          <c:size val="6"/>
          <c:spPr>
            <a:solidFill>
              <a:schemeClr val="accent3">
                <a:shade val="65000"/>
              </a:schemeClr>
            </a:solidFill>
            <a:ln w="9525">
              <a:solidFill>
                <a:schemeClr val="accent3">
                  <a:shade val="65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152501506931886E-2"/>
          <c:y val="0.37838389797817057"/>
          <c:w val="0.63359841095812386"/>
          <c:h val="0.42410764936803647"/>
        </c:manualLayout>
      </c:layout>
      <c:barChart>
        <c:barDir val="col"/>
        <c:grouping val="clustered"/>
        <c:varyColors val="0"/>
        <c:ser>
          <c:idx val="0"/>
          <c:order val="0"/>
          <c:tx>
            <c:strRef>
              <c:f>'Pivot _analysis'!$B$1</c:f>
              <c:strCache>
                <c:ptCount val="1"/>
                <c:pt idx="0">
                  <c:v>Sum of Sales</c:v>
                </c:pt>
              </c:strCache>
            </c:strRef>
          </c:tx>
          <c:spPr>
            <a:solidFill>
              <a:schemeClr val="accent3">
                <a:tint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_analysis'!$A$2:$A$6</c:f>
              <c:strCache>
                <c:ptCount val="4"/>
                <c:pt idx="0">
                  <c:v>East</c:v>
                </c:pt>
                <c:pt idx="1">
                  <c:v>North</c:v>
                </c:pt>
                <c:pt idx="2">
                  <c:v>South</c:v>
                </c:pt>
                <c:pt idx="3">
                  <c:v>West</c:v>
                </c:pt>
              </c:strCache>
            </c:strRef>
          </c:cat>
          <c:val>
            <c:numRef>
              <c:f>'Pivot _analysis'!$B$2:$B$6</c:f>
              <c:numCache>
                <c:formatCode>"₹"\ #,##0.00</c:formatCode>
                <c:ptCount val="4"/>
                <c:pt idx="0">
                  <c:v>16352629</c:v>
                </c:pt>
                <c:pt idx="1">
                  <c:v>17972987</c:v>
                </c:pt>
                <c:pt idx="2">
                  <c:v>16209153</c:v>
                </c:pt>
                <c:pt idx="3">
                  <c:v>17499731</c:v>
                </c:pt>
              </c:numCache>
            </c:numRef>
          </c:val>
          <c:extLst>
            <c:ext xmlns:c16="http://schemas.microsoft.com/office/drawing/2014/chart" uri="{C3380CC4-5D6E-409C-BE32-E72D297353CC}">
              <c16:uniqueId val="{00000000-1491-48B2-9FBB-7EC42D274646}"/>
            </c:ext>
          </c:extLst>
        </c:ser>
        <c:ser>
          <c:idx val="1"/>
          <c:order val="1"/>
          <c:tx>
            <c:strRef>
              <c:f>'Pivot _analysis'!$C$1</c:f>
              <c:strCache>
                <c:ptCount val="1"/>
                <c:pt idx="0">
                  <c:v>Sum of Profit</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_analysis'!$A$2:$A$6</c:f>
              <c:strCache>
                <c:ptCount val="4"/>
                <c:pt idx="0">
                  <c:v>East</c:v>
                </c:pt>
                <c:pt idx="1">
                  <c:v>North</c:v>
                </c:pt>
                <c:pt idx="2">
                  <c:v>South</c:v>
                </c:pt>
                <c:pt idx="3">
                  <c:v>West</c:v>
                </c:pt>
              </c:strCache>
            </c:strRef>
          </c:cat>
          <c:val>
            <c:numRef>
              <c:f>'Pivot _analysis'!$C$2:$C$6</c:f>
              <c:numCache>
                <c:formatCode>General</c:formatCode>
                <c:ptCount val="4"/>
                <c:pt idx="0">
                  <c:v>3723311</c:v>
                </c:pt>
                <c:pt idx="1">
                  <c:v>4282940</c:v>
                </c:pt>
                <c:pt idx="2">
                  <c:v>4215736</c:v>
                </c:pt>
                <c:pt idx="3">
                  <c:v>3685325</c:v>
                </c:pt>
              </c:numCache>
            </c:numRef>
          </c:val>
          <c:extLst>
            <c:ext xmlns:c16="http://schemas.microsoft.com/office/drawing/2014/chart" uri="{C3380CC4-5D6E-409C-BE32-E72D297353CC}">
              <c16:uniqueId val="{00000001-1491-48B2-9FBB-7EC42D274646}"/>
            </c:ext>
          </c:extLst>
        </c:ser>
        <c:ser>
          <c:idx val="2"/>
          <c:order val="2"/>
          <c:tx>
            <c:strRef>
              <c:f>'Pivot _analysis'!$D$1</c:f>
              <c:strCache>
                <c:ptCount val="1"/>
                <c:pt idx="0">
                  <c:v>Sum of Profit Margin</c:v>
                </c:pt>
              </c:strCache>
            </c:strRef>
          </c:tx>
          <c:spPr>
            <a:solidFill>
              <a:schemeClr val="accent3">
                <a:shade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_analysis'!$A$2:$A$6</c:f>
              <c:strCache>
                <c:ptCount val="4"/>
                <c:pt idx="0">
                  <c:v>East</c:v>
                </c:pt>
                <c:pt idx="1">
                  <c:v>North</c:v>
                </c:pt>
                <c:pt idx="2">
                  <c:v>South</c:v>
                </c:pt>
                <c:pt idx="3">
                  <c:v>West</c:v>
                </c:pt>
              </c:strCache>
            </c:strRef>
          </c:cat>
          <c:val>
            <c:numRef>
              <c:f>'Pivot _analysis'!$D$2:$D$6</c:f>
              <c:numCache>
                <c:formatCode>"₹"\ #,##0.00</c:formatCode>
                <c:ptCount val="4"/>
                <c:pt idx="0">
                  <c:v>0.22768883217493652</c:v>
                </c:pt>
                <c:pt idx="1">
                  <c:v>0.23829873131271948</c:v>
                </c:pt>
                <c:pt idx="2">
                  <c:v>0.26008367001039473</c:v>
                </c:pt>
                <c:pt idx="3">
                  <c:v>0.21059323711890199</c:v>
                </c:pt>
              </c:numCache>
            </c:numRef>
          </c:val>
          <c:extLst>
            <c:ext xmlns:c16="http://schemas.microsoft.com/office/drawing/2014/chart" uri="{C3380CC4-5D6E-409C-BE32-E72D297353CC}">
              <c16:uniqueId val="{00000002-1491-48B2-9FBB-7EC42D274646}"/>
            </c:ext>
          </c:extLst>
        </c:ser>
        <c:dLbls>
          <c:dLblPos val="outEnd"/>
          <c:showLegendKey val="0"/>
          <c:showVal val="1"/>
          <c:showCatName val="0"/>
          <c:showSerName val="0"/>
          <c:showPercent val="0"/>
          <c:showBubbleSize val="0"/>
        </c:dLbls>
        <c:gapWidth val="444"/>
        <c:overlap val="-90"/>
        <c:axId val="482892656"/>
        <c:axId val="1227303504"/>
      </c:barChart>
      <c:catAx>
        <c:axId val="482892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27303504"/>
        <c:crosses val="autoZero"/>
        <c:auto val="1"/>
        <c:lblAlgn val="ctr"/>
        <c:lblOffset val="100"/>
        <c:noMultiLvlLbl val="0"/>
      </c:catAx>
      <c:valAx>
        <c:axId val="1227303504"/>
        <c:scaling>
          <c:orientation val="minMax"/>
        </c:scaling>
        <c:delete val="1"/>
        <c:axPos val="l"/>
        <c:numFmt formatCode="&quot;₹&quot;\ #,##0.00" sourceLinked="1"/>
        <c:majorTickMark val="none"/>
        <c:minorTickMark val="none"/>
        <c:tickLblPos val="nextTo"/>
        <c:crossAx val="48289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[Sales_Performance_Dataset_2500_Rows_18_Columns.xlsx]Pivot _analysis!PivotTable2</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a:outerShdw blurRad="50800" dist="38100" dir="5400000" algn="t" rotWithShape="0">
                <a:schemeClr val="accent3">
                  <a:lumMod val="75000"/>
                  <a:alpha val="40000"/>
                </a:schemeClr>
              </a:outerShdw>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'Pivot _analysis'!$B$20</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a:outerShdw blurRad="50800" dist="38100" dir="5400000" algn="t" rotWithShape="0">
                  <a:schemeClr val="accent3">
                    <a:lumMod val="75000"/>
                    <a:alpha val="40000"/>
                  </a:schemeClr>
                </a:outerShdw>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_analysis'!$A$21:$A$33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_analysis'!$B$21:$B$33</c:f>
              <c:numCache>
                <c:formatCode>"₹"\ #,##0.00</c:formatCode>
                <c:ptCount val="12"/>
                <c:pt idx="0">
                  <c:v>5779130</c:v>
                </c:pt>
                <c:pt idx="1">
                  <c:v>5075046</c:v>
                </c:pt>
                <c:pt idx="2">
                  <c:v>5932464</c:v>
                </c:pt>
                <c:pt idx="3">
                  <c:v>5065205</c:v>
                </c:pt>
                <c:pt idx="4">
                  <c:v>5959189</c:v>
                </c:pt>
                <c:pt idx="5">
                  <c:v>5929863</c:v>
                </c:pt>
                <c:pt idx="6">
                  <c:v>5579491</c:v>
                </c:pt>
                <c:pt idx="7">
                  <c:v>5875782</c:v>
                </c:pt>
                <c:pt idx="8">
                  <c:v>5509149</c:v>
                </c:pt>
                <c:pt idx="9">
                  <c:v>6040865</c:v>
                </c:pt>
                <c:pt idx="10">
                  <c:v>5749556</c:v>
                </c:pt>
                <c:pt idx="11">
                  <c:v>5538760</c:v>
                </c:pt>
              </c:numCache>
            </c:numRef>
          </c:val>
          <c:extLst>
            <c:ext xmlns:c16="http://schemas.microsoft.com/office/drawing/2014/chart" uri="{C3380CC4-5D6E-409C-BE32-E72D297353CC}">
              <c16:uniqueId val="{00000000-6A64-4C4F-8CDF-F3DDF75E07C6}"/>
            </c:ext>
          </c:extLst>
        </c:ser>
        <c:dLbls>
          <c:showLegendKey val="0"/>
          <c:showVal val="0"/>
          <c:showCatName val="0"/>
          <c:showSerName val="0"/>
          <c:showPercent val="0"/>
          <c:showBubbleSize val="0"/>
        </c:dLbls>
        <c:gapWidth val="150"/>
        <c:axId val="1253444112"/>
        <c:axId val="1224859456"/>
      </c:barChart>
      <c:catAx>
        <c:axId val="12534441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59456"/>
        <c:crosses val="autoZero"/>
        <c:auto val="1"/>
        <c:lblAlgn val="ctr"/>
        <c:lblOffset val="100"/>
        <c:noMultiLvlLbl val="0"/>
      </c:catAx>
      <c:valAx>
        <c:axId val="12248594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44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rot="5400000" vert="horz" anchor="b"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[Sales_Performance_Dataset_2500_Rows_18_Columns.xlsx]Pivot _analysis!PivotTable8</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537805686606503"/>
          <c:y val="0.26328503138628584"/>
          <c:w val="0.55262576781242634"/>
          <c:h val="0.44846311986667065"/>
        </c:manualLayout>
      </c:layout>
      <c:pie3DChart>
        <c:varyColors val="1"/>
        <c:ser>
          <c:idx val="0"/>
          <c:order val="0"/>
          <c:tx>
            <c:strRef>
              <c:f>'Pivot _analysis'!$B$38</c:f>
              <c:strCache>
                <c:ptCount val="1"/>
                <c:pt idx="0">
                  <c:v>Sum of Sales</c:v>
                </c:pt>
              </c:strCache>
            </c:strRef>
          </c:tx>
          <c:dPt>
            <c:idx val="0"/>
            <c:bubble3D val="0"/>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FC7-4365-8A58-B03FE893E5B2}"/>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FC7-4365-8A58-B03FE893E5B2}"/>
              </c:ext>
            </c:extLst>
          </c:dPt>
          <c:dPt>
            <c:idx val="2"/>
            <c:bubble3D val="0"/>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FC7-4365-8A58-B03FE893E5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_analysis'!$A$39:$A$42</c:f>
              <c:strCache>
                <c:ptCount val="3"/>
                <c:pt idx="0">
                  <c:v>Furniture</c:v>
                </c:pt>
                <c:pt idx="1">
                  <c:v>Office Supplies</c:v>
                </c:pt>
                <c:pt idx="2">
                  <c:v>Technology</c:v>
                </c:pt>
              </c:strCache>
            </c:strRef>
          </c:cat>
          <c:val>
            <c:numRef>
              <c:f>'Pivot _analysis'!$B$39:$B$42</c:f>
              <c:numCache>
                <c:formatCode>"₹"\ #,##0.00</c:formatCode>
                <c:ptCount val="3"/>
                <c:pt idx="0">
                  <c:v>22869774</c:v>
                </c:pt>
                <c:pt idx="1">
                  <c:v>22246691</c:v>
                </c:pt>
                <c:pt idx="2">
                  <c:v>22918035</c:v>
                </c:pt>
              </c:numCache>
            </c:numRef>
          </c:val>
          <c:extLst>
            <c:ext xmlns:c16="http://schemas.microsoft.com/office/drawing/2014/chart" uri="{C3380CC4-5D6E-409C-BE32-E72D297353CC}">
              <c16:uniqueId val="{00000006-AFC7-4365-8A58-B03FE893E5B2}"/>
            </c:ext>
          </c:extLst>
        </c:ser>
        <c:ser>
          <c:idx val="1"/>
          <c:order val="1"/>
          <c:tx>
            <c:strRef>
              <c:f>'Pivot _analysis'!$C$38</c:f>
              <c:strCache>
                <c:ptCount val="1"/>
                <c:pt idx="0">
                  <c:v>Sum of Profit</c:v>
                </c:pt>
              </c:strCache>
            </c:strRef>
          </c:tx>
          <c:dPt>
            <c:idx val="0"/>
            <c:bubble3D val="0"/>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AFC7-4365-8A58-B03FE893E5B2}"/>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AFC7-4365-8A58-B03FE893E5B2}"/>
              </c:ext>
            </c:extLst>
          </c:dPt>
          <c:dPt>
            <c:idx val="2"/>
            <c:bubble3D val="0"/>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AFC7-4365-8A58-B03FE893E5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_analysis'!$A$39:$A$42</c:f>
              <c:strCache>
                <c:ptCount val="3"/>
                <c:pt idx="0">
                  <c:v>Furniture</c:v>
                </c:pt>
                <c:pt idx="1">
                  <c:v>Office Supplies</c:v>
                </c:pt>
                <c:pt idx="2">
                  <c:v>Technology</c:v>
                </c:pt>
              </c:strCache>
            </c:strRef>
          </c:cat>
          <c:val>
            <c:numRef>
              <c:f>'Pivot _analysis'!$C$39:$C$42</c:f>
              <c:numCache>
                <c:formatCode>General</c:formatCode>
                <c:ptCount val="3"/>
                <c:pt idx="0">
                  <c:v>5391261</c:v>
                </c:pt>
                <c:pt idx="1">
                  <c:v>5205281</c:v>
                </c:pt>
                <c:pt idx="2">
                  <c:v>5310770</c:v>
                </c:pt>
              </c:numCache>
            </c:numRef>
          </c:val>
          <c:extLst>
            <c:ext xmlns:c16="http://schemas.microsoft.com/office/drawing/2014/chart" uri="{C3380CC4-5D6E-409C-BE32-E72D297353CC}">
              <c16:uniqueId val="{0000000D-AFC7-4365-8A58-B03FE893E5B2}"/>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228600</xdr:colOff>
      <xdr:row>19</xdr:row>
      <xdr:rowOff>45720</xdr:rowOff>
    </xdr:from>
    <xdr:to>
      <xdr:col>9</xdr:col>
      <xdr:colOff>228601</xdr:colOff>
      <xdr:row>32</xdr:row>
      <xdr:rowOff>135255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094B7632-4C16-49BF-9312-D067C6EDCBC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78062" y="3572412"/>
              <a:ext cx="1817077" cy="2502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128963</xdr:colOff>
      <xdr:row>19</xdr:row>
      <xdr:rowOff>38100</xdr:rowOff>
    </xdr:from>
    <xdr:to>
      <xdr:col>3</xdr:col>
      <xdr:colOff>963433</xdr:colOff>
      <xdr:row>32</xdr:row>
      <xdr:rowOff>127635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8D69D94C-78DF-4892-B3C9-897FD3EDDD4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53501" y="3564792"/>
              <a:ext cx="1664855" cy="2502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1201421</xdr:colOff>
      <xdr:row>19</xdr:row>
      <xdr:rowOff>47870</xdr:rowOff>
    </xdr:from>
    <xdr:to>
      <xdr:col>5</xdr:col>
      <xdr:colOff>410308</xdr:colOff>
      <xdr:row>32</xdr:row>
      <xdr:rowOff>68385</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AB790DF5-BA91-4E1C-B8A7-40473926044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956344" y="3574562"/>
              <a:ext cx="1797733" cy="24335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1043940</xdr:colOff>
      <xdr:row>0</xdr:row>
      <xdr:rowOff>15240</xdr:rowOff>
    </xdr:from>
    <xdr:to>
      <xdr:col>17</xdr:col>
      <xdr:colOff>457200</xdr:colOff>
      <xdr:row>2</xdr:row>
      <xdr:rowOff>160020</xdr:rowOff>
    </xdr:to>
    <xdr:sp macro="" textlink="">
      <xdr:nvSpPr>
        <xdr:cNvPr id="2" name="TextBox 1">
          <a:extLst>
            <a:ext uri="{FF2B5EF4-FFF2-40B4-BE49-F238E27FC236}">
              <a16:creationId xmlns:a16="http://schemas.microsoft.com/office/drawing/2014/main" id="{50E6C1BB-FCD1-45F0-8176-31E916D0E748}"/>
            </a:ext>
          </a:extLst>
        </xdr:cNvPr>
        <xdr:cNvSpPr txBox="1"/>
      </xdr:nvSpPr>
      <xdr:spPr>
        <a:xfrm>
          <a:off x="1043940" y="15240"/>
          <a:ext cx="10744200" cy="510540"/>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t>   GREENCART SOLUTIONS</a:t>
          </a:r>
          <a:r>
            <a:rPr lang="en-IN" sz="2800"/>
            <a:t> </a:t>
          </a:r>
          <a:r>
            <a:rPr lang="en-IN" sz="2800" b="1"/>
            <a:t>SALES PERFORMANCE DASHBOARD</a:t>
          </a:r>
        </a:p>
      </xdr:txBody>
    </xdr:sp>
    <xdr:clientData/>
  </xdr:twoCellAnchor>
  <xdr:twoCellAnchor>
    <xdr:from>
      <xdr:col>10</xdr:col>
      <xdr:colOff>502920</xdr:colOff>
      <xdr:row>13</xdr:row>
      <xdr:rowOff>91440</xdr:rowOff>
    </xdr:from>
    <xdr:to>
      <xdr:col>17</xdr:col>
      <xdr:colOff>472440</xdr:colOff>
      <xdr:row>27</xdr:row>
      <xdr:rowOff>175260</xdr:rowOff>
    </xdr:to>
    <xdr:graphicFrame macro="">
      <xdr:nvGraphicFramePr>
        <xdr:cNvPr id="10" name="Chart 9">
          <a:extLst>
            <a:ext uri="{FF2B5EF4-FFF2-40B4-BE49-F238E27FC236}">
              <a16:creationId xmlns:a16="http://schemas.microsoft.com/office/drawing/2014/main" id="{ACCF5583-0848-491C-9EE4-CBF1167D6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396240</xdr:colOff>
      <xdr:row>13</xdr:row>
      <xdr:rowOff>106680</xdr:rowOff>
    </xdr:from>
    <xdr:to>
      <xdr:col>10</xdr:col>
      <xdr:colOff>403860</xdr:colOff>
      <xdr:row>28</xdr:row>
      <xdr:rowOff>0</xdr:rowOff>
    </xdr:to>
    <xdr:graphicFrame macro="">
      <xdr:nvGraphicFramePr>
        <xdr:cNvPr id="11" name="Chart 10">
          <a:extLst>
            <a:ext uri="{FF2B5EF4-FFF2-40B4-BE49-F238E27FC236}">
              <a16:creationId xmlns:a16="http://schemas.microsoft.com/office/drawing/2014/main" id="{71069B51-98DF-4CCB-8942-939BECFDB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403860</xdr:colOff>
      <xdr:row>4</xdr:row>
      <xdr:rowOff>30480</xdr:rowOff>
    </xdr:from>
    <xdr:to>
      <xdr:col>10</xdr:col>
      <xdr:colOff>396240</xdr:colOff>
      <xdr:row>13</xdr:row>
      <xdr:rowOff>0</xdr:rowOff>
    </xdr:to>
    <xdr:graphicFrame macro="">
      <xdr:nvGraphicFramePr>
        <xdr:cNvPr id="12" name="Chart 11">
          <a:extLst>
            <a:ext uri="{FF2B5EF4-FFF2-40B4-BE49-F238E27FC236}">
              <a16:creationId xmlns:a16="http://schemas.microsoft.com/office/drawing/2014/main" id="{3220726A-7C78-4937-B3E7-008FBBE7C9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182880</xdr:colOff>
      <xdr:row>3</xdr:row>
      <xdr:rowOff>175261</xdr:rowOff>
    </xdr:from>
    <xdr:to>
      <xdr:col>15</xdr:col>
      <xdr:colOff>395130</xdr:colOff>
      <xdr:row>13</xdr:row>
      <xdr:rowOff>0</xdr:rowOff>
    </xdr:to>
    <mc:AlternateContent xmlns:mc="http://schemas.openxmlformats.org/markup-compatibility/2006">
      <mc:Choice xmlns:a14="http://schemas.microsoft.com/office/drawing/2010/main" Requires="a14">
        <xdr:graphicFrame macro="">
          <xdr:nvGraphicFramePr>
            <xdr:cNvPr id="13" name="Category 1">
              <a:extLst>
                <a:ext uri="{FF2B5EF4-FFF2-40B4-BE49-F238E27FC236}">
                  <a16:creationId xmlns:a16="http://schemas.microsoft.com/office/drawing/2014/main" id="{FCEBFE1E-BD5A-4183-A4A5-5EF89761A42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075420" y="723901"/>
              <a:ext cx="1431450" cy="1653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502920</xdr:colOff>
      <xdr:row>4</xdr:row>
      <xdr:rowOff>0</xdr:rowOff>
    </xdr:from>
    <xdr:to>
      <xdr:col>13</xdr:col>
      <xdr:colOff>105570</xdr:colOff>
      <xdr:row>12</xdr:row>
      <xdr:rowOff>175260</xdr:rowOff>
    </xdr:to>
    <mc:AlternateContent xmlns:mc="http://schemas.openxmlformats.org/markup-compatibility/2006">
      <mc:Choice xmlns:a14="http://schemas.microsoft.com/office/drawing/2010/main" Requires="a14">
        <xdr:graphicFrame macro="">
          <xdr:nvGraphicFramePr>
            <xdr:cNvPr id="15" name="Region 1">
              <a:extLst>
                <a:ext uri="{FF2B5EF4-FFF2-40B4-BE49-F238E27FC236}">
                  <a16:creationId xmlns:a16="http://schemas.microsoft.com/office/drawing/2014/main" id="{5B7EB161-14B9-4171-B415-F0CCF168052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566660" y="731520"/>
              <a:ext cx="1431450"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457200</xdr:colOff>
      <xdr:row>3</xdr:row>
      <xdr:rowOff>175261</xdr:rowOff>
    </xdr:from>
    <xdr:to>
      <xdr:col>17</xdr:col>
      <xdr:colOff>457200</xdr:colOff>
      <xdr:row>13</xdr:row>
      <xdr:rowOff>0</xdr:rowOff>
    </xdr:to>
    <mc:AlternateContent xmlns:mc="http://schemas.openxmlformats.org/markup-compatibility/2006">
      <mc:Choice xmlns:a14="http://schemas.microsoft.com/office/drawing/2010/main" Requires="a14">
        <xdr:graphicFrame macro="">
          <xdr:nvGraphicFramePr>
            <xdr:cNvPr id="14" name="Year 1">
              <a:extLst>
                <a:ext uri="{FF2B5EF4-FFF2-40B4-BE49-F238E27FC236}">
                  <a16:creationId xmlns:a16="http://schemas.microsoft.com/office/drawing/2014/main" id="{4FD60BDB-2E81-4BA5-B6D8-2C66DC323EE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0568940" y="723901"/>
              <a:ext cx="1219200" cy="1653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15240</xdr:colOff>
      <xdr:row>4</xdr:row>
      <xdr:rowOff>53340</xdr:rowOff>
    </xdr:from>
    <xdr:to>
      <xdr:col>4</xdr:col>
      <xdr:colOff>312420</xdr:colOff>
      <xdr:row>8</xdr:row>
      <xdr:rowOff>0</xdr:rowOff>
    </xdr:to>
    <xdr:sp macro="" textlink="">
      <xdr:nvSpPr>
        <xdr:cNvPr id="4" name="Rectangle: Rounded Corners 3">
          <a:extLst>
            <a:ext uri="{FF2B5EF4-FFF2-40B4-BE49-F238E27FC236}">
              <a16:creationId xmlns:a16="http://schemas.microsoft.com/office/drawing/2014/main" id="{14857AF5-09DD-476B-A2C8-40E9041010FA}"/>
            </a:ext>
          </a:extLst>
        </xdr:cNvPr>
        <xdr:cNvSpPr/>
      </xdr:nvSpPr>
      <xdr:spPr>
        <a:xfrm>
          <a:off x="1066800" y="784860"/>
          <a:ext cx="2651760" cy="67818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15240</xdr:colOff>
      <xdr:row>9</xdr:row>
      <xdr:rowOff>7620</xdr:rowOff>
    </xdr:from>
    <xdr:to>
      <xdr:col>4</xdr:col>
      <xdr:colOff>312420</xdr:colOff>
      <xdr:row>12</xdr:row>
      <xdr:rowOff>137160</xdr:rowOff>
    </xdr:to>
    <xdr:sp macro="" textlink="">
      <xdr:nvSpPr>
        <xdr:cNvPr id="35" name="Rectangle: Rounded Corners 34">
          <a:extLst>
            <a:ext uri="{FF2B5EF4-FFF2-40B4-BE49-F238E27FC236}">
              <a16:creationId xmlns:a16="http://schemas.microsoft.com/office/drawing/2014/main" id="{A03401A2-88F0-46F6-9C19-97FDBB9B0EA7}"/>
            </a:ext>
          </a:extLst>
        </xdr:cNvPr>
        <xdr:cNvSpPr/>
      </xdr:nvSpPr>
      <xdr:spPr>
        <a:xfrm>
          <a:off x="1066800" y="1653540"/>
          <a:ext cx="2651760" cy="67818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7620</xdr:colOff>
      <xdr:row>14</xdr:row>
      <xdr:rowOff>7620</xdr:rowOff>
    </xdr:from>
    <xdr:to>
      <xdr:col>4</xdr:col>
      <xdr:colOff>304800</xdr:colOff>
      <xdr:row>17</xdr:row>
      <xdr:rowOff>137160</xdr:rowOff>
    </xdr:to>
    <xdr:sp macro="" textlink="">
      <xdr:nvSpPr>
        <xdr:cNvPr id="36" name="Rectangle: Rounded Corners 35">
          <a:extLst>
            <a:ext uri="{FF2B5EF4-FFF2-40B4-BE49-F238E27FC236}">
              <a16:creationId xmlns:a16="http://schemas.microsoft.com/office/drawing/2014/main" id="{98F3CC7A-8C29-4FCA-9A9A-5B7C47492337}"/>
            </a:ext>
          </a:extLst>
        </xdr:cNvPr>
        <xdr:cNvSpPr/>
      </xdr:nvSpPr>
      <xdr:spPr>
        <a:xfrm>
          <a:off x="1059180" y="2567940"/>
          <a:ext cx="2651760" cy="67818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1043940</xdr:colOff>
      <xdr:row>19</xdr:row>
      <xdr:rowOff>53340</xdr:rowOff>
    </xdr:from>
    <xdr:to>
      <xdr:col>4</xdr:col>
      <xdr:colOff>289560</xdr:colOff>
      <xdr:row>23</xdr:row>
      <xdr:rowOff>0</xdr:rowOff>
    </xdr:to>
    <xdr:sp macro="" textlink="">
      <xdr:nvSpPr>
        <xdr:cNvPr id="37" name="Rectangle: Rounded Corners 36">
          <a:extLst>
            <a:ext uri="{FF2B5EF4-FFF2-40B4-BE49-F238E27FC236}">
              <a16:creationId xmlns:a16="http://schemas.microsoft.com/office/drawing/2014/main" id="{4F74E02A-2D89-4992-B1A4-1D4D984689AF}"/>
            </a:ext>
          </a:extLst>
        </xdr:cNvPr>
        <xdr:cNvSpPr/>
      </xdr:nvSpPr>
      <xdr:spPr>
        <a:xfrm>
          <a:off x="1043940" y="3528060"/>
          <a:ext cx="2651760" cy="67818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15240</xdr:colOff>
      <xdr:row>24</xdr:row>
      <xdr:rowOff>30480</xdr:rowOff>
    </xdr:from>
    <xdr:to>
      <xdr:col>4</xdr:col>
      <xdr:colOff>312420</xdr:colOff>
      <xdr:row>27</xdr:row>
      <xdr:rowOff>160020</xdr:rowOff>
    </xdr:to>
    <xdr:sp macro="" textlink="">
      <xdr:nvSpPr>
        <xdr:cNvPr id="38" name="Rectangle: Rounded Corners 37">
          <a:extLst>
            <a:ext uri="{FF2B5EF4-FFF2-40B4-BE49-F238E27FC236}">
              <a16:creationId xmlns:a16="http://schemas.microsoft.com/office/drawing/2014/main" id="{9E6E6005-D125-4EAC-A356-BBC72AA3A47A}"/>
            </a:ext>
          </a:extLst>
        </xdr:cNvPr>
        <xdr:cNvSpPr/>
      </xdr:nvSpPr>
      <xdr:spPr>
        <a:xfrm>
          <a:off x="1066800" y="4419600"/>
          <a:ext cx="2651760" cy="67818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30480</xdr:colOff>
      <xdr:row>4</xdr:row>
      <xdr:rowOff>99060</xdr:rowOff>
    </xdr:from>
    <xdr:to>
      <xdr:col>4</xdr:col>
      <xdr:colOff>289560</xdr:colOff>
      <xdr:row>5</xdr:row>
      <xdr:rowOff>167640</xdr:rowOff>
    </xdr:to>
    <xdr:sp macro="" textlink="">
      <xdr:nvSpPr>
        <xdr:cNvPr id="5" name="TextBox 4">
          <a:extLst>
            <a:ext uri="{FF2B5EF4-FFF2-40B4-BE49-F238E27FC236}">
              <a16:creationId xmlns:a16="http://schemas.microsoft.com/office/drawing/2014/main" id="{B833364A-0019-4228-A939-BF163E47F67C}"/>
            </a:ext>
          </a:extLst>
        </xdr:cNvPr>
        <xdr:cNvSpPr txBox="1"/>
      </xdr:nvSpPr>
      <xdr:spPr>
        <a:xfrm>
          <a:off x="1082040" y="830580"/>
          <a:ext cx="26136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TOTAL SALES</a:t>
          </a:r>
        </a:p>
      </xdr:txBody>
    </xdr:sp>
    <xdr:clientData/>
  </xdr:twoCellAnchor>
  <xdr:twoCellAnchor>
    <xdr:from>
      <xdr:col>1</xdr:col>
      <xdr:colOff>38100</xdr:colOff>
      <xdr:row>9</xdr:row>
      <xdr:rowOff>53340</xdr:rowOff>
    </xdr:from>
    <xdr:to>
      <xdr:col>4</xdr:col>
      <xdr:colOff>297180</xdr:colOff>
      <xdr:row>10</xdr:row>
      <xdr:rowOff>121920</xdr:rowOff>
    </xdr:to>
    <xdr:sp macro="" textlink="">
      <xdr:nvSpPr>
        <xdr:cNvPr id="40" name="TextBox 39">
          <a:extLst>
            <a:ext uri="{FF2B5EF4-FFF2-40B4-BE49-F238E27FC236}">
              <a16:creationId xmlns:a16="http://schemas.microsoft.com/office/drawing/2014/main" id="{CBDA9014-3229-4EE8-AE92-8F936D84139C}"/>
            </a:ext>
          </a:extLst>
        </xdr:cNvPr>
        <xdr:cNvSpPr txBox="1"/>
      </xdr:nvSpPr>
      <xdr:spPr>
        <a:xfrm>
          <a:off x="1089660" y="1699260"/>
          <a:ext cx="26136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TOTAL PROFIT</a:t>
          </a:r>
        </a:p>
      </xdr:txBody>
    </xdr:sp>
    <xdr:clientData/>
  </xdr:twoCellAnchor>
  <xdr:twoCellAnchor>
    <xdr:from>
      <xdr:col>1</xdr:col>
      <xdr:colOff>15240</xdr:colOff>
      <xdr:row>14</xdr:row>
      <xdr:rowOff>53340</xdr:rowOff>
    </xdr:from>
    <xdr:to>
      <xdr:col>4</xdr:col>
      <xdr:colOff>274320</xdr:colOff>
      <xdr:row>15</xdr:row>
      <xdr:rowOff>121920</xdr:rowOff>
    </xdr:to>
    <xdr:sp macro="" textlink="">
      <xdr:nvSpPr>
        <xdr:cNvPr id="41" name="TextBox 40">
          <a:extLst>
            <a:ext uri="{FF2B5EF4-FFF2-40B4-BE49-F238E27FC236}">
              <a16:creationId xmlns:a16="http://schemas.microsoft.com/office/drawing/2014/main" id="{B2525A15-4CDA-4C59-82E4-5366745FBB12}"/>
            </a:ext>
          </a:extLst>
        </xdr:cNvPr>
        <xdr:cNvSpPr txBox="1"/>
      </xdr:nvSpPr>
      <xdr:spPr>
        <a:xfrm>
          <a:off x="1066800" y="2613660"/>
          <a:ext cx="26136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PROFIT</a:t>
          </a:r>
          <a:r>
            <a:rPr lang="en-IN" sz="1100" b="1" baseline="0">
              <a:solidFill>
                <a:schemeClr val="bg1"/>
              </a:solidFill>
            </a:rPr>
            <a:t> PERCENTAGE</a:t>
          </a:r>
          <a:endParaRPr lang="en-IN" sz="1100" b="1">
            <a:solidFill>
              <a:schemeClr val="bg1"/>
            </a:solidFill>
          </a:endParaRPr>
        </a:p>
      </xdr:txBody>
    </xdr:sp>
    <xdr:clientData/>
  </xdr:twoCellAnchor>
  <xdr:twoCellAnchor>
    <xdr:from>
      <xdr:col>1</xdr:col>
      <xdr:colOff>7620</xdr:colOff>
      <xdr:row>19</xdr:row>
      <xdr:rowOff>114300</xdr:rowOff>
    </xdr:from>
    <xdr:to>
      <xdr:col>4</xdr:col>
      <xdr:colOff>266700</xdr:colOff>
      <xdr:row>21</xdr:row>
      <xdr:rowOff>0</xdr:rowOff>
    </xdr:to>
    <xdr:sp macro="" textlink="">
      <xdr:nvSpPr>
        <xdr:cNvPr id="42" name="TextBox 41">
          <a:extLst>
            <a:ext uri="{FF2B5EF4-FFF2-40B4-BE49-F238E27FC236}">
              <a16:creationId xmlns:a16="http://schemas.microsoft.com/office/drawing/2014/main" id="{6B497CC2-E8CC-4299-86F6-F400DB6F2B4F}"/>
            </a:ext>
          </a:extLst>
        </xdr:cNvPr>
        <xdr:cNvSpPr txBox="1"/>
      </xdr:nvSpPr>
      <xdr:spPr>
        <a:xfrm>
          <a:off x="1059180" y="3589020"/>
          <a:ext cx="26136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TOTAL</a:t>
          </a:r>
          <a:r>
            <a:rPr lang="en-IN" sz="1100" b="1" baseline="0">
              <a:solidFill>
                <a:schemeClr val="bg1"/>
              </a:solidFill>
            </a:rPr>
            <a:t> ORDERS</a:t>
          </a:r>
          <a:endParaRPr lang="en-IN" sz="1100" b="1">
            <a:solidFill>
              <a:schemeClr val="bg1"/>
            </a:solidFill>
          </a:endParaRPr>
        </a:p>
      </xdr:txBody>
    </xdr:sp>
    <xdr:clientData/>
  </xdr:twoCellAnchor>
  <xdr:twoCellAnchor>
    <xdr:from>
      <xdr:col>1</xdr:col>
      <xdr:colOff>38100</xdr:colOff>
      <xdr:row>24</xdr:row>
      <xdr:rowOff>76200</xdr:rowOff>
    </xdr:from>
    <xdr:to>
      <xdr:col>4</xdr:col>
      <xdr:colOff>297180</xdr:colOff>
      <xdr:row>25</xdr:row>
      <xdr:rowOff>144780</xdr:rowOff>
    </xdr:to>
    <xdr:sp macro="" textlink="">
      <xdr:nvSpPr>
        <xdr:cNvPr id="43" name="TextBox 42">
          <a:extLst>
            <a:ext uri="{FF2B5EF4-FFF2-40B4-BE49-F238E27FC236}">
              <a16:creationId xmlns:a16="http://schemas.microsoft.com/office/drawing/2014/main" id="{B407B4ED-138D-43D0-AF99-7D73D1EB1893}"/>
            </a:ext>
          </a:extLst>
        </xdr:cNvPr>
        <xdr:cNvSpPr txBox="1"/>
      </xdr:nvSpPr>
      <xdr:spPr>
        <a:xfrm>
          <a:off x="1089660" y="4465320"/>
          <a:ext cx="26136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AVERAGE</a:t>
          </a:r>
          <a:r>
            <a:rPr lang="en-IN" sz="1100" b="1" baseline="0">
              <a:solidFill>
                <a:schemeClr val="bg1"/>
              </a:solidFill>
            </a:rPr>
            <a:t> DELIVERY DAYS</a:t>
          </a:r>
          <a:endParaRPr lang="en-IN" sz="1100" b="1">
            <a:solidFill>
              <a:schemeClr val="bg1"/>
            </a:solidFill>
          </a:endParaRPr>
        </a:p>
      </xdr:txBody>
    </xdr:sp>
    <xdr:clientData/>
  </xdr:twoCellAnchor>
  <xdr:twoCellAnchor>
    <xdr:from>
      <xdr:col>1</xdr:col>
      <xdr:colOff>22860</xdr:colOff>
      <xdr:row>6</xdr:row>
      <xdr:rowOff>68580</xdr:rowOff>
    </xdr:from>
    <xdr:to>
      <xdr:col>4</xdr:col>
      <xdr:colOff>297180</xdr:colOff>
      <xdr:row>7</xdr:row>
      <xdr:rowOff>129540</xdr:rowOff>
    </xdr:to>
    <xdr:sp macro="" textlink="'KPI Summary'!B3">
      <xdr:nvSpPr>
        <xdr:cNvPr id="6" name="TextBox 5">
          <a:extLst>
            <a:ext uri="{FF2B5EF4-FFF2-40B4-BE49-F238E27FC236}">
              <a16:creationId xmlns:a16="http://schemas.microsoft.com/office/drawing/2014/main" id="{90970E7F-6E79-4AC3-8BA3-DF3429449FDC}"/>
            </a:ext>
          </a:extLst>
        </xdr:cNvPr>
        <xdr:cNvSpPr txBox="1"/>
      </xdr:nvSpPr>
      <xdr:spPr>
        <a:xfrm>
          <a:off x="1074420" y="1165860"/>
          <a:ext cx="2628900" cy="24384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20F2F7E-B44B-48A4-88DA-57958203B6F3}" type="TxLink">
            <a:rPr lang="en-US" sz="1100" b="1" i="0" u="none" strike="noStrike">
              <a:solidFill>
                <a:schemeClr val="accent3">
                  <a:lumMod val="75000"/>
                </a:schemeClr>
              </a:solidFill>
              <a:latin typeface="Calibri"/>
              <a:ea typeface="Calibri"/>
              <a:cs typeface="Calibri"/>
            </a:rPr>
            <a:pPr algn="ctr"/>
            <a:t>₹ 6,80,34,500.00</a:t>
          </a:fld>
          <a:endParaRPr lang="en-IN" sz="1100" b="1">
            <a:solidFill>
              <a:schemeClr val="accent3">
                <a:lumMod val="75000"/>
              </a:schemeClr>
            </a:solidFill>
          </a:endParaRPr>
        </a:p>
      </xdr:txBody>
    </xdr:sp>
    <xdr:clientData/>
  </xdr:twoCellAnchor>
  <xdr:twoCellAnchor>
    <xdr:from>
      <xdr:col>1</xdr:col>
      <xdr:colOff>22860</xdr:colOff>
      <xdr:row>11</xdr:row>
      <xdr:rowOff>30480</xdr:rowOff>
    </xdr:from>
    <xdr:to>
      <xdr:col>4</xdr:col>
      <xdr:colOff>297180</xdr:colOff>
      <xdr:row>12</xdr:row>
      <xdr:rowOff>91440</xdr:rowOff>
    </xdr:to>
    <xdr:sp macro="" textlink="'KPI Summary'!B4">
      <xdr:nvSpPr>
        <xdr:cNvPr id="44" name="TextBox 43">
          <a:extLst>
            <a:ext uri="{FF2B5EF4-FFF2-40B4-BE49-F238E27FC236}">
              <a16:creationId xmlns:a16="http://schemas.microsoft.com/office/drawing/2014/main" id="{23A89C11-0146-4A99-9325-36A144CD5DC9}"/>
            </a:ext>
          </a:extLst>
        </xdr:cNvPr>
        <xdr:cNvSpPr txBox="1"/>
      </xdr:nvSpPr>
      <xdr:spPr>
        <a:xfrm>
          <a:off x="1074420" y="2042160"/>
          <a:ext cx="2628900" cy="24384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3BA461B-9821-45FC-89B1-E8D2F6AB108B}" type="TxLink">
            <a:rPr lang="en-US" sz="1100" b="1" i="0" u="none" strike="noStrike">
              <a:solidFill>
                <a:schemeClr val="accent3">
                  <a:lumMod val="75000"/>
                </a:schemeClr>
              </a:solidFill>
              <a:latin typeface="Calibri"/>
              <a:ea typeface="Calibri"/>
              <a:cs typeface="Calibri"/>
            </a:rPr>
            <a:pPr algn="ctr"/>
            <a:t>₹ 1,59,07,312.00</a:t>
          </a:fld>
          <a:endParaRPr lang="en-IN" sz="1100" b="1">
            <a:solidFill>
              <a:schemeClr val="accent3">
                <a:lumMod val="75000"/>
              </a:schemeClr>
            </a:solidFill>
          </a:endParaRPr>
        </a:p>
      </xdr:txBody>
    </xdr:sp>
    <xdr:clientData/>
  </xdr:twoCellAnchor>
  <xdr:twoCellAnchor>
    <xdr:from>
      <xdr:col>1</xdr:col>
      <xdr:colOff>30480</xdr:colOff>
      <xdr:row>16</xdr:row>
      <xdr:rowOff>22860</xdr:rowOff>
    </xdr:from>
    <xdr:to>
      <xdr:col>4</xdr:col>
      <xdr:colOff>304800</xdr:colOff>
      <xdr:row>17</xdr:row>
      <xdr:rowOff>83820</xdr:rowOff>
    </xdr:to>
    <xdr:sp macro="" textlink="'KPI Summary'!B5">
      <xdr:nvSpPr>
        <xdr:cNvPr id="45" name="TextBox 44">
          <a:extLst>
            <a:ext uri="{FF2B5EF4-FFF2-40B4-BE49-F238E27FC236}">
              <a16:creationId xmlns:a16="http://schemas.microsoft.com/office/drawing/2014/main" id="{E9FF2677-FC08-4844-AB6E-11FE34351802}"/>
            </a:ext>
          </a:extLst>
        </xdr:cNvPr>
        <xdr:cNvSpPr txBox="1"/>
      </xdr:nvSpPr>
      <xdr:spPr>
        <a:xfrm>
          <a:off x="1082040" y="2948940"/>
          <a:ext cx="2628900" cy="24384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8466BF5-8391-4AA8-B509-D26F399DFE17}" type="TxLink">
            <a:rPr lang="en-US" sz="1100" b="1" i="0" u="none" strike="noStrike">
              <a:solidFill>
                <a:schemeClr val="accent3">
                  <a:lumMod val="75000"/>
                </a:schemeClr>
              </a:solidFill>
              <a:latin typeface="Calibri"/>
              <a:ea typeface="Calibri"/>
              <a:cs typeface="Calibri"/>
            </a:rPr>
            <a:pPr algn="ctr"/>
            <a:t>23.38%</a:t>
          </a:fld>
          <a:endParaRPr lang="en-IN" sz="1100" b="1">
            <a:solidFill>
              <a:schemeClr val="accent3">
                <a:lumMod val="75000"/>
              </a:schemeClr>
            </a:solidFill>
          </a:endParaRPr>
        </a:p>
      </xdr:txBody>
    </xdr:sp>
    <xdr:clientData/>
  </xdr:twoCellAnchor>
  <xdr:twoCellAnchor>
    <xdr:from>
      <xdr:col>1</xdr:col>
      <xdr:colOff>7620</xdr:colOff>
      <xdr:row>21</xdr:row>
      <xdr:rowOff>60960</xdr:rowOff>
    </xdr:from>
    <xdr:to>
      <xdr:col>4</xdr:col>
      <xdr:colOff>281940</xdr:colOff>
      <xdr:row>22</xdr:row>
      <xdr:rowOff>121920</xdr:rowOff>
    </xdr:to>
    <xdr:sp macro="" textlink="'KPI Summary'!B6">
      <xdr:nvSpPr>
        <xdr:cNvPr id="46" name="TextBox 45">
          <a:extLst>
            <a:ext uri="{FF2B5EF4-FFF2-40B4-BE49-F238E27FC236}">
              <a16:creationId xmlns:a16="http://schemas.microsoft.com/office/drawing/2014/main" id="{B11EAFB6-48F5-454E-B596-F8D3429645DC}"/>
            </a:ext>
          </a:extLst>
        </xdr:cNvPr>
        <xdr:cNvSpPr txBox="1"/>
      </xdr:nvSpPr>
      <xdr:spPr>
        <a:xfrm>
          <a:off x="1059180" y="3901440"/>
          <a:ext cx="2628900" cy="24384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22B024-2270-4AFD-B99A-1A31C84DB61C}" type="TxLink">
            <a:rPr lang="en-US" sz="1100" b="1" i="0" u="none" strike="noStrike">
              <a:solidFill>
                <a:schemeClr val="accent3">
                  <a:lumMod val="75000"/>
                </a:schemeClr>
              </a:solidFill>
              <a:latin typeface="Calibri"/>
              <a:ea typeface="Calibri"/>
              <a:cs typeface="Calibri"/>
            </a:rPr>
            <a:pPr algn="ctr"/>
            <a:t>19868931</a:t>
          </a:fld>
          <a:endParaRPr lang="en-IN" sz="1100" b="1">
            <a:solidFill>
              <a:schemeClr val="accent3">
                <a:lumMod val="75000"/>
              </a:schemeClr>
            </a:solidFill>
          </a:endParaRPr>
        </a:p>
      </xdr:txBody>
    </xdr:sp>
    <xdr:clientData/>
  </xdr:twoCellAnchor>
  <xdr:twoCellAnchor>
    <xdr:from>
      <xdr:col>1</xdr:col>
      <xdr:colOff>22860</xdr:colOff>
      <xdr:row>26</xdr:row>
      <xdr:rowOff>45720</xdr:rowOff>
    </xdr:from>
    <xdr:to>
      <xdr:col>4</xdr:col>
      <xdr:colOff>297180</xdr:colOff>
      <xdr:row>27</xdr:row>
      <xdr:rowOff>106680</xdr:rowOff>
    </xdr:to>
    <xdr:sp macro="" textlink="'KPI Summary'!B7">
      <xdr:nvSpPr>
        <xdr:cNvPr id="47" name="TextBox 46">
          <a:extLst>
            <a:ext uri="{FF2B5EF4-FFF2-40B4-BE49-F238E27FC236}">
              <a16:creationId xmlns:a16="http://schemas.microsoft.com/office/drawing/2014/main" id="{E50169FE-6C79-4B82-8482-7028E0109E2D}"/>
            </a:ext>
          </a:extLst>
        </xdr:cNvPr>
        <xdr:cNvSpPr txBox="1"/>
      </xdr:nvSpPr>
      <xdr:spPr>
        <a:xfrm>
          <a:off x="1074420" y="4800600"/>
          <a:ext cx="2628900" cy="24384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9CDABFB-1270-47B6-80EF-0FCA9B1B6970}" type="TxLink">
            <a:rPr lang="en-US" sz="1000" b="1" i="0" u="none" strike="noStrike">
              <a:solidFill>
                <a:schemeClr val="accent3">
                  <a:lumMod val="75000"/>
                </a:schemeClr>
              </a:solidFill>
              <a:latin typeface="Arial Unicode MS"/>
            </a:rPr>
            <a:pPr algn="ctr"/>
            <a:t>13630</a:t>
          </a:fld>
          <a:endParaRPr lang="en-IN" sz="1100" b="1">
            <a:solidFill>
              <a:schemeClr val="accent3">
                <a:lumMod val="7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LVABHARATHI" refreshedDate="46042.929744560184" createdVersion="6" refreshedVersion="6" minRefreshableVersion="3" recordCount="1821" xr:uid="{1316E480-1298-4DF7-9F1E-C50748E24D0E}">
  <cacheSource type="worksheet">
    <worksheetSource ref="A1:W1822" sheet="Cleaned Data"/>
  </cacheSource>
  <cacheFields count="24">
    <cacheField name="OrderID" numFmtId="0">
      <sharedItems containsSemiMixedTypes="0" containsString="0" containsNumber="1" containsInteger="1" minValue="10001" maxValue="11821"/>
    </cacheField>
    <cacheField name="OrderDate" numFmtId="14">
      <sharedItems containsSemiMixedTypes="0" containsNonDate="0" containsDate="1" containsString="0" minDate="2021-01-01T00:00:00" maxDate="2025-12-27T00:00:00"/>
    </cacheField>
    <cacheField name="ShipDate" numFmtId="14">
      <sharedItems containsSemiMixedTypes="0" containsNonDate="0" containsDate="1" containsString="0" minDate="2021-01-03T00:00:00" maxDate="2025-12-31T00:00:00"/>
    </cacheField>
    <cacheField name="DeliveryDate" numFmtId="14">
      <sharedItems containsSemiMixedTypes="0" containsNonDate="0" containsDate="1" containsString="0" minDate="2021-01-07T00:00:00" maxDate="2026-01-04T00:00:00"/>
    </cacheField>
    <cacheField name="Region" numFmtId="0">
      <sharedItems count="4">
        <s v="West"/>
        <s v="North"/>
        <s v="South"/>
        <s v="East"/>
      </sharedItems>
    </cacheField>
    <cacheField name="Country" numFmtId="0">
      <sharedItems/>
    </cacheField>
    <cacheField name="State" numFmtId="0">
      <sharedItems/>
    </cacheField>
    <cacheField name="City" numFmtId="0">
      <sharedItems/>
    </cacheField>
    <cacheField name="Category" numFmtId="0">
      <sharedItems count="3">
        <s v="Office Supplies"/>
        <s v="Technology"/>
        <s v="Furniture"/>
      </sharedItems>
    </cacheField>
    <cacheField name="Sub-Category" numFmtId="0">
      <sharedItems/>
    </cacheField>
    <cacheField name="Product" numFmtId="0">
      <sharedItems/>
    </cacheField>
    <cacheField name="Customer Segment" numFmtId="0">
      <sharedItems/>
    </cacheField>
    <cacheField name="Sales" numFmtId="165">
      <sharedItems containsSemiMixedTypes="0" containsString="0" containsNumber="1" containsInteger="1" minValue="583" maxValue="74973"/>
    </cacheField>
    <cacheField name="Discount" numFmtId="0">
      <sharedItems containsSemiMixedTypes="0" containsString="0" containsNumber="1" minValue="0" maxValue="0.4"/>
    </cacheField>
    <cacheField name="Profit" numFmtId="165">
      <sharedItems containsSemiMixedTypes="0" containsString="0" containsNumber="1" containsInteger="1" minValue="-1997" maxValue="19981"/>
    </cacheField>
    <cacheField name="Quantity" numFmtId="0">
      <sharedItems containsSemiMixedTypes="0" containsString="0" containsNumber="1" containsInteger="1" minValue="1" maxValue="24"/>
    </cacheField>
    <cacheField name="Payment Mode" numFmtId="0">
      <sharedItems/>
    </cacheField>
    <cacheField name="Order Priority" numFmtId="0">
      <sharedItems/>
    </cacheField>
    <cacheField name="Year" numFmtId="0">
      <sharedItems containsSemiMixedTypes="0" containsString="0" containsNumber="1" containsInteger="1" minValue="2021" maxValue="2025" count="5">
        <n v="2021"/>
        <n v="2022"/>
        <n v="2023"/>
        <n v="2024"/>
        <n v="2025"/>
      </sharedItems>
    </cacheField>
    <cacheField name="Month" numFmtId="0">
      <sharedItems count="12">
        <s v="Jan"/>
        <s v="Feb"/>
        <s v="Mar"/>
        <s v="Apr"/>
        <s v="May"/>
        <s v="Jun"/>
        <s v="Jul"/>
        <s v="Aug"/>
        <s v="Sep"/>
        <s v="Oct"/>
        <s v="Nov"/>
        <s v="Dec"/>
      </sharedItems>
    </cacheField>
    <cacheField name="Shipping Days" numFmtId="0">
      <sharedItems containsSemiMixedTypes="0" containsString="0" containsNumber="1" containsInteger="1" minValue="2" maxValue="7"/>
    </cacheField>
    <cacheField name="Delivery Days" numFmtId="0">
      <sharedItems containsSemiMixedTypes="0" containsString="0" containsNumber="1" containsInteger="1" minValue="3" maxValue="12"/>
    </cacheField>
    <cacheField name="Profit%" numFmtId="10">
      <sharedItems containsSemiMixedTypes="0" containsString="0" containsNumber="1" minValue="-0.94262295081967218" maxValue="30.188679245283019"/>
    </cacheField>
    <cacheField name="Profit Margin" numFmtId="0" formula="Profit/Sales" databaseField="0"/>
  </cacheFields>
  <extLst>
    <ext xmlns:x14="http://schemas.microsoft.com/office/spreadsheetml/2009/9/main" uri="{725AE2AE-9491-48be-B2B4-4EB974FC3084}">
      <x14:pivotCacheDefinition pivotCacheId="16459617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21">
  <r>
    <n v="10001"/>
    <d v="2021-01-01T00:00:00"/>
    <d v="2021-01-03T00:00:00"/>
    <d v="2021-01-07T00:00:00"/>
    <x v="0"/>
    <s v="India"/>
    <s v="Karnataka"/>
    <s v="Bangalore"/>
    <x v="0"/>
    <s v="Mobile"/>
    <s v="Dining Table"/>
    <s v="Home Office"/>
    <n v="58593"/>
    <n v="0.15"/>
    <n v="13209"/>
    <n v="21"/>
    <s v="Credit Card"/>
    <s v="Critical"/>
    <x v="0"/>
    <x v="0"/>
    <n v="2"/>
    <n v="6"/>
    <n v="0.22543648558701551"/>
  </r>
  <r>
    <n v="10002"/>
    <d v="2021-01-02T00:00:00"/>
    <d v="2021-01-08T00:00:00"/>
    <d v="2021-01-12T00:00:00"/>
    <x v="1"/>
    <s v="India"/>
    <s v="Telangana"/>
    <s v="Delhi"/>
    <x v="1"/>
    <s v="Laptop"/>
    <s v="Office Chair"/>
    <s v="Home Office"/>
    <n v="71540"/>
    <n v="0.25"/>
    <n v="17196"/>
    <n v="22"/>
    <s v="Credit Card"/>
    <s v="Medium"/>
    <x v="0"/>
    <x v="0"/>
    <n v="6"/>
    <n v="10"/>
    <n v="0.24036902432205759"/>
  </r>
  <r>
    <n v="10003"/>
    <d v="2021-01-03T00:00:00"/>
    <d v="2021-01-10T00:00:00"/>
    <d v="2021-01-12T00:00:00"/>
    <x v="2"/>
    <s v="India"/>
    <s v="Telangana"/>
    <s v="Kochi"/>
    <x v="0"/>
    <s v="Printer"/>
    <s v="Gaming Laptop"/>
    <s v="Home Office"/>
    <n v="65230"/>
    <n v="0.35"/>
    <n v="1181"/>
    <n v="17"/>
    <s v="Net Banking"/>
    <s v="High"/>
    <x v="0"/>
    <x v="0"/>
    <n v="7"/>
    <n v="9"/>
    <n v="1.8105166334508663E-2"/>
  </r>
  <r>
    <n v="10004"/>
    <d v="2021-01-04T00:00:00"/>
    <d v="2021-01-09T00:00:00"/>
    <d v="2021-01-12T00:00:00"/>
    <x v="3"/>
    <s v="India"/>
    <s v="Delhi"/>
    <s v="Bangalore"/>
    <x v="1"/>
    <s v="Printer"/>
    <s v="Office Chair"/>
    <s v="Consumer"/>
    <n v="44292"/>
    <n v="0.25"/>
    <n v="16220"/>
    <n v="13"/>
    <s v="Credit Card"/>
    <s v="Critical"/>
    <x v="0"/>
    <x v="0"/>
    <n v="5"/>
    <n v="8"/>
    <n v="0.3662060868779915"/>
  </r>
  <r>
    <n v="10005"/>
    <d v="2021-01-05T00:00:00"/>
    <d v="2021-01-10T00:00:00"/>
    <d v="2021-01-11T00:00:00"/>
    <x v="0"/>
    <s v="India"/>
    <s v="Kerala"/>
    <s v="Delhi"/>
    <x v="2"/>
    <s v="Notebook"/>
    <s v="Office Chair"/>
    <s v="Consumer"/>
    <n v="9733"/>
    <n v="0.03"/>
    <n v="-225"/>
    <n v="24"/>
    <s v="Credit Card"/>
    <s v="Critical"/>
    <x v="0"/>
    <x v="0"/>
    <n v="5"/>
    <n v="6"/>
    <n v="-2.311723004212473E-2"/>
  </r>
  <r>
    <n v="10006"/>
    <d v="2021-01-06T00:00:00"/>
    <d v="2021-01-08T00:00:00"/>
    <d v="2021-01-12T00:00:00"/>
    <x v="0"/>
    <s v="India"/>
    <s v="Delhi"/>
    <s v="Chennai"/>
    <x v="1"/>
    <s v="Notebook"/>
    <s v="Spiral Notebook"/>
    <s v="Corporate"/>
    <n v="12743"/>
    <n v="0.13"/>
    <n v="19285"/>
    <n v="18"/>
    <s v="UPI"/>
    <s v="Critical"/>
    <x v="0"/>
    <x v="0"/>
    <n v="2"/>
    <n v="6"/>
    <n v="1.5133798948442283"/>
  </r>
  <r>
    <n v="10007"/>
    <d v="2021-01-07T00:00:00"/>
    <d v="2021-01-13T00:00:00"/>
    <d v="2021-01-15T00:00:00"/>
    <x v="0"/>
    <s v="India"/>
    <s v="Tamil Nadu"/>
    <s v="Mumbai"/>
    <x v="0"/>
    <s v="Printer"/>
    <s v="Gel Pen"/>
    <s v="Corporate"/>
    <n v="24441"/>
    <n v="0.15"/>
    <n v="2384"/>
    <n v="5"/>
    <s v="Debit Card"/>
    <s v="Low"/>
    <x v="0"/>
    <x v="0"/>
    <n v="6"/>
    <n v="8"/>
    <n v="9.7541017143324735E-2"/>
  </r>
  <r>
    <n v="10008"/>
    <d v="2021-01-08T00:00:00"/>
    <d v="2021-01-11T00:00:00"/>
    <d v="2021-01-13T00:00:00"/>
    <x v="0"/>
    <s v="India"/>
    <s v="Maharashtra"/>
    <s v="Bangalore"/>
    <x v="1"/>
    <s v="Laptop"/>
    <s v="Spiral Notebook"/>
    <s v="Corporate"/>
    <n v="71119"/>
    <n v="0.28000000000000003"/>
    <n v="1987"/>
    <n v="23"/>
    <s v="UPI"/>
    <s v="High"/>
    <x v="0"/>
    <x v="0"/>
    <n v="3"/>
    <n v="5"/>
    <n v="2.7939088007424177E-2"/>
  </r>
  <r>
    <n v="10009"/>
    <d v="2021-01-09T00:00:00"/>
    <d v="2021-01-11T00:00:00"/>
    <d v="2021-01-12T00:00:00"/>
    <x v="1"/>
    <s v="India"/>
    <s v="Maharashtra"/>
    <s v="Mumbai"/>
    <x v="1"/>
    <s v="Chair"/>
    <s v="Gel Pen"/>
    <s v="Consumer"/>
    <n v="29497"/>
    <n v="0.15"/>
    <n v="17236"/>
    <n v="10"/>
    <s v="UPI"/>
    <s v="High"/>
    <x v="0"/>
    <x v="0"/>
    <n v="2"/>
    <n v="3"/>
    <n v="0.58433060989253149"/>
  </r>
  <r>
    <n v="10010"/>
    <d v="2021-01-10T00:00:00"/>
    <d v="2021-01-17T00:00:00"/>
    <d v="2021-01-19T00:00:00"/>
    <x v="2"/>
    <s v="India"/>
    <s v="Telangana"/>
    <s v="Hyderabad"/>
    <x v="0"/>
    <s v="Chair"/>
    <s v="Laser Printer"/>
    <s v="Home Office"/>
    <n v="69182"/>
    <n v="0.35"/>
    <n v="3604"/>
    <n v="12"/>
    <s v="Net Banking"/>
    <s v="Low"/>
    <x v="0"/>
    <x v="0"/>
    <n v="7"/>
    <n v="9"/>
    <n v="5.209447544158885E-2"/>
  </r>
  <r>
    <n v="10011"/>
    <d v="2021-01-11T00:00:00"/>
    <d v="2021-01-18T00:00:00"/>
    <d v="2021-01-19T00:00:00"/>
    <x v="3"/>
    <s v="India"/>
    <s v="Kerala"/>
    <s v="Mumbai"/>
    <x v="1"/>
    <s v="Table"/>
    <s v="Laser Printer"/>
    <s v="Corporate"/>
    <n v="74703"/>
    <n v="0.15"/>
    <n v="12837"/>
    <n v="14"/>
    <s v="Net Banking"/>
    <s v="Critical"/>
    <x v="0"/>
    <x v="0"/>
    <n v="7"/>
    <n v="8"/>
    <n v="0.17184048833380186"/>
  </r>
  <r>
    <n v="10012"/>
    <d v="2021-01-12T00:00:00"/>
    <d v="2021-01-15T00:00:00"/>
    <d v="2021-01-16T00:00:00"/>
    <x v="0"/>
    <s v="India"/>
    <s v="Karnataka"/>
    <s v="Bangalore"/>
    <x v="0"/>
    <s v="Printer"/>
    <s v="Dining Table"/>
    <s v="Corporate"/>
    <n v="60567"/>
    <n v="0.16"/>
    <n v="8255"/>
    <n v="13"/>
    <s v="Cash"/>
    <s v="High"/>
    <x v="0"/>
    <x v="0"/>
    <n v="3"/>
    <n v="4"/>
    <n v="0.13629534234814339"/>
  </r>
  <r>
    <n v="10013"/>
    <d v="2021-01-13T00:00:00"/>
    <d v="2021-01-18T00:00:00"/>
    <d v="2021-01-19T00:00:00"/>
    <x v="1"/>
    <s v="India"/>
    <s v="Maharashtra"/>
    <s v="Mumbai"/>
    <x v="1"/>
    <s v="Notebook"/>
    <s v="Laser Printer"/>
    <s v="Consumer"/>
    <n v="11195"/>
    <n v="0.24"/>
    <n v="15849"/>
    <n v="3"/>
    <s v="Credit Card"/>
    <s v="Critical"/>
    <x v="0"/>
    <x v="0"/>
    <n v="5"/>
    <n v="6"/>
    <n v="1.4157213041536401"/>
  </r>
  <r>
    <n v="10014"/>
    <d v="2021-01-14T00:00:00"/>
    <d v="2021-01-20T00:00:00"/>
    <d v="2021-01-21T00:00:00"/>
    <x v="2"/>
    <s v="India"/>
    <s v="Maharashtra"/>
    <s v="Mumbai"/>
    <x v="1"/>
    <s v="Table"/>
    <s v="Gaming Laptop"/>
    <s v="Consumer"/>
    <n v="10762"/>
    <n v="0.27"/>
    <n v="7556"/>
    <n v="4"/>
    <s v="Debit Card"/>
    <s v="Medium"/>
    <x v="0"/>
    <x v="0"/>
    <n v="6"/>
    <n v="7"/>
    <n v="0.70209998141609364"/>
  </r>
  <r>
    <n v="10015"/>
    <d v="2021-01-15T00:00:00"/>
    <d v="2021-01-19T00:00:00"/>
    <d v="2021-01-21T00:00:00"/>
    <x v="3"/>
    <s v="India"/>
    <s v="Telangana"/>
    <s v="Kochi"/>
    <x v="1"/>
    <s v="Mobile"/>
    <s v="Gel Pen"/>
    <s v="Corporate"/>
    <n v="12243"/>
    <n v="0.34"/>
    <n v="3727"/>
    <n v="17"/>
    <s v="Credit Card"/>
    <s v="Low"/>
    <x v="0"/>
    <x v="0"/>
    <n v="4"/>
    <n v="6"/>
    <n v="0.30441885158866289"/>
  </r>
  <r>
    <n v="10016"/>
    <d v="2021-01-16T00:00:00"/>
    <d v="2021-01-23T00:00:00"/>
    <d v="2021-01-24T00:00:00"/>
    <x v="3"/>
    <s v="India"/>
    <s v="Tamil Nadu"/>
    <s v="Bangalore"/>
    <x v="1"/>
    <s v="Printer"/>
    <s v="Gaming Laptop"/>
    <s v="Home Office"/>
    <n v="69727"/>
    <n v="0.04"/>
    <n v="10871"/>
    <n v="22"/>
    <s v="Credit Card"/>
    <s v="Low"/>
    <x v="0"/>
    <x v="0"/>
    <n v="7"/>
    <n v="8"/>
    <n v="0.15590804136130912"/>
  </r>
  <r>
    <n v="10017"/>
    <d v="2021-01-17T00:00:00"/>
    <d v="2021-01-21T00:00:00"/>
    <d v="2021-01-23T00:00:00"/>
    <x v="3"/>
    <s v="India"/>
    <s v="Tamil Nadu"/>
    <s v="Delhi"/>
    <x v="0"/>
    <s v="Table"/>
    <s v="Gel Pen"/>
    <s v="Consumer"/>
    <n v="17375"/>
    <n v="7.0000000000000007E-2"/>
    <n v="6797"/>
    <n v="23"/>
    <s v="Net Banking"/>
    <s v="Medium"/>
    <x v="0"/>
    <x v="0"/>
    <n v="4"/>
    <n v="6"/>
    <n v="0.39119424460431657"/>
  </r>
  <r>
    <n v="10018"/>
    <d v="2021-01-18T00:00:00"/>
    <d v="2021-01-20T00:00:00"/>
    <d v="2021-01-25T00:00:00"/>
    <x v="1"/>
    <s v="India"/>
    <s v="Delhi"/>
    <s v="Kochi"/>
    <x v="1"/>
    <s v="Notebook"/>
    <s v="Smartphone"/>
    <s v="Corporate"/>
    <n v="3772"/>
    <n v="0.24"/>
    <n v="-904"/>
    <n v="6"/>
    <s v="Net Banking"/>
    <s v="Medium"/>
    <x v="0"/>
    <x v="0"/>
    <n v="2"/>
    <n v="7"/>
    <n v="-0.23966065747613999"/>
  </r>
  <r>
    <n v="10019"/>
    <d v="2021-01-19T00:00:00"/>
    <d v="2021-01-22T00:00:00"/>
    <d v="2021-01-27T00:00:00"/>
    <x v="0"/>
    <s v="India"/>
    <s v="Maharashtra"/>
    <s v="Mumbai"/>
    <x v="0"/>
    <s v="Table"/>
    <s v="Laser Printer"/>
    <s v="Consumer"/>
    <n v="69011"/>
    <n v="0.09"/>
    <n v="13375"/>
    <n v="17"/>
    <s v="Credit Card"/>
    <s v="High"/>
    <x v="0"/>
    <x v="0"/>
    <n v="3"/>
    <n v="8"/>
    <n v="0.19380968251438177"/>
  </r>
  <r>
    <n v="10020"/>
    <d v="2021-01-20T00:00:00"/>
    <d v="2021-01-25T00:00:00"/>
    <d v="2021-01-29T00:00:00"/>
    <x v="3"/>
    <s v="India"/>
    <s v="Telangana"/>
    <s v="Hyderabad"/>
    <x v="2"/>
    <s v="Notebook"/>
    <s v="Laser Printer"/>
    <s v="Home Office"/>
    <n v="12713"/>
    <n v="0.01"/>
    <n v="-1696"/>
    <n v="11"/>
    <s v="Cash"/>
    <s v="Critical"/>
    <x v="0"/>
    <x v="0"/>
    <n v="5"/>
    <n v="9"/>
    <n v="-0.1334067489970896"/>
  </r>
  <r>
    <n v="10021"/>
    <d v="2021-01-21T00:00:00"/>
    <d v="2021-01-28T00:00:00"/>
    <d v="2021-02-02T00:00:00"/>
    <x v="1"/>
    <s v="India"/>
    <s v="Tamil Nadu"/>
    <s v="Chennai"/>
    <x v="1"/>
    <s v="Pen"/>
    <s v="Gel Pen"/>
    <s v="Corporate"/>
    <n v="4489"/>
    <n v="0.15"/>
    <n v="9784"/>
    <n v="19"/>
    <s v="Net Banking"/>
    <s v="High"/>
    <x v="0"/>
    <x v="0"/>
    <n v="7"/>
    <n v="12"/>
    <n v="2.1795500111383381"/>
  </r>
  <r>
    <n v="10022"/>
    <d v="2021-01-22T00:00:00"/>
    <d v="2021-01-29T00:00:00"/>
    <d v="2021-01-31T00:00:00"/>
    <x v="1"/>
    <s v="India"/>
    <s v="Telangana"/>
    <s v="Mumbai"/>
    <x v="1"/>
    <s v="Chair"/>
    <s v="Spiral Notebook"/>
    <s v="Home Office"/>
    <n v="20571"/>
    <n v="0.18"/>
    <n v="3698"/>
    <n v="4"/>
    <s v="Net Banking"/>
    <s v="Critical"/>
    <x v="0"/>
    <x v="0"/>
    <n v="7"/>
    <n v="9"/>
    <n v="0.17976763404793156"/>
  </r>
  <r>
    <n v="10023"/>
    <d v="2021-01-23T00:00:00"/>
    <d v="2021-01-30T00:00:00"/>
    <d v="2021-01-31T00:00:00"/>
    <x v="0"/>
    <s v="India"/>
    <s v="Kerala"/>
    <s v="Bangalore"/>
    <x v="0"/>
    <s v="Mobile"/>
    <s v="Laser Printer"/>
    <s v="Home Office"/>
    <n v="30455"/>
    <n v="0.2"/>
    <n v="618"/>
    <n v="15"/>
    <s v="Net Banking"/>
    <s v="High"/>
    <x v="0"/>
    <x v="0"/>
    <n v="7"/>
    <n v="8"/>
    <n v="2.0292234444262026E-2"/>
  </r>
  <r>
    <n v="10024"/>
    <d v="2021-01-24T00:00:00"/>
    <d v="2021-01-28T00:00:00"/>
    <d v="2021-01-31T00:00:00"/>
    <x v="0"/>
    <s v="India"/>
    <s v="Karnataka"/>
    <s v="Mumbai"/>
    <x v="1"/>
    <s v="Table"/>
    <s v="Gaming Laptop"/>
    <s v="Corporate"/>
    <n v="69865"/>
    <n v="0.17"/>
    <n v="5590"/>
    <n v="11"/>
    <s v="Cash"/>
    <s v="Critical"/>
    <x v="0"/>
    <x v="0"/>
    <n v="4"/>
    <n v="7"/>
    <n v="8.0011450654834324E-2"/>
  </r>
  <r>
    <n v="10025"/>
    <d v="2021-01-25T00:00:00"/>
    <d v="2021-01-29T00:00:00"/>
    <d v="2021-02-02T00:00:00"/>
    <x v="1"/>
    <s v="India"/>
    <s v="Tamil Nadu"/>
    <s v="Hyderabad"/>
    <x v="0"/>
    <s v="Printer"/>
    <s v="Gel Pen"/>
    <s v="Home Office"/>
    <n v="22553"/>
    <n v="0.12"/>
    <n v="1951"/>
    <n v="8"/>
    <s v="UPI"/>
    <s v="Low"/>
    <x v="0"/>
    <x v="0"/>
    <n v="4"/>
    <n v="8"/>
    <n v="8.650733826985324E-2"/>
  </r>
  <r>
    <n v="10026"/>
    <d v="2021-01-26T00:00:00"/>
    <d v="2021-01-30T00:00:00"/>
    <d v="2021-02-01T00:00:00"/>
    <x v="1"/>
    <s v="India"/>
    <s v="Tamil Nadu"/>
    <s v="Bangalore"/>
    <x v="1"/>
    <s v="Pen"/>
    <s v="Gaming Laptop"/>
    <s v="Corporate"/>
    <n v="59493"/>
    <n v="0.15"/>
    <n v="13178"/>
    <n v="20"/>
    <s v="Debit Card"/>
    <s v="High"/>
    <x v="0"/>
    <x v="0"/>
    <n v="4"/>
    <n v="6"/>
    <n v="0.22150505101440507"/>
  </r>
  <r>
    <n v="10027"/>
    <d v="2021-01-27T00:00:00"/>
    <d v="2021-01-31T00:00:00"/>
    <d v="2021-02-03T00:00:00"/>
    <x v="0"/>
    <s v="India"/>
    <s v="Karnataka"/>
    <s v="Chennai"/>
    <x v="1"/>
    <s v="Printer"/>
    <s v="Dining Table"/>
    <s v="Corporate"/>
    <n v="29882"/>
    <n v="0.16"/>
    <n v="10738"/>
    <n v="9"/>
    <s v="UPI"/>
    <s v="Low"/>
    <x v="0"/>
    <x v="0"/>
    <n v="4"/>
    <n v="7"/>
    <n v="0.35934676393815673"/>
  </r>
  <r>
    <n v="10028"/>
    <d v="2021-01-28T00:00:00"/>
    <d v="2021-02-04T00:00:00"/>
    <d v="2021-02-09T00:00:00"/>
    <x v="0"/>
    <s v="India"/>
    <s v="Telangana"/>
    <s v="Kochi"/>
    <x v="0"/>
    <s v="Notebook"/>
    <s v="Laser Printer"/>
    <s v="Consumer"/>
    <n v="58069"/>
    <n v="0.04"/>
    <n v="4892"/>
    <n v="6"/>
    <s v="Cash"/>
    <s v="Critical"/>
    <x v="0"/>
    <x v="0"/>
    <n v="7"/>
    <n v="12"/>
    <n v="8.4244605555459887E-2"/>
  </r>
  <r>
    <n v="10029"/>
    <d v="2021-01-29T00:00:00"/>
    <d v="2021-02-01T00:00:00"/>
    <d v="2021-02-04T00:00:00"/>
    <x v="3"/>
    <s v="India"/>
    <s v="Telangana"/>
    <s v="Bangalore"/>
    <x v="0"/>
    <s v="Mobile"/>
    <s v="Laser Printer"/>
    <s v="Corporate"/>
    <n v="20697"/>
    <n v="0.36"/>
    <n v="18593"/>
    <n v="10"/>
    <s v="Cash"/>
    <s v="High"/>
    <x v="0"/>
    <x v="0"/>
    <n v="3"/>
    <n v="6"/>
    <n v="0.89834275498864569"/>
  </r>
  <r>
    <n v="10030"/>
    <d v="2021-01-30T00:00:00"/>
    <d v="2021-02-04T00:00:00"/>
    <d v="2021-02-06T00:00:00"/>
    <x v="3"/>
    <s v="India"/>
    <s v="Tamil Nadu"/>
    <s v="Kochi"/>
    <x v="1"/>
    <s v="Chair"/>
    <s v="Office Chair"/>
    <s v="Home Office"/>
    <n v="46987"/>
    <n v="0.31"/>
    <n v="17640"/>
    <n v="1"/>
    <s v="Cash"/>
    <s v="Low"/>
    <x v="0"/>
    <x v="0"/>
    <n v="5"/>
    <n v="7"/>
    <n v="0.37542298933747631"/>
  </r>
  <r>
    <n v="10031"/>
    <d v="2021-01-31T00:00:00"/>
    <d v="2021-02-04T00:00:00"/>
    <d v="2021-02-08T00:00:00"/>
    <x v="0"/>
    <s v="India"/>
    <s v="Tamil Nadu"/>
    <s v="Mumbai"/>
    <x v="2"/>
    <s v="Laptop"/>
    <s v="Office Chair"/>
    <s v="Home Office"/>
    <n v="10383"/>
    <n v="0.16"/>
    <n v="4020"/>
    <n v="1"/>
    <s v="Debit Card"/>
    <s v="Critical"/>
    <x v="0"/>
    <x v="0"/>
    <n v="4"/>
    <n v="8"/>
    <n v="0.38717133776365215"/>
  </r>
  <r>
    <n v="10032"/>
    <d v="2021-02-01T00:00:00"/>
    <d v="2021-02-08T00:00:00"/>
    <d v="2021-02-09T00:00:00"/>
    <x v="1"/>
    <s v="India"/>
    <s v="Telangana"/>
    <s v="Mumbai"/>
    <x v="2"/>
    <s v="Printer"/>
    <s v="Office Chair"/>
    <s v="Corporate"/>
    <n v="51793"/>
    <n v="0.08"/>
    <n v="19126"/>
    <n v="24"/>
    <s v="Cash"/>
    <s v="Medium"/>
    <x v="0"/>
    <x v="1"/>
    <n v="7"/>
    <n v="8"/>
    <n v="0.36927770161991003"/>
  </r>
  <r>
    <n v="10033"/>
    <d v="2021-02-02T00:00:00"/>
    <d v="2021-02-08T00:00:00"/>
    <d v="2021-02-09T00:00:00"/>
    <x v="1"/>
    <s v="India"/>
    <s v="Maharashtra"/>
    <s v="Kochi"/>
    <x v="1"/>
    <s v="Table"/>
    <s v="Smartphone"/>
    <s v="Corporate"/>
    <n v="57387"/>
    <n v="0.25"/>
    <n v="13581"/>
    <n v="14"/>
    <s v="Debit Card"/>
    <s v="Critical"/>
    <x v="0"/>
    <x v="1"/>
    <n v="6"/>
    <n v="7"/>
    <n v="0.23665638559255581"/>
  </r>
  <r>
    <n v="10034"/>
    <d v="2021-02-03T00:00:00"/>
    <d v="2021-02-09T00:00:00"/>
    <d v="2021-02-12T00:00:00"/>
    <x v="0"/>
    <s v="India"/>
    <s v="Tamil Nadu"/>
    <s v="Bangalore"/>
    <x v="1"/>
    <s v="Mobile"/>
    <s v="Dining Table"/>
    <s v="Consumer"/>
    <n v="58866"/>
    <n v="0.03"/>
    <n v="17721"/>
    <n v="18"/>
    <s v="Cash"/>
    <s v="Medium"/>
    <x v="0"/>
    <x v="1"/>
    <n v="6"/>
    <n v="9"/>
    <n v="0.30103964937315258"/>
  </r>
  <r>
    <n v="10035"/>
    <d v="2021-02-04T00:00:00"/>
    <d v="2021-02-07T00:00:00"/>
    <d v="2021-02-08T00:00:00"/>
    <x v="2"/>
    <s v="India"/>
    <s v="Telangana"/>
    <s v="Kochi"/>
    <x v="2"/>
    <s v="Mobile"/>
    <s v="Dining Table"/>
    <s v="Home Office"/>
    <n v="47675"/>
    <n v="0.23"/>
    <n v="9184"/>
    <n v="5"/>
    <s v="UPI"/>
    <s v="Medium"/>
    <x v="0"/>
    <x v="1"/>
    <n v="3"/>
    <n v="4"/>
    <n v="0.19263765076035658"/>
  </r>
  <r>
    <n v="10036"/>
    <d v="2021-02-05T00:00:00"/>
    <d v="2021-02-08T00:00:00"/>
    <d v="2021-02-12T00:00:00"/>
    <x v="1"/>
    <s v="India"/>
    <s v="Maharashtra"/>
    <s v="Kochi"/>
    <x v="2"/>
    <s v="Chair"/>
    <s v="Gaming Laptop"/>
    <s v="Consumer"/>
    <n v="64661"/>
    <n v="0.05"/>
    <n v="7131"/>
    <n v="6"/>
    <s v="Debit Card"/>
    <s v="High"/>
    <x v="0"/>
    <x v="1"/>
    <n v="3"/>
    <n v="7"/>
    <n v="0.11028285983823324"/>
  </r>
  <r>
    <n v="10037"/>
    <d v="2021-02-06T00:00:00"/>
    <d v="2021-02-13T00:00:00"/>
    <d v="2021-02-16T00:00:00"/>
    <x v="1"/>
    <s v="India"/>
    <s v="Karnataka"/>
    <s v="Kochi"/>
    <x v="0"/>
    <s v="Printer"/>
    <s v="Gel Pen"/>
    <s v="Corporate"/>
    <n v="68282"/>
    <n v="0.1"/>
    <n v="5251"/>
    <n v="8"/>
    <s v="UPI"/>
    <s v="Low"/>
    <x v="0"/>
    <x v="1"/>
    <n v="7"/>
    <n v="10"/>
    <n v="7.6901672475908733E-2"/>
  </r>
  <r>
    <n v="10038"/>
    <d v="2021-02-07T00:00:00"/>
    <d v="2021-02-13T00:00:00"/>
    <d v="2021-02-16T00:00:00"/>
    <x v="0"/>
    <s v="India"/>
    <s v="Maharashtra"/>
    <s v="Chennai"/>
    <x v="0"/>
    <s v="Pen"/>
    <s v="Office Chair"/>
    <s v="Consumer"/>
    <n v="57286"/>
    <n v="0.06"/>
    <n v="2253"/>
    <n v="18"/>
    <s v="Cash"/>
    <s v="Low"/>
    <x v="0"/>
    <x v="1"/>
    <n v="6"/>
    <n v="9"/>
    <n v="3.9328980902838387E-2"/>
  </r>
  <r>
    <n v="10039"/>
    <d v="2021-02-08T00:00:00"/>
    <d v="2021-02-10T00:00:00"/>
    <d v="2021-02-13T00:00:00"/>
    <x v="2"/>
    <s v="India"/>
    <s v="Telangana"/>
    <s v="Kochi"/>
    <x v="2"/>
    <s v="Pen"/>
    <s v="Spiral Notebook"/>
    <s v="Consumer"/>
    <n v="18920"/>
    <n v="0.02"/>
    <n v="-1617"/>
    <n v="1"/>
    <s v="Debit Card"/>
    <s v="Critical"/>
    <x v="0"/>
    <x v="1"/>
    <n v="2"/>
    <n v="5"/>
    <n v="-8.5465116279069761E-2"/>
  </r>
  <r>
    <n v="10040"/>
    <d v="2021-02-09T00:00:00"/>
    <d v="2021-02-15T00:00:00"/>
    <d v="2021-02-18T00:00:00"/>
    <x v="1"/>
    <s v="India"/>
    <s v="Delhi"/>
    <s v="Delhi"/>
    <x v="0"/>
    <s v="Mobile"/>
    <s v="Spiral Notebook"/>
    <s v="Consumer"/>
    <n v="1636"/>
    <n v="0.16"/>
    <n v="15868"/>
    <n v="7"/>
    <s v="Credit Card"/>
    <s v="High"/>
    <x v="0"/>
    <x v="1"/>
    <n v="6"/>
    <n v="9"/>
    <n v="9.6992665036674808"/>
  </r>
  <r>
    <n v="10041"/>
    <d v="2021-02-10T00:00:00"/>
    <d v="2021-02-17T00:00:00"/>
    <d v="2021-02-21T00:00:00"/>
    <x v="0"/>
    <s v="India"/>
    <s v="Tamil Nadu"/>
    <s v="Hyderabad"/>
    <x v="1"/>
    <s v="Notebook"/>
    <s v="Spiral Notebook"/>
    <s v="Consumer"/>
    <n v="46789"/>
    <n v="0.19"/>
    <n v="3620"/>
    <n v="21"/>
    <s v="Net Banking"/>
    <s v="Critical"/>
    <x v="0"/>
    <x v="1"/>
    <n v="7"/>
    <n v="11"/>
    <n v="7.7368612280664259E-2"/>
  </r>
  <r>
    <n v="10042"/>
    <d v="2021-02-11T00:00:00"/>
    <d v="2021-02-14T00:00:00"/>
    <d v="2021-02-19T00:00:00"/>
    <x v="2"/>
    <s v="India"/>
    <s v="Tamil Nadu"/>
    <s v="Delhi"/>
    <x v="1"/>
    <s v="Mobile"/>
    <s v="Gel Pen"/>
    <s v="Consumer"/>
    <n v="53074"/>
    <n v="0.08"/>
    <n v="11223"/>
    <n v="9"/>
    <s v="UPI"/>
    <s v="High"/>
    <x v="0"/>
    <x v="1"/>
    <n v="3"/>
    <n v="8"/>
    <n v="0.21145947168104909"/>
  </r>
  <r>
    <n v="10043"/>
    <d v="2021-02-12T00:00:00"/>
    <d v="2021-02-17T00:00:00"/>
    <d v="2021-02-19T00:00:00"/>
    <x v="1"/>
    <s v="India"/>
    <s v="Telangana"/>
    <s v="Bangalore"/>
    <x v="1"/>
    <s v="Chair"/>
    <s v="Spiral Notebook"/>
    <s v="Home Office"/>
    <n v="49792"/>
    <n v="0.4"/>
    <n v="667"/>
    <n v="3"/>
    <s v="Cash"/>
    <s v="High"/>
    <x v="0"/>
    <x v="1"/>
    <n v="5"/>
    <n v="7"/>
    <n v="1.3395726221079691E-2"/>
  </r>
  <r>
    <n v="10044"/>
    <d v="2021-02-13T00:00:00"/>
    <d v="2021-02-19T00:00:00"/>
    <d v="2021-02-24T00:00:00"/>
    <x v="3"/>
    <s v="India"/>
    <s v="Kerala"/>
    <s v="Kochi"/>
    <x v="1"/>
    <s v="Notebook"/>
    <s v="Laser Printer"/>
    <s v="Home Office"/>
    <n v="19171"/>
    <n v="0.36"/>
    <n v="9916"/>
    <n v="17"/>
    <s v="Net Banking"/>
    <s v="High"/>
    <x v="0"/>
    <x v="1"/>
    <n v="6"/>
    <n v="11"/>
    <n v="0.51723958061655628"/>
  </r>
  <r>
    <n v="10045"/>
    <d v="2021-02-14T00:00:00"/>
    <d v="2021-02-20T00:00:00"/>
    <d v="2021-02-25T00:00:00"/>
    <x v="1"/>
    <s v="India"/>
    <s v="Maharashtra"/>
    <s v="Hyderabad"/>
    <x v="0"/>
    <s v="Mobile"/>
    <s v="Laser Printer"/>
    <s v="Corporate"/>
    <n v="29045"/>
    <n v="0.28000000000000003"/>
    <n v="13693"/>
    <n v="12"/>
    <s v="Credit Card"/>
    <s v="Critical"/>
    <x v="0"/>
    <x v="1"/>
    <n v="6"/>
    <n v="11"/>
    <n v="0.47144086761921156"/>
  </r>
  <r>
    <n v="10046"/>
    <d v="2021-02-15T00:00:00"/>
    <d v="2021-02-18T00:00:00"/>
    <d v="2021-02-23T00:00:00"/>
    <x v="2"/>
    <s v="India"/>
    <s v="Tamil Nadu"/>
    <s v="Delhi"/>
    <x v="2"/>
    <s v="Notebook"/>
    <s v="Smartphone"/>
    <s v="Corporate"/>
    <n v="71214"/>
    <n v="0.31"/>
    <n v="6553"/>
    <n v="1"/>
    <s v="Credit Card"/>
    <s v="Critical"/>
    <x v="0"/>
    <x v="1"/>
    <n v="3"/>
    <n v="8"/>
    <n v="9.2018423343724551E-2"/>
  </r>
  <r>
    <n v="10047"/>
    <d v="2021-02-16T00:00:00"/>
    <d v="2021-02-23T00:00:00"/>
    <d v="2021-02-24T00:00:00"/>
    <x v="3"/>
    <s v="India"/>
    <s v="Karnataka"/>
    <s v="Hyderabad"/>
    <x v="2"/>
    <s v="Laptop"/>
    <s v="Spiral Notebook"/>
    <s v="Consumer"/>
    <n v="43748"/>
    <n v="0.05"/>
    <n v="90"/>
    <n v="22"/>
    <s v="UPI"/>
    <s v="High"/>
    <x v="0"/>
    <x v="1"/>
    <n v="7"/>
    <n v="8"/>
    <n v="2.0572369022583891E-3"/>
  </r>
  <r>
    <n v="10048"/>
    <d v="2021-02-17T00:00:00"/>
    <d v="2021-02-20T00:00:00"/>
    <d v="2021-02-24T00:00:00"/>
    <x v="3"/>
    <s v="India"/>
    <s v="Maharashtra"/>
    <s v="Kochi"/>
    <x v="1"/>
    <s v="Table"/>
    <s v="Gel Pen"/>
    <s v="Home Office"/>
    <n v="5025"/>
    <n v="0.3"/>
    <n v="11035"/>
    <n v="7"/>
    <s v="Credit Card"/>
    <s v="High"/>
    <x v="0"/>
    <x v="1"/>
    <n v="3"/>
    <n v="7"/>
    <n v="2.1960199004975123"/>
  </r>
  <r>
    <n v="10049"/>
    <d v="2021-02-18T00:00:00"/>
    <d v="2021-02-24T00:00:00"/>
    <d v="2021-02-25T00:00:00"/>
    <x v="1"/>
    <s v="India"/>
    <s v="Tamil Nadu"/>
    <s v="Mumbai"/>
    <x v="0"/>
    <s v="Pen"/>
    <s v="Smartphone"/>
    <s v="Corporate"/>
    <n v="49243"/>
    <n v="0.35"/>
    <n v="18984"/>
    <n v="19"/>
    <s v="UPI"/>
    <s v="Low"/>
    <x v="0"/>
    <x v="1"/>
    <n v="6"/>
    <n v="7"/>
    <n v="0.3855167231890827"/>
  </r>
  <r>
    <n v="10050"/>
    <d v="2021-02-19T00:00:00"/>
    <d v="2021-02-22T00:00:00"/>
    <d v="2021-02-26T00:00:00"/>
    <x v="3"/>
    <s v="India"/>
    <s v="Telangana"/>
    <s v="Mumbai"/>
    <x v="0"/>
    <s v="Chair"/>
    <s v="Gaming Laptop"/>
    <s v="Corporate"/>
    <n v="17265"/>
    <n v="0.35"/>
    <n v="8237"/>
    <n v="8"/>
    <s v="Cash"/>
    <s v="Low"/>
    <x v="0"/>
    <x v="1"/>
    <n v="3"/>
    <n v="7"/>
    <n v="0.47709238343469446"/>
  </r>
  <r>
    <n v="10051"/>
    <d v="2021-02-20T00:00:00"/>
    <d v="2021-02-26T00:00:00"/>
    <d v="2021-02-28T00:00:00"/>
    <x v="2"/>
    <s v="India"/>
    <s v="Karnataka"/>
    <s v="Bangalore"/>
    <x v="2"/>
    <s v="Pen"/>
    <s v="Gel Pen"/>
    <s v="Consumer"/>
    <n v="24430"/>
    <n v="0.25"/>
    <n v="13332"/>
    <n v="16"/>
    <s v="Cash"/>
    <s v="Critical"/>
    <x v="0"/>
    <x v="1"/>
    <n v="6"/>
    <n v="8"/>
    <n v="0.54572247237003679"/>
  </r>
  <r>
    <n v="10052"/>
    <d v="2021-02-21T00:00:00"/>
    <d v="2021-02-27T00:00:00"/>
    <d v="2021-03-04T00:00:00"/>
    <x v="0"/>
    <s v="India"/>
    <s v="Karnataka"/>
    <s v="Bangalore"/>
    <x v="0"/>
    <s v="Table"/>
    <s v="Gaming Laptop"/>
    <s v="Corporate"/>
    <n v="3543"/>
    <n v="0.11"/>
    <n v="14094"/>
    <n v="24"/>
    <s v="Debit Card"/>
    <s v="Critical"/>
    <x v="0"/>
    <x v="1"/>
    <n v="6"/>
    <n v="11"/>
    <n v="3.9779847586790855"/>
  </r>
  <r>
    <n v="10053"/>
    <d v="2021-02-22T00:00:00"/>
    <d v="2021-02-25T00:00:00"/>
    <d v="2021-03-01T00:00:00"/>
    <x v="0"/>
    <s v="India"/>
    <s v="Kerala"/>
    <s v="Mumbai"/>
    <x v="2"/>
    <s v="Notebook"/>
    <s v="Office Chair"/>
    <s v="Corporate"/>
    <n v="34319"/>
    <n v="0.08"/>
    <n v="8486"/>
    <n v="10"/>
    <s v="UPI"/>
    <s v="Medium"/>
    <x v="0"/>
    <x v="1"/>
    <n v="3"/>
    <n v="7"/>
    <n v="0.24726827704769952"/>
  </r>
  <r>
    <n v="10054"/>
    <d v="2021-02-23T00:00:00"/>
    <d v="2021-02-25T00:00:00"/>
    <d v="2021-03-02T00:00:00"/>
    <x v="0"/>
    <s v="India"/>
    <s v="Delhi"/>
    <s v="Bangalore"/>
    <x v="1"/>
    <s v="Table"/>
    <s v="Dining Table"/>
    <s v="Consumer"/>
    <n v="29370"/>
    <n v="0.06"/>
    <n v="18900"/>
    <n v="9"/>
    <s v="UPI"/>
    <s v="Low"/>
    <x v="0"/>
    <x v="1"/>
    <n v="2"/>
    <n v="7"/>
    <n v="0.64351378958120531"/>
  </r>
  <r>
    <n v="10055"/>
    <d v="2021-02-24T00:00:00"/>
    <d v="2021-02-28T00:00:00"/>
    <d v="2021-03-01T00:00:00"/>
    <x v="1"/>
    <s v="India"/>
    <s v="Karnataka"/>
    <s v="Kochi"/>
    <x v="1"/>
    <s v="Mobile"/>
    <s v="Smartphone"/>
    <s v="Corporate"/>
    <n v="8876"/>
    <n v="0.38"/>
    <n v="1457"/>
    <n v="16"/>
    <s v="Net Banking"/>
    <s v="Low"/>
    <x v="0"/>
    <x v="1"/>
    <n v="4"/>
    <n v="5"/>
    <n v="0.16415051825146462"/>
  </r>
  <r>
    <n v="10056"/>
    <d v="2021-02-25T00:00:00"/>
    <d v="2021-03-02T00:00:00"/>
    <d v="2021-03-05T00:00:00"/>
    <x v="0"/>
    <s v="India"/>
    <s v="Telangana"/>
    <s v="Hyderabad"/>
    <x v="1"/>
    <s v="Laptop"/>
    <s v="Spiral Notebook"/>
    <s v="Consumer"/>
    <n v="64193"/>
    <n v="0.34"/>
    <n v="-1113"/>
    <n v="16"/>
    <s v="Credit Card"/>
    <s v="Critical"/>
    <x v="0"/>
    <x v="1"/>
    <n v="5"/>
    <n v="8"/>
    <n v="-1.7338339071238298E-2"/>
  </r>
  <r>
    <n v="10057"/>
    <d v="2021-02-26T00:00:00"/>
    <d v="2021-03-05T00:00:00"/>
    <d v="2021-03-10T00:00:00"/>
    <x v="1"/>
    <s v="India"/>
    <s v="Kerala"/>
    <s v="Delhi"/>
    <x v="0"/>
    <s v="Table"/>
    <s v="Dining Table"/>
    <s v="Consumer"/>
    <n v="32537"/>
    <n v="0.22"/>
    <n v="5751"/>
    <n v="12"/>
    <s v="Net Banking"/>
    <s v="Low"/>
    <x v="0"/>
    <x v="1"/>
    <n v="7"/>
    <n v="12"/>
    <n v="0.17675262009404677"/>
  </r>
  <r>
    <n v="10058"/>
    <d v="2021-02-27T00:00:00"/>
    <d v="2021-03-02T00:00:00"/>
    <d v="2021-03-05T00:00:00"/>
    <x v="2"/>
    <s v="India"/>
    <s v="Tamil Nadu"/>
    <s v="Kochi"/>
    <x v="2"/>
    <s v="Pen"/>
    <s v="Spiral Notebook"/>
    <s v="Home Office"/>
    <n v="38119"/>
    <n v="0.38"/>
    <n v="17108"/>
    <n v="24"/>
    <s v="Credit Card"/>
    <s v="Low"/>
    <x v="0"/>
    <x v="1"/>
    <n v="3"/>
    <n v="6"/>
    <n v="0.44880505784516905"/>
  </r>
  <r>
    <n v="10059"/>
    <d v="2021-02-28T00:00:00"/>
    <d v="2021-03-04T00:00:00"/>
    <d v="2021-03-08T00:00:00"/>
    <x v="1"/>
    <s v="India"/>
    <s v="Delhi"/>
    <s v="Hyderabad"/>
    <x v="1"/>
    <s v="Chair"/>
    <s v="Gaming Laptop"/>
    <s v="Consumer"/>
    <n v="28331"/>
    <n v="0.01"/>
    <n v="15298"/>
    <n v="4"/>
    <s v="Cash"/>
    <s v="High"/>
    <x v="0"/>
    <x v="1"/>
    <n v="4"/>
    <n v="8"/>
    <n v="0.53997388020189896"/>
  </r>
  <r>
    <n v="10060"/>
    <d v="2021-03-01T00:00:00"/>
    <d v="2021-03-04T00:00:00"/>
    <d v="2021-03-09T00:00:00"/>
    <x v="1"/>
    <s v="India"/>
    <s v="Karnataka"/>
    <s v="Chennai"/>
    <x v="2"/>
    <s v="Pen"/>
    <s v="Smartphone"/>
    <s v="Corporate"/>
    <n v="67846"/>
    <n v="0.12"/>
    <n v="8387"/>
    <n v="23"/>
    <s v="Debit Card"/>
    <s v="Low"/>
    <x v="0"/>
    <x v="2"/>
    <n v="3"/>
    <n v="8"/>
    <n v="0.12361819414556495"/>
  </r>
  <r>
    <n v="10061"/>
    <d v="2021-03-02T00:00:00"/>
    <d v="2021-03-07T00:00:00"/>
    <d v="2021-03-08T00:00:00"/>
    <x v="3"/>
    <s v="India"/>
    <s v="Tamil Nadu"/>
    <s v="Mumbai"/>
    <x v="2"/>
    <s v="Pen"/>
    <s v="Office Chair"/>
    <s v="Consumer"/>
    <n v="14601"/>
    <n v="0.21"/>
    <n v="3633"/>
    <n v="2"/>
    <s v="UPI"/>
    <s v="Critical"/>
    <x v="0"/>
    <x v="2"/>
    <n v="5"/>
    <n v="6"/>
    <n v="0.24881857407026917"/>
  </r>
  <r>
    <n v="10062"/>
    <d v="2021-03-03T00:00:00"/>
    <d v="2021-03-10T00:00:00"/>
    <d v="2021-03-12T00:00:00"/>
    <x v="0"/>
    <s v="India"/>
    <s v="Kerala"/>
    <s v="Kochi"/>
    <x v="1"/>
    <s v="Laptop"/>
    <s v="Smartphone"/>
    <s v="Corporate"/>
    <n v="64543"/>
    <n v="0.25"/>
    <n v="17686"/>
    <n v="3"/>
    <s v="Credit Card"/>
    <s v="Low"/>
    <x v="0"/>
    <x v="2"/>
    <n v="7"/>
    <n v="9"/>
    <n v="0.27401887114017009"/>
  </r>
  <r>
    <n v="10063"/>
    <d v="2021-03-04T00:00:00"/>
    <d v="2021-03-08T00:00:00"/>
    <d v="2021-03-11T00:00:00"/>
    <x v="2"/>
    <s v="India"/>
    <s v="Kerala"/>
    <s v="Hyderabad"/>
    <x v="0"/>
    <s v="Table"/>
    <s v="Smartphone"/>
    <s v="Home Office"/>
    <n v="62217"/>
    <n v="0.11"/>
    <n v="9060"/>
    <n v="24"/>
    <s v="UPI"/>
    <s v="Low"/>
    <x v="0"/>
    <x v="2"/>
    <n v="4"/>
    <n v="7"/>
    <n v="0.1456193644823762"/>
  </r>
  <r>
    <n v="10064"/>
    <d v="2021-03-05T00:00:00"/>
    <d v="2021-03-09T00:00:00"/>
    <d v="2021-03-10T00:00:00"/>
    <x v="1"/>
    <s v="India"/>
    <s v="Karnataka"/>
    <s v="Hyderabad"/>
    <x v="0"/>
    <s v="Laptop"/>
    <s v="Gaming Laptop"/>
    <s v="Home Office"/>
    <n v="37731"/>
    <n v="0.03"/>
    <n v="7494"/>
    <n v="18"/>
    <s v="Cash"/>
    <s v="High"/>
    <x v="0"/>
    <x v="2"/>
    <n v="4"/>
    <n v="5"/>
    <n v="0.19861652222310566"/>
  </r>
  <r>
    <n v="10065"/>
    <d v="2021-03-06T00:00:00"/>
    <d v="2021-03-11T00:00:00"/>
    <d v="2021-03-14T00:00:00"/>
    <x v="1"/>
    <s v="India"/>
    <s v="Maharashtra"/>
    <s v="Mumbai"/>
    <x v="1"/>
    <s v="Mobile"/>
    <s v="Gel Pen"/>
    <s v="Home Office"/>
    <n v="71468"/>
    <n v="0.27"/>
    <n v="4126"/>
    <n v="11"/>
    <s v="Credit Card"/>
    <s v="High"/>
    <x v="0"/>
    <x v="2"/>
    <n v="5"/>
    <n v="8"/>
    <n v="5.7732131863211508E-2"/>
  </r>
  <r>
    <n v="10066"/>
    <d v="2021-03-07T00:00:00"/>
    <d v="2021-03-10T00:00:00"/>
    <d v="2021-03-11T00:00:00"/>
    <x v="1"/>
    <s v="India"/>
    <s v="Tamil Nadu"/>
    <s v="Mumbai"/>
    <x v="2"/>
    <s v="Table"/>
    <s v="Gaming Laptop"/>
    <s v="Corporate"/>
    <n v="29965"/>
    <n v="0.15"/>
    <n v="1945"/>
    <n v="6"/>
    <s v="Cash"/>
    <s v="Medium"/>
    <x v="0"/>
    <x v="2"/>
    <n v="3"/>
    <n v="4"/>
    <n v="6.4909060570665783E-2"/>
  </r>
  <r>
    <n v="10067"/>
    <d v="2021-03-08T00:00:00"/>
    <d v="2021-03-14T00:00:00"/>
    <d v="2021-03-19T00:00:00"/>
    <x v="0"/>
    <s v="India"/>
    <s v="Telangana"/>
    <s v="Chennai"/>
    <x v="2"/>
    <s v="Notebook"/>
    <s v="Laser Printer"/>
    <s v="Home Office"/>
    <n v="66117"/>
    <n v="0.05"/>
    <n v="8664"/>
    <n v="20"/>
    <s v="UPI"/>
    <s v="Medium"/>
    <x v="0"/>
    <x v="2"/>
    <n v="6"/>
    <n v="11"/>
    <n v="0.13104042833159399"/>
  </r>
  <r>
    <n v="10068"/>
    <d v="2021-03-09T00:00:00"/>
    <d v="2021-03-13T00:00:00"/>
    <d v="2021-03-15T00:00:00"/>
    <x v="0"/>
    <s v="India"/>
    <s v="Telangana"/>
    <s v="Delhi"/>
    <x v="1"/>
    <s v="Laptop"/>
    <s v="Smartphone"/>
    <s v="Consumer"/>
    <n v="18482"/>
    <n v="0.12"/>
    <n v="9475"/>
    <n v="14"/>
    <s v="UPI"/>
    <s v="Critical"/>
    <x v="0"/>
    <x v="2"/>
    <n v="4"/>
    <n v="6"/>
    <n v="0.51266096742776757"/>
  </r>
  <r>
    <n v="10069"/>
    <d v="2021-03-10T00:00:00"/>
    <d v="2021-03-13T00:00:00"/>
    <d v="2021-03-18T00:00:00"/>
    <x v="3"/>
    <s v="India"/>
    <s v="Maharashtra"/>
    <s v="Bangalore"/>
    <x v="0"/>
    <s v="Notebook"/>
    <s v="Spiral Notebook"/>
    <s v="Consumer"/>
    <n v="47595"/>
    <n v="0.16"/>
    <n v="18843"/>
    <n v="3"/>
    <s v="Debit Card"/>
    <s v="High"/>
    <x v="0"/>
    <x v="2"/>
    <n v="3"/>
    <n v="8"/>
    <n v="0.39590293098014495"/>
  </r>
  <r>
    <n v="10070"/>
    <d v="2021-03-11T00:00:00"/>
    <d v="2021-03-15T00:00:00"/>
    <d v="2021-03-18T00:00:00"/>
    <x v="2"/>
    <s v="India"/>
    <s v="Maharashtra"/>
    <s v="Mumbai"/>
    <x v="2"/>
    <s v="Chair"/>
    <s v="Gaming Laptop"/>
    <s v="Corporate"/>
    <n v="16097"/>
    <n v="0.31"/>
    <n v="12044"/>
    <n v="19"/>
    <s v="Debit Card"/>
    <s v="Low"/>
    <x v="0"/>
    <x v="2"/>
    <n v="4"/>
    <n v="7"/>
    <n v="0.74821395291048021"/>
  </r>
  <r>
    <n v="10071"/>
    <d v="2021-03-12T00:00:00"/>
    <d v="2021-03-14T00:00:00"/>
    <d v="2021-03-15T00:00:00"/>
    <x v="0"/>
    <s v="India"/>
    <s v="Karnataka"/>
    <s v="Mumbai"/>
    <x v="2"/>
    <s v="Printer"/>
    <s v="Dining Table"/>
    <s v="Home Office"/>
    <n v="65219"/>
    <n v="0.34"/>
    <n v="8068"/>
    <n v="9"/>
    <s v="Debit Card"/>
    <s v="Low"/>
    <x v="0"/>
    <x v="2"/>
    <n v="2"/>
    <n v="3"/>
    <n v="0.12370628191171285"/>
  </r>
  <r>
    <n v="10072"/>
    <d v="2021-03-13T00:00:00"/>
    <d v="2021-03-18T00:00:00"/>
    <d v="2021-03-19T00:00:00"/>
    <x v="1"/>
    <s v="India"/>
    <s v="Karnataka"/>
    <s v="Delhi"/>
    <x v="2"/>
    <s v="Notebook"/>
    <s v="Smartphone"/>
    <s v="Corporate"/>
    <n v="73023"/>
    <n v="7.0000000000000007E-2"/>
    <n v="17402"/>
    <n v="16"/>
    <s v="Credit Card"/>
    <s v="Critical"/>
    <x v="0"/>
    <x v="2"/>
    <n v="5"/>
    <n v="6"/>
    <n v="0.23830847815071965"/>
  </r>
  <r>
    <n v="10073"/>
    <d v="2021-03-14T00:00:00"/>
    <d v="2021-03-16T00:00:00"/>
    <d v="2021-03-20T00:00:00"/>
    <x v="2"/>
    <s v="India"/>
    <s v="Kerala"/>
    <s v="Hyderabad"/>
    <x v="0"/>
    <s v="Printer"/>
    <s v="Office Chair"/>
    <s v="Corporate"/>
    <n v="24586"/>
    <n v="0.28000000000000003"/>
    <n v="9922"/>
    <n v="10"/>
    <s v="Cash"/>
    <s v="Medium"/>
    <x v="0"/>
    <x v="2"/>
    <n v="2"/>
    <n v="6"/>
    <n v="0.40356300333523143"/>
  </r>
  <r>
    <n v="10074"/>
    <d v="2021-03-15T00:00:00"/>
    <d v="2021-03-18T00:00:00"/>
    <d v="2021-03-21T00:00:00"/>
    <x v="0"/>
    <s v="India"/>
    <s v="Telangana"/>
    <s v="Bangalore"/>
    <x v="1"/>
    <s v="Chair"/>
    <s v="Gaming Laptop"/>
    <s v="Corporate"/>
    <n v="33683"/>
    <n v="0.35"/>
    <n v="4197"/>
    <n v="7"/>
    <s v="Net Banking"/>
    <s v="High"/>
    <x v="0"/>
    <x v="2"/>
    <n v="3"/>
    <n v="6"/>
    <n v="0.12460291541727281"/>
  </r>
  <r>
    <n v="10075"/>
    <d v="2021-03-16T00:00:00"/>
    <d v="2021-03-21T00:00:00"/>
    <d v="2021-03-25T00:00:00"/>
    <x v="0"/>
    <s v="India"/>
    <s v="Telangana"/>
    <s v="Delhi"/>
    <x v="0"/>
    <s v="Chair"/>
    <s v="Gaming Laptop"/>
    <s v="Corporate"/>
    <n v="56426"/>
    <n v="0.36"/>
    <n v="2053"/>
    <n v="17"/>
    <s v="Net Banking"/>
    <s v="High"/>
    <x v="0"/>
    <x v="2"/>
    <n v="5"/>
    <n v="9"/>
    <n v="3.6383936483181514E-2"/>
  </r>
  <r>
    <n v="10076"/>
    <d v="2021-03-17T00:00:00"/>
    <d v="2021-03-20T00:00:00"/>
    <d v="2021-03-22T00:00:00"/>
    <x v="1"/>
    <s v="India"/>
    <s v="Maharashtra"/>
    <s v="Mumbai"/>
    <x v="1"/>
    <s v="Printer"/>
    <s v="Office Chair"/>
    <s v="Consumer"/>
    <n v="50896"/>
    <n v="0.03"/>
    <n v="-1771"/>
    <n v="3"/>
    <s v="Debit Card"/>
    <s v="Low"/>
    <x v="0"/>
    <x v="2"/>
    <n v="3"/>
    <n v="5"/>
    <n v="-3.4796447657969194E-2"/>
  </r>
  <r>
    <n v="10077"/>
    <d v="2021-03-18T00:00:00"/>
    <d v="2021-03-25T00:00:00"/>
    <d v="2021-03-29T00:00:00"/>
    <x v="0"/>
    <s v="India"/>
    <s v="Delhi"/>
    <s v="Kochi"/>
    <x v="1"/>
    <s v="Notebook"/>
    <s v="Laser Printer"/>
    <s v="Consumer"/>
    <n v="33649"/>
    <n v="0.14000000000000001"/>
    <n v="8088"/>
    <n v="7"/>
    <s v="Cash"/>
    <s v="Critical"/>
    <x v="0"/>
    <x v="2"/>
    <n v="7"/>
    <n v="11"/>
    <n v="0.2403637552378971"/>
  </r>
  <r>
    <n v="10078"/>
    <d v="2021-03-19T00:00:00"/>
    <d v="2021-03-23T00:00:00"/>
    <d v="2021-03-24T00:00:00"/>
    <x v="1"/>
    <s v="India"/>
    <s v="Telangana"/>
    <s v="Hyderabad"/>
    <x v="2"/>
    <s v="Chair"/>
    <s v="Gel Pen"/>
    <s v="Home Office"/>
    <n v="58141"/>
    <n v="0.08"/>
    <n v="19981"/>
    <n v="15"/>
    <s v="Debit Card"/>
    <s v="Medium"/>
    <x v="0"/>
    <x v="2"/>
    <n v="4"/>
    <n v="5"/>
    <n v="0.34366453965360072"/>
  </r>
  <r>
    <n v="10079"/>
    <d v="2021-03-20T00:00:00"/>
    <d v="2021-03-26T00:00:00"/>
    <d v="2021-03-27T00:00:00"/>
    <x v="2"/>
    <s v="India"/>
    <s v="Delhi"/>
    <s v="Mumbai"/>
    <x v="1"/>
    <s v="Mobile"/>
    <s v="Laser Printer"/>
    <s v="Corporate"/>
    <n v="46631"/>
    <n v="0.09"/>
    <n v="14299"/>
    <n v="19"/>
    <s v="Net Banking"/>
    <s v="Medium"/>
    <x v="0"/>
    <x v="2"/>
    <n v="6"/>
    <n v="7"/>
    <n v="0.30664150457849926"/>
  </r>
  <r>
    <n v="10080"/>
    <d v="2021-03-21T00:00:00"/>
    <d v="2021-03-27T00:00:00"/>
    <d v="2021-03-30T00:00:00"/>
    <x v="1"/>
    <s v="India"/>
    <s v="Telangana"/>
    <s v="Chennai"/>
    <x v="0"/>
    <s v="Chair"/>
    <s v="Dining Table"/>
    <s v="Consumer"/>
    <n v="5553"/>
    <n v="0.1"/>
    <n v="19229"/>
    <n v="23"/>
    <s v="Cash"/>
    <s v="Medium"/>
    <x v="0"/>
    <x v="2"/>
    <n v="6"/>
    <n v="9"/>
    <n v="3.4628128939312082"/>
  </r>
  <r>
    <n v="10081"/>
    <d v="2021-03-22T00:00:00"/>
    <d v="2021-03-24T00:00:00"/>
    <d v="2021-03-27T00:00:00"/>
    <x v="0"/>
    <s v="India"/>
    <s v="Kerala"/>
    <s v="Kochi"/>
    <x v="2"/>
    <s v="Table"/>
    <s v="Spiral Notebook"/>
    <s v="Consumer"/>
    <n v="66525"/>
    <n v="0.09"/>
    <n v="10004"/>
    <n v="20"/>
    <s v="Credit Card"/>
    <s v="High"/>
    <x v="0"/>
    <x v="2"/>
    <n v="2"/>
    <n v="5"/>
    <n v="0.15037955655768509"/>
  </r>
  <r>
    <n v="10082"/>
    <d v="2021-03-23T00:00:00"/>
    <d v="2021-03-25T00:00:00"/>
    <d v="2021-03-28T00:00:00"/>
    <x v="2"/>
    <s v="India"/>
    <s v="Maharashtra"/>
    <s v="Kochi"/>
    <x v="0"/>
    <s v="Laptop"/>
    <s v="Spiral Notebook"/>
    <s v="Home Office"/>
    <n v="49623"/>
    <n v="0.39"/>
    <n v="11820"/>
    <n v="9"/>
    <s v="Credit Card"/>
    <s v="Medium"/>
    <x v="0"/>
    <x v="2"/>
    <n v="2"/>
    <n v="5"/>
    <n v="0.23819599782358986"/>
  </r>
  <r>
    <n v="10083"/>
    <d v="2021-03-24T00:00:00"/>
    <d v="2021-03-29T00:00:00"/>
    <d v="2021-04-01T00:00:00"/>
    <x v="0"/>
    <s v="India"/>
    <s v="Maharashtra"/>
    <s v="Kochi"/>
    <x v="2"/>
    <s v="Table"/>
    <s v="Gaming Laptop"/>
    <s v="Home Office"/>
    <n v="22932"/>
    <n v="0.15"/>
    <n v="15316"/>
    <n v="3"/>
    <s v="Debit Card"/>
    <s v="High"/>
    <x v="0"/>
    <x v="2"/>
    <n v="5"/>
    <n v="8"/>
    <n v="0.66788766788766785"/>
  </r>
  <r>
    <n v="10084"/>
    <d v="2021-03-25T00:00:00"/>
    <d v="2021-03-31T00:00:00"/>
    <d v="2021-04-01T00:00:00"/>
    <x v="0"/>
    <s v="India"/>
    <s v="Telangana"/>
    <s v="Delhi"/>
    <x v="0"/>
    <s v="Pen"/>
    <s v="Smartphone"/>
    <s v="Home Office"/>
    <n v="49093"/>
    <n v="0.25"/>
    <n v="-230"/>
    <n v="18"/>
    <s v="Debit Card"/>
    <s v="High"/>
    <x v="0"/>
    <x v="2"/>
    <n v="6"/>
    <n v="7"/>
    <n v="-4.6849856395005402E-3"/>
  </r>
  <r>
    <n v="10085"/>
    <d v="2021-03-26T00:00:00"/>
    <d v="2021-03-31T00:00:00"/>
    <d v="2021-04-01T00:00:00"/>
    <x v="0"/>
    <s v="India"/>
    <s v="Maharashtra"/>
    <s v="Mumbai"/>
    <x v="1"/>
    <s v="Mobile"/>
    <s v="Smartphone"/>
    <s v="Consumer"/>
    <n v="73133"/>
    <n v="0.39"/>
    <n v="-1686"/>
    <n v="13"/>
    <s v="Debit Card"/>
    <s v="Critical"/>
    <x v="0"/>
    <x v="2"/>
    <n v="5"/>
    <n v="6"/>
    <n v="-2.3053888121641393E-2"/>
  </r>
  <r>
    <n v="10086"/>
    <d v="2021-03-27T00:00:00"/>
    <d v="2021-04-01T00:00:00"/>
    <d v="2021-04-06T00:00:00"/>
    <x v="2"/>
    <s v="India"/>
    <s v="Kerala"/>
    <s v="Mumbai"/>
    <x v="1"/>
    <s v="Laptop"/>
    <s v="Laser Printer"/>
    <s v="Consumer"/>
    <n v="20876"/>
    <n v="7.0000000000000007E-2"/>
    <n v="2983"/>
    <n v="13"/>
    <s v="UPI"/>
    <s v="Low"/>
    <x v="0"/>
    <x v="2"/>
    <n v="5"/>
    <n v="10"/>
    <n v="0.14289135849779652"/>
  </r>
  <r>
    <n v="10087"/>
    <d v="2021-03-28T00:00:00"/>
    <d v="2021-04-02T00:00:00"/>
    <d v="2021-04-07T00:00:00"/>
    <x v="0"/>
    <s v="India"/>
    <s v="Delhi"/>
    <s v="Chennai"/>
    <x v="0"/>
    <s v="Chair"/>
    <s v="Smartphone"/>
    <s v="Home Office"/>
    <n v="73163"/>
    <n v="0.06"/>
    <n v="3660"/>
    <n v="16"/>
    <s v="Net Banking"/>
    <s v="Medium"/>
    <x v="0"/>
    <x v="2"/>
    <n v="5"/>
    <n v="10"/>
    <n v="5.0025286005221221E-2"/>
  </r>
  <r>
    <n v="10088"/>
    <d v="2021-03-29T00:00:00"/>
    <d v="2021-03-31T00:00:00"/>
    <d v="2021-04-04T00:00:00"/>
    <x v="0"/>
    <s v="India"/>
    <s v="Telangana"/>
    <s v="Hyderabad"/>
    <x v="0"/>
    <s v="Notebook"/>
    <s v="Dining Table"/>
    <s v="Consumer"/>
    <n v="63115"/>
    <n v="0.08"/>
    <n v="3032"/>
    <n v="19"/>
    <s v="UPI"/>
    <s v="Critical"/>
    <x v="0"/>
    <x v="2"/>
    <n v="2"/>
    <n v="6"/>
    <n v="4.8039293353402519E-2"/>
  </r>
  <r>
    <n v="10089"/>
    <d v="2021-03-30T00:00:00"/>
    <d v="2021-04-02T00:00:00"/>
    <d v="2021-04-04T00:00:00"/>
    <x v="1"/>
    <s v="India"/>
    <s v="Delhi"/>
    <s v="Hyderabad"/>
    <x v="2"/>
    <s v="Pen"/>
    <s v="Smartphone"/>
    <s v="Corporate"/>
    <n v="21098"/>
    <n v="0.4"/>
    <n v="-995"/>
    <n v="19"/>
    <s v="Debit Card"/>
    <s v="Low"/>
    <x v="0"/>
    <x v="2"/>
    <n v="3"/>
    <n v="5"/>
    <n v="-4.7160868328751542E-2"/>
  </r>
  <r>
    <n v="10090"/>
    <d v="2021-03-31T00:00:00"/>
    <d v="2021-04-06T00:00:00"/>
    <d v="2021-04-07T00:00:00"/>
    <x v="0"/>
    <s v="India"/>
    <s v="Delhi"/>
    <s v="Kochi"/>
    <x v="2"/>
    <s v="Chair"/>
    <s v="Gaming Laptop"/>
    <s v="Corporate"/>
    <n v="60291"/>
    <n v="0.28000000000000003"/>
    <n v="8030"/>
    <n v="6"/>
    <s v="Cash"/>
    <s v="Medium"/>
    <x v="0"/>
    <x v="2"/>
    <n v="6"/>
    <n v="7"/>
    <n v="0.13318737456668492"/>
  </r>
  <r>
    <n v="10091"/>
    <d v="2021-04-01T00:00:00"/>
    <d v="2021-04-06T00:00:00"/>
    <d v="2021-04-07T00:00:00"/>
    <x v="2"/>
    <s v="India"/>
    <s v="Telangana"/>
    <s v="Kochi"/>
    <x v="1"/>
    <s v="Table"/>
    <s v="Gaming Laptop"/>
    <s v="Consumer"/>
    <n v="14058"/>
    <n v="0.14000000000000001"/>
    <n v="19485"/>
    <n v="19"/>
    <s v="UPI"/>
    <s v="Critical"/>
    <x v="0"/>
    <x v="3"/>
    <n v="5"/>
    <n v="6"/>
    <n v="1.3860435339308579"/>
  </r>
  <r>
    <n v="10092"/>
    <d v="2021-04-02T00:00:00"/>
    <d v="2021-04-08T00:00:00"/>
    <d v="2021-04-09T00:00:00"/>
    <x v="0"/>
    <s v="India"/>
    <s v="Telangana"/>
    <s v="Chennai"/>
    <x v="0"/>
    <s v="Pen"/>
    <s v="Gel Pen"/>
    <s v="Corporate"/>
    <n v="43644"/>
    <n v="0.25"/>
    <n v="18203"/>
    <n v="13"/>
    <s v="Cash"/>
    <s v="Medium"/>
    <x v="0"/>
    <x v="3"/>
    <n v="6"/>
    <n v="7"/>
    <n v="0.41707909449179725"/>
  </r>
  <r>
    <n v="10093"/>
    <d v="2021-04-03T00:00:00"/>
    <d v="2021-04-09T00:00:00"/>
    <d v="2021-04-14T00:00:00"/>
    <x v="3"/>
    <s v="India"/>
    <s v="Maharashtra"/>
    <s v="Delhi"/>
    <x v="2"/>
    <s v="Pen"/>
    <s v="Office Chair"/>
    <s v="Home Office"/>
    <n v="11669"/>
    <n v="0.28999999999999998"/>
    <n v="19471"/>
    <n v="23"/>
    <s v="Debit Card"/>
    <s v="Low"/>
    <x v="0"/>
    <x v="3"/>
    <n v="6"/>
    <n v="11"/>
    <n v="1.6686091353157939"/>
  </r>
  <r>
    <n v="10094"/>
    <d v="2021-04-04T00:00:00"/>
    <d v="2021-04-06T00:00:00"/>
    <d v="2021-04-08T00:00:00"/>
    <x v="2"/>
    <s v="India"/>
    <s v="Tamil Nadu"/>
    <s v="Kochi"/>
    <x v="1"/>
    <s v="Pen"/>
    <s v="Smartphone"/>
    <s v="Corporate"/>
    <n v="36691"/>
    <n v="0.11"/>
    <n v="17338"/>
    <n v="14"/>
    <s v="Net Banking"/>
    <s v="Low"/>
    <x v="0"/>
    <x v="3"/>
    <n v="2"/>
    <n v="4"/>
    <n v="0.47254095009675395"/>
  </r>
  <r>
    <n v="10095"/>
    <d v="2021-04-05T00:00:00"/>
    <d v="2021-04-11T00:00:00"/>
    <d v="2021-04-12T00:00:00"/>
    <x v="2"/>
    <s v="India"/>
    <s v="Tamil Nadu"/>
    <s v="Mumbai"/>
    <x v="0"/>
    <s v="Chair"/>
    <s v="Gaming Laptop"/>
    <s v="Consumer"/>
    <n v="68113"/>
    <n v="0.15"/>
    <n v="16688"/>
    <n v="5"/>
    <s v="Net Banking"/>
    <s v="High"/>
    <x v="0"/>
    <x v="3"/>
    <n v="6"/>
    <n v="7"/>
    <n v="0.24500462466783141"/>
  </r>
  <r>
    <n v="10096"/>
    <d v="2021-04-06T00:00:00"/>
    <d v="2021-04-10T00:00:00"/>
    <d v="2021-04-11T00:00:00"/>
    <x v="2"/>
    <s v="India"/>
    <s v="Maharashtra"/>
    <s v="Kochi"/>
    <x v="2"/>
    <s v="Mobile"/>
    <s v="Gaming Laptop"/>
    <s v="Consumer"/>
    <n v="8580"/>
    <n v="0.04"/>
    <n v="13132"/>
    <n v="6"/>
    <s v="UPI"/>
    <s v="High"/>
    <x v="0"/>
    <x v="3"/>
    <n v="4"/>
    <n v="5"/>
    <n v="1.5305361305361305"/>
  </r>
  <r>
    <n v="10097"/>
    <d v="2021-04-07T00:00:00"/>
    <d v="2021-04-13T00:00:00"/>
    <d v="2021-04-15T00:00:00"/>
    <x v="2"/>
    <s v="India"/>
    <s v="Delhi"/>
    <s v="Kochi"/>
    <x v="2"/>
    <s v="Mobile"/>
    <s v="Gaming Laptop"/>
    <s v="Corporate"/>
    <n v="20997"/>
    <n v="0.05"/>
    <n v="1481"/>
    <n v="20"/>
    <s v="Credit Card"/>
    <s v="Critical"/>
    <x v="0"/>
    <x v="3"/>
    <n v="6"/>
    <n v="8"/>
    <n v="7.0533885793208559E-2"/>
  </r>
  <r>
    <n v="10098"/>
    <d v="2021-04-08T00:00:00"/>
    <d v="2021-04-15T00:00:00"/>
    <d v="2021-04-17T00:00:00"/>
    <x v="2"/>
    <s v="India"/>
    <s v="Tamil Nadu"/>
    <s v="Chennai"/>
    <x v="0"/>
    <s v="Chair"/>
    <s v="Spiral Notebook"/>
    <s v="Home Office"/>
    <n v="3816"/>
    <n v="0.06"/>
    <n v="11841"/>
    <n v="1"/>
    <s v="Credit Card"/>
    <s v="Critical"/>
    <x v="0"/>
    <x v="3"/>
    <n v="7"/>
    <n v="9"/>
    <n v="3.1029874213836477"/>
  </r>
  <r>
    <n v="10099"/>
    <d v="2021-04-09T00:00:00"/>
    <d v="2021-04-11T00:00:00"/>
    <d v="2021-04-15T00:00:00"/>
    <x v="0"/>
    <s v="India"/>
    <s v="Tamil Nadu"/>
    <s v="Kochi"/>
    <x v="2"/>
    <s v="Mobile"/>
    <s v="Office Chair"/>
    <s v="Consumer"/>
    <n v="48575"/>
    <n v="0.38"/>
    <n v="-911"/>
    <n v="14"/>
    <s v="Debit Card"/>
    <s v="Low"/>
    <x v="0"/>
    <x v="3"/>
    <n v="2"/>
    <n v="6"/>
    <n v="-1.8754503345342254E-2"/>
  </r>
  <r>
    <n v="10100"/>
    <d v="2021-04-10T00:00:00"/>
    <d v="2021-04-16T00:00:00"/>
    <d v="2021-04-21T00:00:00"/>
    <x v="0"/>
    <s v="India"/>
    <s v="Karnataka"/>
    <s v="Kochi"/>
    <x v="2"/>
    <s v="Pen"/>
    <s v="Smartphone"/>
    <s v="Corporate"/>
    <n v="69316"/>
    <n v="0.33"/>
    <n v="11214"/>
    <n v="4"/>
    <s v="Net Banking"/>
    <s v="Critical"/>
    <x v="0"/>
    <x v="3"/>
    <n v="6"/>
    <n v="11"/>
    <n v="0.16178082982284034"/>
  </r>
  <r>
    <n v="10101"/>
    <d v="2021-04-11T00:00:00"/>
    <d v="2021-04-15T00:00:00"/>
    <d v="2021-04-17T00:00:00"/>
    <x v="3"/>
    <s v="India"/>
    <s v="Kerala"/>
    <s v="Chennai"/>
    <x v="0"/>
    <s v="Laptop"/>
    <s v="Dining Table"/>
    <s v="Corporate"/>
    <n v="5821"/>
    <n v="0.38"/>
    <n v="14713"/>
    <n v="23"/>
    <s v="Credit Card"/>
    <s v="Critical"/>
    <x v="0"/>
    <x v="3"/>
    <n v="4"/>
    <n v="6"/>
    <n v="2.527572582030579"/>
  </r>
  <r>
    <n v="10102"/>
    <d v="2021-04-12T00:00:00"/>
    <d v="2021-04-19T00:00:00"/>
    <d v="2021-04-21T00:00:00"/>
    <x v="0"/>
    <s v="India"/>
    <s v="Delhi"/>
    <s v="Delhi"/>
    <x v="2"/>
    <s v="Chair"/>
    <s v="Office Chair"/>
    <s v="Home Office"/>
    <n v="42426"/>
    <n v="0.22"/>
    <n v="16797"/>
    <n v="21"/>
    <s v="Credit Card"/>
    <s v="Low"/>
    <x v="0"/>
    <x v="3"/>
    <n v="7"/>
    <n v="9"/>
    <n v="0.39591288360910765"/>
  </r>
  <r>
    <n v="10103"/>
    <d v="2021-04-13T00:00:00"/>
    <d v="2021-04-19T00:00:00"/>
    <d v="2021-04-21T00:00:00"/>
    <x v="3"/>
    <s v="India"/>
    <s v="Karnataka"/>
    <s v="Kochi"/>
    <x v="0"/>
    <s v="Printer"/>
    <s v="Laser Printer"/>
    <s v="Home Office"/>
    <n v="41273"/>
    <n v="0.09"/>
    <n v="3114"/>
    <n v="23"/>
    <s v="Cash"/>
    <s v="High"/>
    <x v="0"/>
    <x v="3"/>
    <n v="6"/>
    <n v="8"/>
    <n v="7.5448840646427442E-2"/>
  </r>
  <r>
    <n v="10104"/>
    <d v="2021-04-14T00:00:00"/>
    <d v="2021-04-21T00:00:00"/>
    <d v="2021-04-23T00:00:00"/>
    <x v="3"/>
    <s v="India"/>
    <s v="Tamil Nadu"/>
    <s v="Hyderabad"/>
    <x v="0"/>
    <s v="Pen"/>
    <s v="Gel Pen"/>
    <s v="Corporate"/>
    <n v="3404"/>
    <n v="0.01"/>
    <n v="770"/>
    <n v="10"/>
    <s v="Debit Card"/>
    <s v="Critical"/>
    <x v="0"/>
    <x v="3"/>
    <n v="7"/>
    <n v="9"/>
    <n v="0.22620446533490013"/>
  </r>
  <r>
    <n v="10105"/>
    <d v="2021-04-15T00:00:00"/>
    <d v="2021-04-18T00:00:00"/>
    <d v="2021-04-20T00:00:00"/>
    <x v="2"/>
    <s v="India"/>
    <s v="Tamil Nadu"/>
    <s v="Mumbai"/>
    <x v="0"/>
    <s v="Laptop"/>
    <s v="Gaming Laptop"/>
    <s v="Consumer"/>
    <n v="6627"/>
    <n v="0.13"/>
    <n v="3494"/>
    <n v="5"/>
    <s v="Debit Card"/>
    <s v="Medium"/>
    <x v="0"/>
    <x v="3"/>
    <n v="3"/>
    <n v="5"/>
    <n v="0.52723706051003472"/>
  </r>
  <r>
    <n v="10106"/>
    <d v="2021-04-16T00:00:00"/>
    <d v="2021-04-23T00:00:00"/>
    <d v="2021-04-28T00:00:00"/>
    <x v="0"/>
    <s v="India"/>
    <s v="Maharashtra"/>
    <s v="Chennai"/>
    <x v="1"/>
    <s v="Mobile"/>
    <s v="Office Chair"/>
    <s v="Home Office"/>
    <n v="2962"/>
    <n v="0.3"/>
    <n v="2178"/>
    <n v="8"/>
    <s v="UPI"/>
    <s v="Critical"/>
    <x v="0"/>
    <x v="3"/>
    <n v="7"/>
    <n v="12"/>
    <n v="0.73531397704253887"/>
  </r>
  <r>
    <n v="10107"/>
    <d v="2021-04-17T00:00:00"/>
    <d v="2021-04-20T00:00:00"/>
    <d v="2021-04-23T00:00:00"/>
    <x v="0"/>
    <s v="India"/>
    <s v="Karnataka"/>
    <s v="Mumbai"/>
    <x v="0"/>
    <s v="Notebook"/>
    <s v="Office Chair"/>
    <s v="Consumer"/>
    <n v="4965"/>
    <n v="0.21"/>
    <n v="-796"/>
    <n v="3"/>
    <s v="UPI"/>
    <s v="Critical"/>
    <x v="0"/>
    <x v="3"/>
    <n v="3"/>
    <n v="6"/>
    <n v="-0.16032225579053375"/>
  </r>
  <r>
    <n v="10108"/>
    <d v="2021-04-18T00:00:00"/>
    <d v="2021-04-22T00:00:00"/>
    <d v="2021-04-23T00:00:00"/>
    <x v="0"/>
    <s v="India"/>
    <s v="Kerala"/>
    <s v="Kochi"/>
    <x v="1"/>
    <s v="Notebook"/>
    <s v="Laser Printer"/>
    <s v="Corporate"/>
    <n v="19091"/>
    <n v="0.08"/>
    <n v="-64"/>
    <n v="13"/>
    <s v="Debit Card"/>
    <s v="High"/>
    <x v="0"/>
    <x v="3"/>
    <n v="4"/>
    <n v="5"/>
    <n v="-3.3523649887381487E-3"/>
  </r>
  <r>
    <n v="10109"/>
    <d v="2021-04-19T00:00:00"/>
    <d v="2021-04-22T00:00:00"/>
    <d v="2021-04-24T00:00:00"/>
    <x v="3"/>
    <s v="India"/>
    <s v="Telangana"/>
    <s v="Chennai"/>
    <x v="0"/>
    <s v="Mobile"/>
    <s v="Dining Table"/>
    <s v="Corporate"/>
    <n v="38212"/>
    <n v="0.36"/>
    <n v="12009"/>
    <n v="23"/>
    <s v="UPI"/>
    <s v="Critical"/>
    <x v="0"/>
    <x v="3"/>
    <n v="3"/>
    <n v="5"/>
    <n v="0.31427300324505392"/>
  </r>
  <r>
    <n v="10110"/>
    <d v="2021-04-20T00:00:00"/>
    <d v="2021-04-25T00:00:00"/>
    <d v="2021-04-28T00:00:00"/>
    <x v="0"/>
    <s v="India"/>
    <s v="Karnataka"/>
    <s v="Chennai"/>
    <x v="2"/>
    <s v="Pen"/>
    <s v="Dining Table"/>
    <s v="Home Office"/>
    <n v="36299"/>
    <n v="0.22"/>
    <n v="11612"/>
    <n v="5"/>
    <s v="UPI"/>
    <s v="Low"/>
    <x v="0"/>
    <x v="3"/>
    <n v="5"/>
    <n v="8"/>
    <n v="0.3198986197966886"/>
  </r>
  <r>
    <n v="10111"/>
    <d v="2021-04-21T00:00:00"/>
    <d v="2021-04-25T00:00:00"/>
    <d v="2021-04-30T00:00:00"/>
    <x v="1"/>
    <s v="India"/>
    <s v="Karnataka"/>
    <s v="Kochi"/>
    <x v="2"/>
    <s v="Printer"/>
    <s v="Laser Printer"/>
    <s v="Corporate"/>
    <n v="16013"/>
    <n v="0.36"/>
    <n v="15120"/>
    <n v="10"/>
    <s v="Credit Card"/>
    <s v="High"/>
    <x v="0"/>
    <x v="3"/>
    <n v="4"/>
    <n v="9"/>
    <n v="0.94423281084119148"/>
  </r>
  <r>
    <n v="10112"/>
    <d v="2021-04-22T00:00:00"/>
    <d v="2021-04-24T00:00:00"/>
    <d v="2021-04-29T00:00:00"/>
    <x v="1"/>
    <s v="India"/>
    <s v="Karnataka"/>
    <s v="Hyderabad"/>
    <x v="1"/>
    <s v="Mobile"/>
    <s v="Smartphone"/>
    <s v="Consumer"/>
    <n v="60878"/>
    <n v="0.08"/>
    <n v="-22"/>
    <n v="7"/>
    <s v="UPI"/>
    <s v="Low"/>
    <x v="0"/>
    <x v="3"/>
    <n v="2"/>
    <n v="7"/>
    <n v="-3.6137849469430666E-4"/>
  </r>
  <r>
    <n v="10113"/>
    <d v="2021-04-23T00:00:00"/>
    <d v="2021-04-26T00:00:00"/>
    <d v="2021-04-29T00:00:00"/>
    <x v="2"/>
    <s v="India"/>
    <s v="Kerala"/>
    <s v="Bangalore"/>
    <x v="2"/>
    <s v="Chair"/>
    <s v="Gel Pen"/>
    <s v="Consumer"/>
    <n v="810"/>
    <n v="0.02"/>
    <n v="1533"/>
    <n v="1"/>
    <s v="UPI"/>
    <s v="High"/>
    <x v="0"/>
    <x v="3"/>
    <n v="3"/>
    <n v="6"/>
    <n v="1.8925925925925926"/>
  </r>
  <r>
    <n v="10114"/>
    <d v="2021-04-24T00:00:00"/>
    <d v="2021-04-26T00:00:00"/>
    <d v="2021-04-29T00:00:00"/>
    <x v="0"/>
    <s v="India"/>
    <s v="Tamil Nadu"/>
    <s v="Kochi"/>
    <x v="0"/>
    <s v="Laptop"/>
    <s v="Gaming Laptop"/>
    <s v="Corporate"/>
    <n v="31958"/>
    <n v="0.27"/>
    <n v="6959"/>
    <n v="14"/>
    <s v="Debit Card"/>
    <s v="High"/>
    <x v="0"/>
    <x v="3"/>
    <n v="2"/>
    <n v="5"/>
    <n v="0.21775455285061643"/>
  </r>
  <r>
    <n v="10115"/>
    <d v="2021-04-25T00:00:00"/>
    <d v="2021-04-29T00:00:00"/>
    <d v="2021-05-01T00:00:00"/>
    <x v="2"/>
    <s v="India"/>
    <s v="Telangana"/>
    <s v="Chennai"/>
    <x v="0"/>
    <s v="Chair"/>
    <s v="Spiral Notebook"/>
    <s v="Consumer"/>
    <n v="9230"/>
    <n v="0.4"/>
    <n v="11931"/>
    <n v="12"/>
    <s v="Credit Card"/>
    <s v="Medium"/>
    <x v="0"/>
    <x v="3"/>
    <n v="4"/>
    <n v="6"/>
    <n v="1.2926327193932827"/>
  </r>
  <r>
    <n v="10116"/>
    <d v="2021-04-26T00:00:00"/>
    <d v="2021-05-01T00:00:00"/>
    <d v="2021-05-04T00:00:00"/>
    <x v="2"/>
    <s v="India"/>
    <s v="Maharashtra"/>
    <s v="Delhi"/>
    <x v="1"/>
    <s v="Printer"/>
    <s v="Dining Table"/>
    <s v="Home Office"/>
    <n v="45671"/>
    <n v="0.14000000000000001"/>
    <n v="1347"/>
    <n v="22"/>
    <s v="Credit Card"/>
    <s v="Critical"/>
    <x v="0"/>
    <x v="3"/>
    <n v="5"/>
    <n v="8"/>
    <n v="2.9493551706772349E-2"/>
  </r>
  <r>
    <n v="10117"/>
    <d v="2021-04-27T00:00:00"/>
    <d v="2021-05-04T00:00:00"/>
    <d v="2021-05-07T00:00:00"/>
    <x v="1"/>
    <s v="India"/>
    <s v="Tamil Nadu"/>
    <s v="Bangalore"/>
    <x v="2"/>
    <s v="Printer"/>
    <s v="Office Chair"/>
    <s v="Consumer"/>
    <n v="6490"/>
    <n v="0.01"/>
    <n v="11029"/>
    <n v="23"/>
    <s v="Debit Card"/>
    <s v="High"/>
    <x v="0"/>
    <x v="3"/>
    <n v="7"/>
    <n v="10"/>
    <n v="1.6993836671802773"/>
  </r>
  <r>
    <n v="10118"/>
    <d v="2021-04-28T00:00:00"/>
    <d v="2021-05-04T00:00:00"/>
    <d v="2021-05-05T00:00:00"/>
    <x v="0"/>
    <s v="India"/>
    <s v="Maharashtra"/>
    <s v="Kochi"/>
    <x v="2"/>
    <s v="Notebook"/>
    <s v="Dining Table"/>
    <s v="Home Office"/>
    <n v="49795"/>
    <n v="0.37"/>
    <n v="4790"/>
    <n v="3"/>
    <s v="Debit Card"/>
    <s v="Low"/>
    <x v="0"/>
    <x v="3"/>
    <n v="6"/>
    <n v="7"/>
    <n v="9.6194397027814044E-2"/>
  </r>
  <r>
    <n v="10119"/>
    <d v="2021-04-29T00:00:00"/>
    <d v="2021-05-04T00:00:00"/>
    <d v="2021-05-07T00:00:00"/>
    <x v="3"/>
    <s v="India"/>
    <s v="Telangana"/>
    <s v="Delhi"/>
    <x v="0"/>
    <s v="Chair"/>
    <s v="Office Chair"/>
    <s v="Corporate"/>
    <n v="48123"/>
    <n v="0.04"/>
    <n v="19524"/>
    <n v="4"/>
    <s v="Debit Card"/>
    <s v="Critical"/>
    <x v="0"/>
    <x v="3"/>
    <n v="5"/>
    <n v="8"/>
    <n v="0.40571036718409076"/>
  </r>
  <r>
    <n v="10120"/>
    <d v="2021-04-30T00:00:00"/>
    <d v="2021-05-06T00:00:00"/>
    <d v="2021-05-08T00:00:00"/>
    <x v="3"/>
    <s v="India"/>
    <s v="Delhi"/>
    <s v="Kochi"/>
    <x v="0"/>
    <s v="Laptop"/>
    <s v="Gel Pen"/>
    <s v="Home Office"/>
    <n v="61932"/>
    <n v="0.11"/>
    <n v="15215"/>
    <n v="7"/>
    <s v="Debit Card"/>
    <s v="Critical"/>
    <x v="0"/>
    <x v="3"/>
    <n v="6"/>
    <n v="8"/>
    <n v="0.24567267325453723"/>
  </r>
  <r>
    <n v="10121"/>
    <d v="2021-05-01T00:00:00"/>
    <d v="2021-05-05T00:00:00"/>
    <d v="2021-05-06T00:00:00"/>
    <x v="1"/>
    <s v="India"/>
    <s v="Maharashtra"/>
    <s v="Bangalore"/>
    <x v="0"/>
    <s v="Mobile"/>
    <s v="Dining Table"/>
    <s v="Home Office"/>
    <n v="56419"/>
    <n v="0.12"/>
    <n v="15154"/>
    <n v="16"/>
    <s v="Cash"/>
    <s v="High"/>
    <x v="0"/>
    <x v="4"/>
    <n v="4"/>
    <n v="5"/>
    <n v="0.26859745830305393"/>
  </r>
  <r>
    <n v="10122"/>
    <d v="2021-05-02T00:00:00"/>
    <d v="2021-05-06T00:00:00"/>
    <d v="2021-05-08T00:00:00"/>
    <x v="1"/>
    <s v="India"/>
    <s v="Karnataka"/>
    <s v="Bangalore"/>
    <x v="2"/>
    <s v="Pen"/>
    <s v="Gaming Laptop"/>
    <s v="Corporate"/>
    <n v="14605"/>
    <n v="0.02"/>
    <n v="-378"/>
    <n v="1"/>
    <s v="Net Banking"/>
    <s v="Critical"/>
    <x v="0"/>
    <x v="4"/>
    <n v="4"/>
    <n v="6"/>
    <n v="-2.5881547415268744E-2"/>
  </r>
  <r>
    <n v="10123"/>
    <d v="2021-05-03T00:00:00"/>
    <d v="2021-05-05T00:00:00"/>
    <d v="2021-05-07T00:00:00"/>
    <x v="2"/>
    <s v="India"/>
    <s v="Delhi"/>
    <s v="Mumbai"/>
    <x v="0"/>
    <s v="Pen"/>
    <s v="Laser Printer"/>
    <s v="Corporate"/>
    <n v="68331"/>
    <n v="0"/>
    <n v="19271"/>
    <n v="6"/>
    <s v="Net Banking"/>
    <s v="Medium"/>
    <x v="0"/>
    <x v="4"/>
    <n v="2"/>
    <n v="4"/>
    <n v="0.28202426424316929"/>
  </r>
  <r>
    <n v="10124"/>
    <d v="2021-05-04T00:00:00"/>
    <d v="2021-05-11T00:00:00"/>
    <d v="2021-05-13T00:00:00"/>
    <x v="1"/>
    <s v="India"/>
    <s v="Telangana"/>
    <s v="Kochi"/>
    <x v="1"/>
    <s v="Printer"/>
    <s v="Gaming Laptop"/>
    <s v="Consumer"/>
    <n v="66100"/>
    <n v="0.02"/>
    <n v="12883"/>
    <n v="4"/>
    <s v="Credit Card"/>
    <s v="Low"/>
    <x v="0"/>
    <x v="4"/>
    <n v="7"/>
    <n v="9"/>
    <n v="0.19490166414523449"/>
  </r>
  <r>
    <n v="10125"/>
    <d v="2021-05-05T00:00:00"/>
    <d v="2021-05-07T00:00:00"/>
    <d v="2021-05-08T00:00:00"/>
    <x v="0"/>
    <s v="India"/>
    <s v="Tamil Nadu"/>
    <s v="Kochi"/>
    <x v="1"/>
    <s v="Notebook"/>
    <s v="Office Chair"/>
    <s v="Corporate"/>
    <n v="60394"/>
    <n v="7.0000000000000007E-2"/>
    <n v="-778"/>
    <n v="11"/>
    <s v="Credit Card"/>
    <s v="Critical"/>
    <x v="0"/>
    <x v="4"/>
    <n v="2"/>
    <n v="3"/>
    <n v="-1.2882074378249495E-2"/>
  </r>
  <r>
    <n v="10126"/>
    <d v="2021-05-06T00:00:00"/>
    <d v="2021-05-11T00:00:00"/>
    <d v="2021-05-14T00:00:00"/>
    <x v="0"/>
    <s v="India"/>
    <s v="Karnataka"/>
    <s v="Bangalore"/>
    <x v="0"/>
    <s v="Printer"/>
    <s v="Smartphone"/>
    <s v="Consumer"/>
    <n v="73634"/>
    <n v="7.0000000000000007E-2"/>
    <n v="-423"/>
    <n v="22"/>
    <s v="Credit Card"/>
    <s v="Critical"/>
    <x v="0"/>
    <x v="4"/>
    <n v="5"/>
    <n v="8"/>
    <n v="-5.7446288399380721E-3"/>
  </r>
  <r>
    <n v="10127"/>
    <d v="2021-05-07T00:00:00"/>
    <d v="2021-05-13T00:00:00"/>
    <d v="2021-05-16T00:00:00"/>
    <x v="0"/>
    <s v="India"/>
    <s v="Telangana"/>
    <s v="Kochi"/>
    <x v="0"/>
    <s v="Table"/>
    <s v="Spiral Notebook"/>
    <s v="Corporate"/>
    <n v="72406"/>
    <n v="0.23"/>
    <n v="16396"/>
    <n v="14"/>
    <s v="Net Banking"/>
    <s v="Low"/>
    <x v="0"/>
    <x v="4"/>
    <n v="6"/>
    <n v="9"/>
    <n v="0.2264453222108665"/>
  </r>
  <r>
    <n v="10128"/>
    <d v="2021-05-08T00:00:00"/>
    <d v="2021-05-11T00:00:00"/>
    <d v="2021-05-12T00:00:00"/>
    <x v="1"/>
    <s v="India"/>
    <s v="Karnataka"/>
    <s v="Delhi"/>
    <x v="2"/>
    <s v="Printer"/>
    <s v="Gel Pen"/>
    <s v="Home Office"/>
    <n v="57677"/>
    <n v="0.14000000000000001"/>
    <n v="7843"/>
    <n v="22"/>
    <s v="UPI"/>
    <s v="Critical"/>
    <x v="0"/>
    <x v="4"/>
    <n v="3"/>
    <n v="4"/>
    <n v="0.13598141373511105"/>
  </r>
  <r>
    <n v="10129"/>
    <d v="2021-05-09T00:00:00"/>
    <d v="2021-05-14T00:00:00"/>
    <d v="2021-05-15T00:00:00"/>
    <x v="1"/>
    <s v="India"/>
    <s v="Kerala"/>
    <s v="Hyderabad"/>
    <x v="1"/>
    <s v="Laptop"/>
    <s v="Office Chair"/>
    <s v="Consumer"/>
    <n v="23377"/>
    <n v="0.15"/>
    <n v="147"/>
    <n v="15"/>
    <s v="Credit Card"/>
    <s v="Critical"/>
    <x v="0"/>
    <x v="4"/>
    <n v="5"/>
    <n v="6"/>
    <n v="6.2882320229285197E-3"/>
  </r>
  <r>
    <n v="10130"/>
    <d v="2021-05-10T00:00:00"/>
    <d v="2021-05-16T00:00:00"/>
    <d v="2021-05-19T00:00:00"/>
    <x v="0"/>
    <s v="India"/>
    <s v="Delhi"/>
    <s v="Bangalore"/>
    <x v="2"/>
    <s v="Mobile"/>
    <s v="Office Chair"/>
    <s v="Home Office"/>
    <n v="46185"/>
    <n v="0.31"/>
    <n v="3505"/>
    <n v="11"/>
    <s v="UPI"/>
    <s v="Low"/>
    <x v="0"/>
    <x v="4"/>
    <n v="6"/>
    <n v="9"/>
    <n v="7.589044061924867E-2"/>
  </r>
  <r>
    <n v="10131"/>
    <d v="2021-05-11T00:00:00"/>
    <d v="2021-05-14T00:00:00"/>
    <d v="2021-05-16T00:00:00"/>
    <x v="1"/>
    <s v="India"/>
    <s v="Telangana"/>
    <s v="Hyderabad"/>
    <x v="1"/>
    <s v="Table"/>
    <s v="Gel Pen"/>
    <s v="Corporate"/>
    <n v="52153"/>
    <n v="0.31"/>
    <n v="4051"/>
    <n v="15"/>
    <s v="UPI"/>
    <s v="Low"/>
    <x v="0"/>
    <x v="4"/>
    <n v="3"/>
    <n v="5"/>
    <n v="7.7675301516691275E-2"/>
  </r>
  <r>
    <n v="10132"/>
    <d v="2021-05-12T00:00:00"/>
    <d v="2021-05-18T00:00:00"/>
    <d v="2021-05-20T00:00:00"/>
    <x v="3"/>
    <s v="India"/>
    <s v="Maharashtra"/>
    <s v="Mumbai"/>
    <x v="2"/>
    <s v="Laptop"/>
    <s v="Laser Printer"/>
    <s v="Corporate"/>
    <n v="16593"/>
    <n v="0.24"/>
    <n v="6304"/>
    <n v="17"/>
    <s v="Cash"/>
    <s v="Medium"/>
    <x v="0"/>
    <x v="4"/>
    <n v="6"/>
    <n v="8"/>
    <n v="0.37991924305430003"/>
  </r>
  <r>
    <n v="10133"/>
    <d v="2021-05-13T00:00:00"/>
    <d v="2021-05-15T00:00:00"/>
    <d v="2021-05-18T00:00:00"/>
    <x v="3"/>
    <s v="India"/>
    <s v="Telangana"/>
    <s v="Hyderabad"/>
    <x v="2"/>
    <s v="Chair"/>
    <s v="Gel Pen"/>
    <s v="Consumer"/>
    <n v="32803"/>
    <n v="0.34"/>
    <n v="-840"/>
    <n v="8"/>
    <s v="Cash"/>
    <s v="Low"/>
    <x v="0"/>
    <x v="4"/>
    <n v="2"/>
    <n v="5"/>
    <n v="-2.5607413956040607E-2"/>
  </r>
  <r>
    <n v="10134"/>
    <d v="2021-05-14T00:00:00"/>
    <d v="2021-05-21T00:00:00"/>
    <d v="2021-05-26T00:00:00"/>
    <x v="3"/>
    <s v="India"/>
    <s v="Tamil Nadu"/>
    <s v="Kochi"/>
    <x v="1"/>
    <s v="Notebook"/>
    <s v="Gel Pen"/>
    <s v="Consumer"/>
    <n v="38914"/>
    <n v="0.28000000000000003"/>
    <n v="3991"/>
    <n v="6"/>
    <s v="Cash"/>
    <s v="Low"/>
    <x v="0"/>
    <x v="4"/>
    <n v="7"/>
    <n v="12"/>
    <n v="0.10255949015778383"/>
  </r>
  <r>
    <n v="10135"/>
    <d v="2021-05-15T00:00:00"/>
    <d v="2021-05-19T00:00:00"/>
    <d v="2021-05-20T00:00:00"/>
    <x v="0"/>
    <s v="India"/>
    <s v="Delhi"/>
    <s v="Mumbai"/>
    <x v="2"/>
    <s v="Printer"/>
    <s v="Office Chair"/>
    <s v="Home Office"/>
    <n v="25571"/>
    <n v="0.35"/>
    <n v="12426"/>
    <n v="23"/>
    <s v="Debit Card"/>
    <s v="High"/>
    <x v="0"/>
    <x v="4"/>
    <n v="4"/>
    <n v="5"/>
    <n v="0.485941105158187"/>
  </r>
  <r>
    <n v="10136"/>
    <d v="2021-05-16T00:00:00"/>
    <d v="2021-05-22T00:00:00"/>
    <d v="2021-05-26T00:00:00"/>
    <x v="0"/>
    <s v="India"/>
    <s v="Tamil Nadu"/>
    <s v="Kochi"/>
    <x v="0"/>
    <s v="Pen"/>
    <s v="Dining Table"/>
    <s v="Consumer"/>
    <n v="73612"/>
    <n v="0.28000000000000003"/>
    <n v="14662"/>
    <n v="11"/>
    <s v="Debit Card"/>
    <s v="High"/>
    <x v="0"/>
    <x v="4"/>
    <n v="6"/>
    <n v="10"/>
    <n v="0.19917948160625984"/>
  </r>
  <r>
    <n v="10137"/>
    <d v="2021-05-17T00:00:00"/>
    <d v="2021-05-24T00:00:00"/>
    <d v="2021-05-28T00:00:00"/>
    <x v="0"/>
    <s v="India"/>
    <s v="Telangana"/>
    <s v="Hyderabad"/>
    <x v="1"/>
    <s v="Chair"/>
    <s v="Laser Printer"/>
    <s v="Home Office"/>
    <n v="27549"/>
    <n v="0.34"/>
    <n v="5946"/>
    <n v="18"/>
    <s v="Credit Card"/>
    <s v="Medium"/>
    <x v="0"/>
    <x v="4"/>
    <n v="7"/>
    <n v="11"/>
    <n v="0.21583360557551998"/>
  </r>
  <r>
    <n v="10138"/>
    <d v="2021-05-18T00:00:00"/>
    <d v="2021-05-24T00:00:00"/>
    <d v="2021-05-26T00:00:00"/>
    <x v="2"/>
    <s v="India"/>
    <s v="Tamil Nadu"/>
    <s v="Delhi"/>
    <x v="2"/>
    <s v="Notebook"/>
    <s v="Smartphone"/>
    <s v="Consumer"/>
    <n v="24990"/>
    <n v="0.19"/>
    <n v="3162"/>
    <n v="11"/>
    <s v="UPI"/>
    <s v="Critical"/>
    <x v="0"/>
    <x v="4"/>
    <n v="6"/>
    <n v="8"/>
    <n v="0.12653061224489795"/>
  </r>
  <r>
    <n v="10139"/>
    <d v="2021-05-19T00:00:00"/>
    <d v="2021-05-25T00:00:00"/>
    <d v="2021-05-29T00:00:00"/>
    <x v="3"/>
    <s v="India"/>
    <s v="Kerala"/>
    <s v="Kochi"/>
    <x v="2"/>
    <s v="Chair"/>
    <s v="Smartphone"/>
    <s v="Home Office"/>
    <n v="17096"/>
    <n v="0.4"/>
    <n v="12343"/>
    <n v="23"/>
    <s v="Net Banking"/>
    <s v="Medium"/>
    <x v="0"/>
    <x v="4"/>
    <n v="6"/>
    <n v="10"/>
    <n v="0.7219817501169864"/>
  </r>
  <r>
    <n v="10140"/>
    <d v="2021-05-20T00:00:00"/>
    <d v="2021-05-26T00:00:00"/>
    <d v="2021-05-27T00:00:00"/>
    <x v="0"/>
    <s v="India"/>
    <s v="Karnataka"/>
    <s v="Kochi"/>
    <x v="2"/>
    <s v="Pen"/>
    <s v="Smartphone"/>
    <s v="Home Office"/>
    <n v="19713"/>
    <n v="0.28000000000000003"/>
    <n v="8605"/>
    <n v="1"/>
    <s v="Debit Card"/>
    <s v="High"/>
    <x v="0"/>
    <x v="4"/>
    <n v="6"/>
    <n v="7"/>
    <n v="0.43651397554913002"/>
  </r>
  <r>
    <n v="10141"/>
    <d v="2021-05-21T00:00:00"/>
    <d v="2021-05-27T00:00:00"/>
    <d v="2021-05-31T00:00:00"/>
    <x v="0"/>
    <s v="India"/>
    <s v="Karnataka"/>
    <s v="Hyderabad"/>
    <x v="0"/>
    <s v="Chair"/>
    <s v="Smartphone"/>
    <s v="Consumer"/>
    <n v="50418"/>
    <n v="0.35"/>
    <n v="-128"/>
    <n v="22"/>
    <s v="Credit Card"/>
    <s v="Low"/>
    <x v="0"/>
    <x v="4"/>
    <n v="6"/>
    <n v="10"/>
    <n v="-2.5387758340275298E-3"/>
  </r>
  <r>
    <n v="10142"/>
    <d v="2021-05-22T00:00:00"/>
    <d v="2021-05-26T00:00:00"/>
    <d v="2021-05-27T00:00:00"/>
    <x v="2"/>
    <s v="India"/>
    <s v="Kerala"/>
    <s v="Bangalore"/>
    <x v="2"/>
    <s v="Printer"/>
    <s v="Laser Printer"/>
    <s v="Corporate"/>
    <n v="28555"/>
    <n v="0.19"/>
    <n v="17425"/>
    <n v="15"/>
    <s v="Debit Card"/>
    <s v="Medium"/>
    <x v="0"/>
    <x v="4"/>
    <n v="4"/>
    <n v="5"/>
    <n v="0.61022587988093158"/>
  </r>
  <r>
    <n v="10143"/>
    <d v="2021-05-23T00:00:00"/>
    <d v="2021-05-28T00:00:00"/>
    <d v="2021-05-30T00:00:00"/>
    <x v="1"/>
    <s v="India"/>
    <s v="Tamil Nadu"/>
    <s v="Bangalore"/>
    <x v="0"/>
    <s v="Laptop"/>
    <s v="Laser Printer"/>
    <s v="Consumer"/>
    <n v="7081"/>
    <n v="0.02"/>
    <n v="3582"/>
    <n v="17"/>
    <s v="Debit Card"/>
    <s v="Low"/>
    <x v="0"/>
    <x v="4"/>
    <n v="5"/>
    <n v="7"/>
    <n v="0.50586075413077247"/>
  </r>
  <r>
    <n v="10144"/>
    <d v="2021-05-24T00:00:00"/>
    <d v="2021-05-30T00:00:00"/>
    <d v="2021-06-02T00:00:00"/>
    <x v="1"/>
    <s v="India"/>
    <s v="Karnataka"/>
    <s v="Bangalore"/>
    <x v="1"/>
    <s v="Mobile"/>
    <s v="Office Chair"/>
    <s v="Home Office"/>
    <n v="42633"/>
    <n v="0.06"/>
    <n v="1101"/>
    <n v="22"/>
    <s v="Cash"/>
    <s v="Low"/>
    <x v="0"/>
    <x v="4"/>
    <n v="6"/>
    <n v="9"/>
    <n v="2.5825065090422913E-2"/>
  </r>
  <r>
    <n v="10145"/>
    <d v="2021-05-25T00:00:00"/>
    <d v="2021-06-01T00:00:00"/>
    <d v="2021-06-06T00:00:00"/>
    <x v="0"/>
    <s v="India"/>
    <s v="Kerala"/>
    <s v="Bangalore"/>
    <x v="2"/>
    <s v="Pen"/>
    <s v="Smartphone"/>
    <s v="Consumer"/>
    <n v="18033"/>
    <n v="0.13"/>
    <n v="1891"/>
    <n v="9"/>
    <s v="Net Banking"/>
    <s v="Critical"/>
    <x v="0"/>
    <x v="4"/>
    <n v="7"/>
    <n v="12"/>
    <n v="0.10486330616092719"/>
  </r>
  <r>
    <n v="10146"/>
    <d v="2021-05-26T00:00:00"/>
    <d v="2021-05-30T00:00:00"/>
    <d v="2021-05-31T00:00:00"/>
    <x v="2"/>
    <s v="India"/>
    <s v="Delhi"/>
    <s v="Chennai"/>
    <x v="1"/>
    <s v="Pen"/>
    <s v="Laser Printer"/>
    <s v="Consumer"/>
    <n v="54463"/>
    <n v="0.13"/>
    <n v="13551"/>
    <n v="12"/>
    <s v="Cash"/>
    <s v="Low"/>
    <x v="0"/>
    <x v="4"/>
    <n v="4"/>
    <n v="5"/>
    <n v="0.2488111194756073"/>
  </r>
  <r>
    <n v="10147"/>
    <d v="2021-05-27T00:00:00"/>
    <d v="2021-06-02T00:00:00"/>
    <d v="2021-06-06T00:00:00"/>
    <x v="1"/>
    <s v="India"/>
    <s v="Maharashtra"/>
    <s v="Hyderabad"/>
    <x v="2"/>
    <s v="Chair"/>
    <s v="Gaming Laptop"/>
    <s v="Consumer"/>
    <n v="52628"/>
    <n v="0.3"/>
    <n v="2414"/>
    <n v="21"/>
    <s v="Cash"/>
    <s v="Medium"/>
    <x v="0"/>
    <x v="4"/>
    <n v="6"/>
    <n v="10"/>
    <n v="4.5869119100098804E-2"/>
  </r>
  <r>
    <n v="10148"/>
    <d v="2021-05-28T00:00:00"/>
    <d v="2021-06-04T00:00:00"/>
    <d v="2021-06-09T00:00:00"/>
    <x v="3"/>
    <s v="India"/>
    <s v="Telangana"/>
    <s v="Chennai"/>
    <x v="0"/>
    <s v="Chair"/>
    <s v="Laser Printer"/>
    <s v="Home Office"/>
    <n v="11318"/>
    <n v="7.0000000000000007E-2"/>
    <n v="18152"/>
    <n v="24"/>
    <s v="Cash"/>
    <s v="Low"/>
    <x v="0"/>
    <x v="4"/>
    <n v="7"/>
    <n v="12"/>
    <n v="1.6038169287860047"/>
  </r>
  <r>
    <n v="10149"/>
    <d v="2021-05-29T00:00:00"/>
    <d v="2021-06-01T00:00:00"/>
    <d v="2021-06-03T00:00:00"/>
    <x v="3"/>
    <s v="India"/>
    <s v="Tamil Nadu"/>
    <s v="Delhi"/>
    <x v="2"/>
    <s v="Mobile"/>
    <s v="Smartphone"/>
    <s v="Corporate"/>
    <n v="30243"/>
    <n v="0.16"/>
    <n v="1867"/>
    <n v="6"/>
    <s v="Debit Card"/>
    <s v="Critical"/>
    <x v="0"/>
    <x v="4"/>
    <n v="3"/>
    <n v="5"/>
    <n v="6.1733293654730022E-2"/>
  </r>
  <r>
    <n v="10150"/>
    <d v="2021-05-30T00:00:00"/>
    <d v="2021-06-03T00:00:00"/>
    <d v="2021-06-08T00:00:00"/>
    <x v="2"/>
    <s v="India"/>
    <s v="Telangana"/>
    <s v="Bangalore"/>
    <x v="1"/>
    <s v="Laptop"/>
    <s v="Office Chair"/>
    <s v="Consumer"/>
    <n v="27574"/>
    <n v="0.21"/>
    <n v="15460"/>
    <n v="4"/>
    <s v="Cash"/>
    <s v="Low"/>
    <x v="0"/>
    <x v="4"/>
    <n v="4"/>
    <n v="9"/>
    <n v="0.56067309784579678"/>
  </r>
  <r>
    <n v="10151"/>
    <d v="2021-05-31T00:00:00"/>
    <d v="2021-06-04T00:00:00"/>
    <d v="2021-06-05T00:00:00"/>
    <x v="3"/>
    <s v="India"/>
    <s v="Tamil Nadu"/>
    <s v="Hyderabad"/>
    <x v="1"/>
    <s v="Chair"/>
    <s v="Smartphone"/>
    <s v="Corporate"/>
    <n v="44210"/>
    <n v="0.03"/>
    <n v="11032"/>
    <n v="8"/>
    <s v="Debit Card"/>
    <s v="Critical"/>
    <x v="0"/>
    <x v="4"/>
    <n v="4"/>
    <n v="5"/>
    <n v="0.24953630400361909"/>
  </r>
  <r>
    <n v="10152"/>
    <d v="2021-06-01T00:00:00"/>
    <d v="2021-06-06T00:00:00"/>
    <d v="2021-06-08T00:00:00"/>
    <x v="2"/>
    <s v="India"/>
    <s v="Karnataka"/>
    <s v="Kochi"/>
    <x v="0"/>
    <s v="Pen"/>
    <s v="Gel Pen"/>
    <s v="Consumer"/>
    <n v="67532"/>
    <n v="0.21"/>
    <n v="2304"/>
    <n v="12"/>
    <s v="Credit Card"/>
    <s v="Medium"/>
    <x v="0"/>
    <x v="5"/>
    <n v="5"/>
    <n v="7"/>
    <n v="3.4117159272641119E-2"/>
  </r>
  <r>
    <n v="10153"/>
    <d v="2021-06-02T00:00:00"/>
    <d v="2021-06-09T00:00:00"/>
    <d v="2021-06-12T00:00:00"/>
    <x v="1"/>
    <s v="India"/>
    <s v="Kerala"/>
    <s v="Delhi"/>
    <x v="1"/>
    <s v="Laptop"/>
    <s v="Smartphone"/>
    <s v="Corporate"/>
    <n v="70232"/>
    <n v="0.12"/>
    <n v="7829"/>
    <n v="14"/>
    <s v="UPI"/>
    <s v="Low"/>
    <x v="0"/>
    <x v="5"/>
    <n v="7"/>
    <n v="10"/>
    <n v="0.11147340243763526"/>
  </r>
  <r>
    <n v="10154"/>
    <d v="2021-06-03T00:00:00"/>
    <d v="2021-06-08T00:00:00"/>
    <d v="2021-06-10T00:00:00"/>
    <x v="0"/>
    <s v="India"/>
    <s v="Maharashtra"/>
    <s v="Bangalore"/>
    <x v="1"/>
    <s v="Printer"/>
    <s v="Spiral Notebook"/>
    <s v="Home Office"/>
    <n v="51020"/>
    <n v="0.39"/>
    <n v="16946"/>
    <n v="2"/>
    <s v="Cash"/>
    <s v="High"/>
    <x v="0"/>
    <x v="5"/>
    <n v="5"/>
    <n v="7"/>
    <n v="0.33214425715405721"/>
  </r>
  <r>
    <n v="10155"/>
    <d v="2021-06-04T00:00:00"/>
    <d v="2021-06-11T00:00:00"/>
    <d v="2021-06-16T00:00:00"/>
    <x v="0"/>
    <s v="India"/>
    <s v="Maharashtra"/>
    <s v="Chennai"/>
    <x v="0"/>
    <s v="Notebook"/>
    <s v="Smartphone"/>
    <s v="Corporate"/>
    <n v="44659"/>
    <n v="0.02"/>
    <n v="11077"/>
    <n v="22"/>
    <s v="Credit Card"/>
    <s v="Medium"/>
    <x v="0"/>
    <x v="5"/>
    <n v="7"/>
    <n v="12"/>
    <n v="0.24803511050404173"/>
  </r>
  <r>
    <n v="10156"/>
    <d v="2021-06-05T00:00:00"/>
    <d v="2021-06-07T00:00:00"/>
    <d v="2021-06-12T00:00:00"/>
    <x v="2"/>
    <s v="India"/>
    <s v="Maharashtra"/>
    <s v="Chennai"/>
    <x v="2"/>
    <s v="Mobile"/>
    <s v="Office Chair"/>
    <s v="Corporate"/>
    <n v="72548"/>
    <n v="0.22"/>
    <n v="11389"/>
    <n v="15"/>
    <s v="Cash"/>
    <s v="Critical"/>
    <x v="0"/>
    <x v="5"/>
    <n v="2"/>
    <n v="7"/>
    <n v="0.15698571979930528"/>
  </r>
  <r>
    <n v="10157"/>
    <d v="2021-06-06T00:00:00"/>
    <d v="2021-06-12T00:00:00"/>
    <d v="2021-06-14T00:00:00"/>
    <x v="3"/>
    <s v="India"/>
    <s v="Karnataka"/>
    <s v="Delhi"/>
    <x v="0"/>
    <s v="Pen"/>
    <s v="Office Chair"/>
    <s v="Consumer"/>
    <n v="42676"/>
    <n v="0.39"/>
    <n v="6490"/>
    <n v="5"/>
    <s v="Net Banking"/>
    <s v="Critical"/>
    <x v="0"/>
    <x v="5"/>
    <n v="6"/>
    <n v="8"/>
    <n v="0.15207610835129814"/>
  </r>
  <r>
    <n v="10158"/>
    <d v="2021-06-07T00:00:00"/>
    <d v="2021-06-14T00:00:00"/>
    <d v="2021-06-17T00:00:00"/>
    <x v="0"/>
    <s v="India"/>
    <s v="Delhi"/>
    <s v="Mumbai"/>
    <x v="1"/>
    <s v="Notebook"/>
    <s v="Gel Pen"/>
    <s v="Corporate"/>
    <n v="62669"/>
    <n v="0.37"/>
    <n v="18220"/>
    <n v="19"/>
    <s v="Cash"/>
    <s v="Medium"/>
    <x v="0"/>
    <x v="5"/>
    <n v="7"/>
    <n v="10"/>
    <n v="0.29073385565431076"/>
  </r>
  <r>
    <n v="10159"/>
    <d v="2021-06-08T00:00:00"/>
    <d v="2021-06-10T00:00:00"/>
    <d v="2021-06-11T00:00:00"/>
    <x v="2"/>
    <s v="India"/>
    <s v="Maharashtra"/>
    <s v="Bangalore"/>
    <x v="0"/>
    <s v="Mobile"/>
    <s v="Laser Printer"/>
    <s v="Home Office"/>
    <n v="30843"/>
    <n v="0.01"/>
    <n v="17459"/>
    <n v="2"/>
    <s v="Net Banking"/>
    <s v="Low"/>
    <x v="0"/>
    <x v="5"/>
    <n v="2"/>
    <n v="3"/>
    <n v="0.56606037026229616"/>
  </r>
  <r>
    <n v="10160"/>
    <d v="2021-06-09T00:00:00"/>
    <d v="2021-06-15T00:00:00"/>
    <d v="2021-06-20T00:00:00"/>
    <x v="1"/>
    <s v="India"/>
    <s v="Delhi"/>
    <s v="Delhi"/>
    <x v="0"/>
    <s v="Pen"/>
    <s v="Gel Pen"/>
    <s v="Home Office"/>
    <n v="70800"/>
    <n v="0.14000000000000001"/>
    <n v="-335"/>
    <n v="5"/>
    <s v="Debit Card"/>
    <s v="Medium"/>
    <x v="0"/>
    <x v="5"/>
    <n v="6"/>
    <n v="11"/>
    <n v="-4.7316384180790963E-3"/>
  </r>
  <r>
    <n v="10161"/>
    <d v="2021-06-10T00:00:00"/>
    <d v="2021-06-16T00:00:00"/>
    <d v="2021-06-18T00:00:00"/>
    <x v="1"/>
    <s v="India"/>
    <s v="Kerala"/>
    <s v="Mumbai"/>
    <x v="2"/>
    <s v="Chair"/>
    <s v="Laser Printer"/>
    <s v="Home Office"/>
    <n v="47698"/>
    <n v="0.16"/>
    <n v="15731"/>
    <n v="11"/>
    <s v="Credit Card"/>
    <s v="Low"/>
    <x v="0"/>
    <x v="5"/>
    <n v="6"/>
    <n v="8"/>
    <n v="0.3298041846618307"/>
  </r>
  <r>
    <n v="10162"/>
    <d v="2021-06-11T00:00:00"/>
    <d v="2021-06-17T00:00:00"/>
    <d v="2021-06-20T00:00:00"/>
    <x v="2"/>
    <s v="India"/>
    <s v="Karnataka"/>
    <s v="Chennai"/>
    <x v="0"/>
    <s v="Mobile"/>
    <s v="Spiral Notebook"/>
    <s v="Corporate"/>
    <n v="35432"/>
    <n v="0.08"/>
    <n v="17316"/>
    <n v="11"/>
    <s v="Cash"/>
    <s v="Critical"/>
    <x v="0"/>
    <x v="5"/>
    <n v="6"/>
    <n v="9"/>
    <n v="0.48871076992549106"/>
  </r>
  <r>
    <n v="10163"/>
    <d v="2021-06-12T00:00:00"/>
    <d v="2021-06-15T00:00:00"/>
    <d v="2021-06-17T00:00:00"/>
    <x v="2"/>
    <s v="India"/>
    <s v="Karnataka"/>
    <s v="Chennai"/>
    <x v="1"/>
    <s v="Laptop"/>
    <s v="Laser Printer"/>
    <s v="Home Office"/>
    <n v="12708"/>
    <n v="0.17"/>
    <n v="2807"/>
    <n v="20"/>
    <s v="Debit Card"/>
    <s v="High"/>
    <x v="0"/>
    <x v="5"/>
    <n v="3"/>
    <n v="5"/>
    <n v="0.22088448221592696"/>
  </r>
  <r>
    <n v="10164"/>
    <d v="2021-06-13T00:00:00"/>
    <d v="2021-06-15T00:00:00"/>
    <d v="2021-06-17T00:00:00"/>
    <x v="2"/>
    <s v="India"/>
    <s v="Delhi"/>
    <s v="Kochi"/>
    <x v="1"/>
    <s v="Mobile"/>
    <s v="Laser Printer"/>
    <s v="Corporate"/>
    <n v="37691"/>
    <n v="0.12"/>
    <n v="327"/>
    <n v="7"/>
    <s v="Debit Card"/>
    <s v="Critical"/>
    <x v="0"/>
    <x v="5"/>
    <n v="2"/>
    <n v="4"/>
    <n v="8.6758112016131171E-3"/>
  </r>
  <r>
    <n v="10165"/>
    <d v="2021-06-14T00:00:00"/>
    <d v="2021-06-20T00:00:00"/>
    <d v="2021-06-25T00:00:00"/>
    <x v="3"/>
    <s v="India"/>
    <s v="Delhi"/>
    <s v="Bangalore"/>
    <x v="0"/>
    <s v="Laptop"/>
    <s v="Spiral Notebook"/>
    <s v="Consumer"/>
    <n v="907"/>
    <n v="0.05"/>
    <n v="175"/>
    <n v="17"/>
    <s v="UPI"/>
    <s v="Critical"/>
    <x v="0"/>
    <x v="5"/>
    <n v="6"/>
    <n v="11"/>
    <n v="0.19294377067254687"/>
  </r>
  <r>
    <n v="10166"/>
    <d v="2021-06-15T00:00:00"/>
    <d v="2021-06-19T00:00:00"/>
    <d v="2021-06-20T00:00:00"/>
    <x v="1"/>
    <s v="India"/>
    <s v="Karnataka"/>
    <s v="Hyderabad"/>
    <x v="2"/>
    <s v="Notebook"/>
    <s v="Gaming Laptop"/>
    <s v="Consumer"/>
    <n v="71183"/>
    <n v="0.36"/>
    <n v="12696"/>
    <n v="3"/>
    <s v="Cash"/>
    <s v="Low"/>
    <x v="0"/>
    <x v="5"/>
    <n v="4"/>
    <n v="5"/>
    <n v="0.17835719202618602"/>
  </r>
  <r>
    <n v="10167"/>
    <d v="2021-06-16T00:00:00"/>
    <d v="2021-06-18T00:00:00"/>
    <d v="2021-06-21T00:00:00"/>
    <x v="1"/>
    <s v="India"/>
    <s v="Kerala"/>
    <s v="Kochi"/>
    <x v="0"/>
    <s v="Mobile"/>
    <s v="Spiral Notebook"/>
    <s v="Corporate"/>
    <n v="50313"/>
    <n v="0.21"/>
    <n v="12339"/>
    <n v="15"/>
    <s v="Credit Card"/>
    <s v="High"/>
    <x v="0"/>
    <x v="5"/>
    <n v="2"/>
    <n v="5"/>
    <n v="0.24524476775386084"/>
  </r>
  <r>
    <n v="10168"/>
    <d v="2021-06-17T00:00:00"/>
    <d v="2021-06-22T00:00:00"/>
    <d v="2021-06-24T00:00:00"/>
    <x v="3"/>
    <s v="India"/>
    <s v="Tamil Nadu"/>
    <s v="Mumbai"/>
    <x v="1"/>
    <s v="Mobile"/>
    <s v="Gel Pen"/>
    <s v="Corporate"/>
    <n v="60301"/>
    <n v="0.17"/>
    <n v="6197"/>
    <n v="24"/>
    <s v="Net Banking"/>
    <s v="High"/>
    <x v="0"/>
    <x v="5"/>
    <n v="5"/>
    <n v="7"/>
    <n v="0.10276778162882871"/>
  </r>
  <r>
    <n v="10169"/>
    <d v="2021-06-18T00:00:00"/>
    <d v="2021-06-22T00:00:00"/>
    <d v="2021-06-26T00:00:00"/>
    <x v="3"/>
    <s v="India"/>
    <s v="Tamil Nadu"/>
    <s v="Mumbai"/>
    <x v="0"/>
    <s v="Mobile"/>
    <s v="Laser Printer"/>
    <s v="Corporate"/>
    <n v="31558"/>
    <n v="0.35"/>
    <n v="595"/>
    <n v="2"/>
    <s v="Net Banking"/>
    <s v="High"/>
    <x v="0"/>
    <x v="5"/>
    <n v="4"/>
    <n v="8"/>
    <n v="1.8854173268267951E-2"/>
  </r>
  <r>
    <n v="10170"/>
    <d v="2021-06-19T00:00:00"/>
    <d v="2021-06-25T00:00:00"/>
    <d v="2021-06-27T00:00:00"/>
    <x v="3"/>
    <s v="India"/>
    <s v="Telangana"/>
    <s v="Hyderabad"/>
    <x v="1"/>
    <s v="Notebook"/>
    <s v="Gel Pen"/>
    <s v="Home Office"/>
    <n v="59372"/>
    <n v="0.14000000000000001"/>
    <n v="11820"/>
    <n v="10"/>
    <s v="UPI"/>
    <s v="High"/>
    <x v="0"/>
    <x v="5"/>
    <n v="6"/>
    <n v="8"/>
    <n v="0.1990837431786027"/>
  </r>
  <r>
    <n v="10171"/>
    <d v="2021-06-20T00:00:00"/>
    <d v="2021-06-23T00:00:00"/>
    <d v="2021-06-27T00:00:00"/>
    <x v="1"/>
    <s v="India"/>
    <s v="Maharashtra"/>
    <s v="Kochi"/>
    <x v="2"/>
    <s v="Notebook"/>
    <s v="Spiral Notebook"/>
    <s v="Home Office"/>
    <n v="43196"/>
    <n v="0.33"/>
    <n v="9932"/>
    <n v="6"/>
    <s v="Cash"/>
    <s v="High"/>
    <x v="0"/>
    <x v="5"/>
    <n v="3"/>
    <n v="7"/>
    <n v="0.22992869710158348"/>
  </r>
  <r>
    <n v="10172"/>
    <d v="2021-06-21T00:00:00"/>
    <d v="2021-06-23T00:00:00"/>
    <d v="2021-06-26T00:00:00"/>
    <x v="3"/>
    <s v="India"/>
    <s v="Delhi"/>
    <s v="Hyderabad"/>
    <x v="2"/>
    <s v="Printer"/>
    <s v="Dining Table"/>
    <s v="Consumer"/>
    <n v="55694"/>
    <n v="0.21"/>
    <n v="18901"/>
    <n v="12"/>
    <s v="Debit Card"/>
    <s v="Critical"/>
    <x v="0"/>
    <x v="5"/>
    <n v="2"/>
    <n v="5"/>
    <n v="0.33937228426760513"/>
  </r>
  <r>
    <n v="10173"/>
    <d v="2021-06-22T00:00:00"/>
    <d v="2021-06-24T00:00:00"/>
    <d v="2021-06-28T00:00:00"/>
    <x v="1"/>
    <s v="India"/>
    <s v="Maharashtra"/>
    <s v="Bangalore"/>
    <x v="1"/>
    <s v="Chair"/>
    <s v="Office Chair"/>
    <s v="Corporate"/>
    <n v="56224"/>
    <n v="0.06"/>
    <n v="2430"/>
    <n v="23"/>
    <s v="Credit Card"/>
    <s v="Low"/>
    <x v="0"/>
    <x v="5"/>
    <n v="2"/>
    <n v="6"/>
    <n v="4.3219977233921458E-2"/>
  </r>
  <r>
    <n v="10174"/>
    <d v="2021-06-23T00:00:00"/>
    <d v="2021-06-28T00:00:00"/>
    <d v="2021-07-02T00:00:00"/>
    <x v="3"/>
    <s v="India"/>
    <s v="Maharashtra"/>
    <s v="Chennai"/>
    <x v="0"/>
    <s v="Pen"/>
    <s v="Dining Table"/>
    <s v="Corporate"/>
    <n v="3400"/>
    <n v="0.27"/>
    <n v="16014"/>
    <n v="2"/>
    <s v="Cash"/>
    <s v="High"/>
    <x v="0"/>
    <x v="5"/>
    <n v="5"/>
    <n v="9"/>
    <n v="4.71"/>
  </r>
  <r>
    <n v="10175"/>
    <d v="2021-06-24T00:00:00"/>
    <d v="2021-06-26T00:00:00"/>
    <d v="2021-06-29T00:00:00"/>
    <x v="0"/>
    <s v="India"/>
    <s v="Tamil Nadu"/>
    <s v="Kochi"/>
    <x v="1"/>
    <s v="Pen"/>
    <s v="Office Chair"/>
    <s v="Consumer"/>
    <n v="8616"/>
    <n v="0.16"/>
    <n v="1992"/>
    <n v="22"/>
    <s v="Debit Card"/>
    <s v="High"/>
    <x v="0"/>
    <x v="5"/>
    <n v="2"/>
    <n v="5"/>
    <n v="0.23119777158774374"/>
  </r>
  <r>
    <n v="10176"/>
    <d v="2021-06-25T00:00:00"/>
    <d v="2021-06-27T00:00:00"/>
    <d v="2021-06-29T00:00:00"/>
    <x v="3"/>
    <s v="India"/>
    <s v="Delhi"/>
    <s v="Delhi"/>
    <x v="1"/>
    <s v="Notebook"/>
    <s v="Dining Table"/>
    <s v="Corporate"/>
    <n v="52012"/>
    <n v="0.12"/>
    <n v="18246"/>
    <n v="11"/>
    <s v="Cash"/>
    <s v="Medium"/>
    <x v="0"/>
    <x v="5"/>
    <n v="2"/>
    <n v="4"/>
    <n v="0.35080366069368607"/>
  </r>
  <r>
    <n v="10177"/>
    <d v="2021-06-26T00:00:00"/>
    <d v="2021-07-03T00:00:00"/>
    <d v="2021-07-08T00:00:00"/>
    <x v="3"/>
    <s v="India"/>
    <s v="Kerala"/>
    <s v="Bangalore"/>
    <x v="2"/>
    <s v="Chair"/>
    <s v="Gaming Laptop"/>
    <s v="Corporate"/>
    <n v="24362"/>
    <n v="0.26"/>
    <n v="18171"/>
    <n v="16"/>
    <s v="Debit Card"/>
    <s v="Low"/>
    <x v="0"/>
    <x v="5"/>
    <n v="7"/>
    <n v="12"/>
    <n v="0.74587472292915191"/>
  </r>
  <r>
    <n v="10178"/>
    <d v="2021-06-27T00:00:00"/>
    <d v="2021-07-02T00:00:00"/>
    <d v="2021-07-03T00:00:00"/>
    <x v="1"/>
    <s v="India"/>
    <s v="Delhi"/>
    <s v="Mumbai"/>
    <x v="0"/>
    <s v="Printer"/>
    <s v="Smartphone"/>
    <s v="Consumer"/>
    <n v="40435"/>
    <n v="0.28999999999999998"/>
    <n v="13134"/>
    <n v="13"/>
    <s v="UPI"/>
    <s v="Medium"/>
    <x v="0"/>
    <x v="5"/>
    <n v="5"/>
    <n v="6"/>
    <n v="0.32481760850748115"/>
  </r>
  <r>
    <n v="10179"/>
    <d v="2021-06-28T00:00:00"/>
    <d v="2021-07-03T00:00:00"/>
    <d v="2021-07-05T00:00:00"/>
    <x v="2"/>
    <s v="India"/>
    <s v="Telangana"/>
    <s v="Chennai"/>
    <x v="2"/>
    <s v="Printer"/>
    <s v="Spiral Notebook"/>
    <s v="Corporate"/>
    <n v="5042"/>
    <n v="0.01"/>
    <n v="1250"/>
    <n v="6"/>
    <s v="UPI"/>
    <s v="Medium"/>
    <x v="0"/>
    <x v="5"/>
    <n v="5"/>
    <n v="7"/>
    <n v="0.24791749305831021"/>
  </r>
  <r>
    <n v="10180"/>
    <d v="2021-06-29T00:00:00"/>
    <d v="2021-07-05T00:00:00"/>
    <d v="2021-07-09T00:00:00"/>
    <x v="2"/>
    <s v="India"/>
    <s v="Tamil Nadu"/>
    <s v="Kochi"/>
    <x v="1"/>
    <s v="Notebook"/>
    <s v="Dining Table"/>
    <s v="Corporate"/>
    <n v="71432"/>
    <n v="0.18"/>
    <n v="19179"/>
    <n v="9"/>
    <s v="UPI"/>
    <s v="Low"/>
    <x v="0"/>
    <x v="5"/>
    <n v="6"/>
    <n v="10"/>
    <n v="0.26849311233060813"/>
  </r>
  <r>
    <n v="10181"/>
    <d v="2021-06-30T00:00:00"/>
    <d v="2021-07-06T00:00:00"/>
    <d v="2021-07-10T00:00:00"/>
    <x v="3"/>
    <s v="India"/>
    <s v="Tamil Nadu"/>
    <s v="Kochi"/>
    <x v="0"/>
    <s v="Pen"/>
    <s v="Office Chair"/>
    <s v="Corporate"/>
    <n v="40533"/>
    <n v="0.36"/>
    <n v="19067"/>
    <n v="24"/>
    <s v="Net Banking"/>
    <s v="Medium"/>
    <x v="0"/>
    <x v="5"/>
    <n v="6"/>
    <n v="10"/>
    <n v="0.47040682900352798"/>
  </r>
  <r>
    <n v="10182"/>
    <d v="2021-07-01T00:00:00"/>
    <d v="2021-07-04T00:00:00"/>
    <d v="2021-07-06T00:00:00"/>
    <x v="3"/>
    <s v="India"/>
    <s v="Karnataka"/>
    <s v="Mumbai"/>
    <x v="0"/>
    <s v="Laptop"/>
    <s v="Office Chair"/>
    <s v="Consumer"/>
    <n v="59844"/>
    <n v="0.4"/>
    <n v="-1048"/>
    <n v="11"/>
    <s v="Credit Card"/>
    <s v="Low"/>
    <x v="0"/>
    <x v="6"/>
    <n v="3"/>
    <n v="5"/>
    <n v="-1.7512198382461066E-2"/>
  </r>
  <r>
    <n v="10183"/>
    <d v="2021-07-02T00:00:00"/>
    <d v="2021-07-04T00:00:00"/>
    <d v="2021-07-09T00:00:00"/>
    <x v="2"/>
    <s v="India"/>
    <s v="Maharashtra"/>
    <s v="Chennai"/>
    <x v="0"/>
    <s v="Laptop"/>
    <s v="Gel Pen"/>
    <s v="Corporate"/>
    <n v="58491"/>
    <n v="0.22"/>
    <n v="989"/>
    <n v="19"/>
    <s v="UPI"/>
    <s v="Medium"/>
    <x v="0"/>
    <x v="6"/>
    <n v="2"/>
    <n v="7"/>
    <n v="1.6908584226633157E-2"/>
  </r>
  <r>
    <n v="10184"/>
    <d v="2021-07-03T00:00:00"/>
    <d v="2021-07-07T00:00:00"/>
    <d v="2021-07-12T00:00:00"/>
    <x v="2"/>
    <s v="India"/>
    <s v="Maharashtra"/>
    <s v="Kochi"/>
    <x v="1"/>
    <s v="Notebook"/>
    <s v="Office Chair"/>
    <s v="Corporate"/>
    <n v="56682"/>
    <n v="0.23"/>
    <n v="252"/>
    <n v="22"/>
    <s v="Debit Card"/>
    <s v="Medium"/>
    <x v="0"/>
    <x v="6"/>
    <n v="4"/>
    <n v="9"/>
    <n v="4.4458558272467454E-3"/>
  </r>
  <r>
    <n v="10185"/>
    <d v="2021-07-04T00:00:00"/>
    <d v="2021-07-09T00:00:00"/>
    <d v="2021-07-13T00:00:00"/>
    <x v="0"/>
    <s v="India"/>
    <s v="Kerala"/>
    <s v="Kochi"/>
    <x v="2"/>
    <s v="Notebook"/>
    <s v="Spiral Notebook"/>
    <s v="Consumer"/>
    <n v="19542"/>
    <n v="0.08"/>
    <n v="10570"/>
    <n v="13"/>
    <s v="Credit Card"/>
    <s v="Low"/>
    <x v="0"/>
    <x v="6"/>
    <n v="5"/>
    <n v="9"/>
    <n v="0.54088629618258111"/>
  </r>
  <r>
    <n v="10186"/>
    <d v="2021-07-05T00:00:00"/>
    <d v="2021-07-07T00:00:00"/>
    <d v="2021-07-11T00:00:00"/>
    <x v="2"/>
    <s v="India"/>
    <s v="Karnataka"/>
    <s v="Kochi"/>
    <x v="0"/>
    <s v="Table"/>
    <s v="Dining Table"/>
    <s v="Consumer"/>
    <n v="58109"/>
    <n v="0.19"/>
    <n v="13927"/>
    <n v="22"/>
    <s v="Net Banking"/>
    <s v="Medium"/>
    <x v="0"/>
    <x v="6"/>
    <n v="2"/>
    <n v="6"/>
    <n v="0.23967027482833986"/>
  </r>
  <r>
    <n v="10187"/>
    <d v="2021-07-06T00:00:00"/>
    <d v="2021-07-11T00:00:00"/>
    <d v="2021-07-14T00:00:00"/>
    <x v="3"/>
    <s v="India"/>
    <s v="Delhi"/>
    <s v="Mumbai"/>
    <x v="0"/>
    <s v="Table"/>
    <s v="Gaming Laptop"/>
    <s v="Consumer"/>
    <n v="44876"/>
    <n v="0.33"/>
    <n v="18130"/>
    <n v="8"/>
    <s v="Net Banking"/>
    <s v="Critical"/>
    <x v="0"/>
    <x v="6"/>
    <n v="5"/>
    <n v="8"/>
    <n v="0.40400213922809519"/>
  </r>
  <r>
    <n v="10188"/>
    <d v="2021-07-07T00:00:00"/>
    <d v="2021-07-13T00:00:00"/>
    <d v="2021-07-15T00:00:00"/>
    <x v="1"/>
    <s v="India"/>
    <s v="Delhi"/>
    <s v="Chennai"/>
    <x v="0"/>
    <s v="Pen"/>
    <s v="Office Chair"/>
    <s v="Consumer"/>
    <n v="43459"/>
    <n v="0.04"/>
    <n v="4324"/>
    <n v="22"/>
    <s v="Cash"/>
    <s v="Critical"/>
    <x v="0"/>
    <x v="6"/>
    <n v="6"/>
    <n v="8"/>
    <n v="9.9496076762005572E-2"/>
  </r>
  <r>
    <n v="10189"/>
    <d v="2021-07-08T00:00:00"/>
    <d v="2021-07-12T00:00:00"/>
    <d v="2021-07-16T00:00:00"/>
    <x v="2"/>
    <s v="India"/>
    <s v="Karnataka"/>
    <s v="Mumbai"/>
    <x v="0"/>
    <s v="Printer"/>
    <s v="Gel Pen"/>
    <s v="Home Office"/>
    <n v="35687"/>
    <n v="0.16"/>
    <n v="8947"/>
    <n v="17"/>
    <s v="Net Banking"/>
    <s v="High"/>
    <x v="0"/>
    <x v="6"/>
    <n v="4"/>
    <n v="8"/>
    <n v="0.2507075405609886"/>
  </r>
  <r>
    <n v="10190"/>
    <d v="2021-07-09T00:00:00"/>
    <d v="2021-07-11T00:00:00"/>
    <d v="2021-07-14T00:00:00"/>
    <x v="1"/>
    <s v="India"/>
    <s v="Delhi"/>
    <s v="Chennai"/>
    <x v="1"/>
    <s v="Mobile"/>
    <s v="Laser Printer"/>
    <s v="Corporate"/>
    <n v="28025"/>
    <n v="0.36"/>
    <n v="2116"/>
    <n v="1"/>
    <s v="Net Banking"/>
    <s v="Low"/>
    <x v="0"/>
    <x v="6"/>
    <n v="2"/>
    <n v="5"/>
    <n v="7.5504014272970557E-2"/>
  </r>
  <r>
    <n v="10191"/>
    <d v="2021-07-10T00:00:00"/>
    <d v="2021-07-13T00:00:00"/>
    <d v="2021-07-15T00:00:00"/>
    <x v="1"/>
    <s v="India"/>
    <s v="Karnataka"/>
    <s v="Bangalore"/>
    <x v="2"/>
    <s v="Printer"/>
    <s v="Gaming Laptop"/>
    <s v="Consumer"/>
    <n v="46764"/>
    <n v="0.33"/>
    <n v="6095"/>
    <n v="21"/>
    <s v="Cash"/>
    <s v="High"/>
    <x v="0"/>
    <x v="6"/>
    <n v="3"/>
    <n v="5"/>
    <n v="0.13033530065862631"/>
  </r>
  <r>
    <n v="10192"/>
    <d v="2021-07-11T00:00:00"/>
    <d v="2021-07-14T00:00:00"/>
    <d v="2021-07-17T00:00:00"/>
    <x v="3"/>
    <s v="India"/>
    <s v="Delhi"/>
    <s v="Chennai"/>
    <x v="2"/>
    <s v="Table"/>
    <s v="Smartphone"/>
    <s v="Consumer"/>
    <n v="74062"/>
    <n v="0.09"/>
    <n v="7820"/>
    <n v="2"/>
    <s v="Cash"/>
    <s v="Critical"/>
    <x v="0"/>
    <x v="6"/>
    <n v="3"/>
    <n v="6"/>
    <n v="0.1055872107153466"/>
  </r>
  <r>
    <n v="10193"/>
    <d v="2021-07-12T00:00:00"/>
    <d v="2021-07-19T00:00:00"/>
    <d v="2021-07-23T00:00:00"/>
    <x v="0"/>
    <s v="India"/>
    <s v="Karnataka"/>
    <s v="Chennai"/>
    <x v="2"/>
    <s v="Table"/>
    <s v="Spiral Notebook"/>
    <s v="Corporate"/>
    <n v="32367"/>
    <n v="0.36"/>
    <n v="-1129"/>
    <n v="8"/>
    <s v="Net Banking"/>
    <s v="Low"/>
    <x v="0"/>
    <x v="6"/>
    <n v="7"/>
    <n v="11"/>
    <n v="-3.48812061667748E-2"/>
  </r>
  <r>
    <n v="10194"/>
    <d v="2021-07-13T00:00:00"/>
    <d v="2021-07-19T00:00:00"/>
    <d v="2021-07-20T00:00:00"/>
    <x v="2"/>
    <s v="India"/>
    <s v="Maharashtra"/>
    <s v="Hyderabad"/>
    <x v="1"/>
    <s v="Pen"/>
    <s v="Gaming Laptop"/>
    <s v="Consumer"/>
    <n v="72134"/>
    <n v="0.33"/>
    <n v="7874"/>
    <n v="18"/>
    <s v="Debit Card"/>
    <s v="Medium"/>
    <x v="0"/>
    <x v="6"/>
    <n v="6"/>
    <n v="7"/>
    <n v="0.10915795602628442"/>
  </r>
  <r>
    <n v="10195"/>
    <d v="2021-07-14T00:00:00"/>
    <d v="2021-07-20T00:00:00"/>
    <d v="2021-07-22T00:00:00"/>
    <x v="2"/>
    <s v="India"/>
    <s v="Karnataka"/>
    <s v="Mumbai"/>
    <x v="0"/>
    <s v="Laptop"/>
    <s v="Gel Pen"/>
    <s v="Consumer"/>
    <n v="39808"/>
    <n v="0.27"/>
    <n v="1268"/>
    <n v="9"/>
    <s v="UPI"/>
    <s v="Medium"/>
    <x v="0"/>
    <x v="6"/>
    <n v="6"/>
    <n v="8"/>
    <n v="3.1852893890675242E-2"/>
  </r>
  <r>
    <n v="10196"/>
    <d v="2021-07-15T00:00:00"/>
    <d v="2021-07-17T00:00:00"/>
    <d v="2021-07-21T00:00:00"/>
    <x v="0"/>
    <s v="India"/>
    <s v="Maharashtra"/>
    <s v="Chennai"/>
    <x v="2"/>
    <s v="Chair"/>
    <s v="Spiral Notebook"/>
    <s v="Corporate"/>
    <n v="9852"/>
    <n v="0.12"/>
    <n v="14479"/>
    <n v="10"/>
    <s v="Credit Card"/>
    <s v="High"/>
    <x v="0"/>
    <x v="6"/>
    <n v="2"/>
    <n v="6"/>
    <n v="1.4696508323183111"/>
  </r>
  <r>
    <n v="10197"/>
    <d v="2021-07-16T00:00:00"/>
    <d v="2021-07-19T00:00:00"/>
    <d v="2021-07-20T00:00:00"/>
    <x v="2"/>
    <s v="India"/>
    <s v="Karnataka"/>
    <s v="Chennai"/>
    <x v="0"/>
    <s v="Notebook"/>
    <s v="Spiral Notebook"/>
    <s v="Corporate"/>
    <n v="18078"/>
    <n v="0.38"/>
    <n v="1896"/>
    <n v="17"/>
    <s v="Net Banking"/>
    <s v="Critical"/>
    <x v="0"/>
    <x v="6"/>
    <n v="3"/>
    <n v="4"/>
    <n v="0.10487885828078328"/>
  </r>
  <r>
    <n v="10198"/>
    <d v="2021-07-17T00:00:00"/>
    <d v="2021-07-21T00:00:00"/>
    <d v="2021-07-24T00:00:00"/>
    <x v="1"/>
    <s v="India"/>
    <s v="Kerala"/>
    <s v="Delhi"/>
    <x v="2"/>
    <s v="Laptop"/>
    <s v="Office Chair"/>
    <s v="Corporate"/>
    <n v="44925"/>
    <n v="0.27"/>
    <n v="-517"/>
    <n v="22"/>
    <s v="Cash"/>
    <s v="Low"/>
    <x v="0"/>
    <x v="6"/>
    <n v="4"/>
    <n v="7"/>
    <n v="-1.1508069003895382E-2"/>
  </r>
  <r>
    <n v="10199"/>
    <d v="2021-07-18T00:00:00"/>
    <d v="2021-07-24T00:00:00"/>
    <d v="2021-07-28T00:00:00"/>
    <x v="0"/>
    <s v="India"/>
    <s v="Maharashtra"/>
    <s v="Hyderabad"/>
    <x v="2"/>
    <s v="Pen"/>
    <s v="Spiral Notebook"/>
    <s v="Corporate"/>
    <n v="32307"/>
    <n v="0.32"/>
    <n v="11349"/>
    <n v="8"/>
    <s v="Debit Card"/>
    <s v="Low"/>
    <x v="0"/>
    <x v="6"/>
    <n v="6"/>
    <n v="10"/>
    <n v="0.35128609898783547"/>
  </r>
  <r>
    <n v="10200"/>
    <d v="2021-07-19T00:00:00"/>
    <d v="2021-07-22T00:00:00"/>
    <d v="2021-07-23T00:00:00"/>
    <x v="1"/>
    <s v="India"/>
    <s v="Telangana"/>
    <s v="Kochi"/>
    <x v="0"/>
    <s v="Table"/>
    <s v="Spiral Notebook"/>
    <s v="Home Office"/>
    <n v="20199"/>
    <n v="0.15"/>
    <n v="18282"/>
    <n v="12"/>
    <s v="Net Banking"/>
    <s v="Medium"/>
    <x v="0"/>
    <x v="6"/>
    <n v="3"/>
    <n v="4"/>
    <n v="0.90509431159958409"/>
  </r>
  <r>
    <n v="10201"/>
    <d v="2021-07-20T00:00:00"/>
    <d v="2021-07-27T00:00:00"/>
    <d v="2021-07-30T00:00:00"/>
    <x v="2"/>
    <s v="India"/>
    <s v="Tamil Nadu"/>
    <s v="Hyderabad"/>
    <x v="1"/>
    <s v="Notebook"/>
    <s v="Smartphone"/>
    <s v="Home Office"/>
    <n v="18041"/>
    <n v="0.34"/>
    <n v="19921"/>
    <n v="23"/>
    <s v="Cash"/>
    <s v="Critical"/>
    <x v="0"/>
    <x v="6"/>
    <n v="7"/>
    <n v="10"/>
    <n v="1.1042070838645308"/>
  </r>
  <r>
    <n v="10202"/>
    <d v="2021-07-21T00:00:00"/>
    <d v="2021-07-27T00:00:00"/>
    <d v="2021-07-30T00:00:00"/>
    <x v="0"/>
    <s v="India"/>
    <s v="Maharashtra"/>
    <s v="Delhi"/>
    <x v="2"/>
    <s v="Printer"/>
    <s v="Dining Table"/>
    <s v="Home Office"/>
    <n v="67106"/>
    <n v="0.18"/>
    <n v="18920"/>
    <n v="9"/>
    <s v="Credit Card"/>
    <s v="High"/>
    <x v="0"/>
    <x v="6"/>
    <n v="6"/>
    <n v="9"/>
    <n v="0.281942002205466"/>
  </r>
  <r>
    <n v="10203"/>
    <d v="2021-07-22T00:00:00"/>
    <d v="2021-07-26T00:00:00"/>
    <d v="2021-07-29T00:00:00"/>
    <x v="3"/>
    <s v="India"/>
    <s v="Karnataka"/>
    <s v="Mumbai"/>
    <x v="1"/>
    <s v="Chair"/>
    <s v="Dining Table"/>
    <s v="Corporate"/>
    <n v="33582"/>
    <n v="0.03"/>
    <n v="-1038"/>
    <n v="11"/>
    <s v="Debit Card"/>
    <s v="High"/>
    <x v="0"/>
    <x v="6"/>
    <n v="4"/>
    <n v="7"/>
    <n v="-3.0909415758442024E-2"/>
  </r>
  <r>
    <n v="10204"/>
    <d v="2021-07-23T00:00:00"/>
    <d v="2021-07-30T00:00:00"/>
    <d v="2021-07-31T00:00:00"/>
    <x v="1"/>
    <s v="India"/>
    <s v="Tamil Nadu"/>
    <s v="Mumbai"/>
    <x v="0"/>
    <s v="Table"/>
    <s v="Dining Table"/>
    <s v="Consumer"/>
    <n v="36838"/>
    <n v="0"/>
    <n v="205"/>
    <n v="22"/>
    <s v="UPI"/>
    <s v="Critical"/>
    <x v="0"/>
    <x v="6"/>
    <n v="7"/>
    <n v="8"/>
    <n v="5.5649058037895655E-3"/>
  </r>
  <r>
    <n v="10205"/>
    <d v="2021-07-24T00:00:00"/>
    <d v="2021-07-26T00:00:00"/>
    <d v="2021-07-30T00:00:00"/>
    <x v="2"/>
    <s v="India"/>
    <s v="Kerala"/>
    <s v="Chennai"/>
    <x v="0"/>
    <s v="Laptop"/>
    <s v="Dining Table"/>
    <s v="Corporate"/>
    <n v="2954"/>
    <n v="0.28999999999999998"/>
    <n v="12100"/>
    <n v="8"/>
    <s v="Credit Card"/>
    <s v="Medium"/>
    <x v="0"/>
    <x v="6"/>
    <n v="2"/>
    <n v="6"/>
    <n v="4.0961408259986456"/>
  </r>
  <r>
    <n v="10206"/>
    <d v="2021-07-25T00:00:00"/>
    <d v="2021-07-28T00:00:00"/>
    <d v="2021-08-01T00:00:00"/>
    <x v="2"/>
    <s v="India"/>
    <s v="Kerala"/>
    <s v="Mumbai"/>
    <x v="0"/>
    <s v="Laptop"/>
    <s v="Office Chair"/>
    <s v="Corporate"/>
    <n v="49703"/>
    <n v="0.35"/>
    <n v="1911"/>
    <n v="24"/>
    <s v="Net Banking"/>
    <s v="Critical"/>
    <x v="0"/>
    <x v="6"/>
    <n v="3"/>
    <n v="7"/>
    <n v="3.8448383397380437E-2"/>
  </r>
  <r>
    <n v="10207"/>
    <d v="2021-07-26T00:00:00"/>
    <d v="2021-07-29T00:00:00"/>
    <d v="2021-08-02T00:00:00"/>
    <x v="2"/>
    <s v="India"/>
    <s v="Tamil Nadu"/>
    <s v="Delhi"/>
    <x v="1"/>
    <s v="Pen"/>
    <s v="Smartphone"/>
    <s v="Corporate"/>
    <n v="32294"/>
    <n v="0.19"/>
    <n v="9783"/>
    <n v="17"/>
    <s v="Credit Card"/>
    <s v="High"/>
    <x v="0"/>
    <x v="6"/>
    <n v="3"/>
    <n v="7"/>
    <n v="0.30293552981978078"/>
  </r>
  <r>
    <n v="10208"/>
    <d v="2021-07-27T00:00:00"/>
    <d v="2021-07-31T00:00:00"/>
    <d v="2021-08-01T00:00:00"/>
    <x v="3"/>
    <s v="India"/>
    <s v="Karnataka"/>
    <s v="Hyderabad"/>
    <x v="0"/>
    <s v="Mobile"/>
    <s v="Gel Pen"/>
    <s v="Home Office"/>
    <n v="63176"/>
    <n v="0.3"/>
    <n v="19770"/>
    <n v="5"/>
    <s v="Cash"/>
    <s v="Critical"/>
    <x v="0"/>
    <x v="6"/>
    <n v="4"/>
    <n v="5"/>
    <n v="0.31293529188299352"/>
  </r>
  <r>
    <n v="10209"/>
    <d v="2021-07-28T00:00:00"/>
    <d v="2021-08-01T00:00:00"/>
    <d v="2021-08-02T00:00:00"/>
    <x v="0"/>
    <s v="India"/>
    <s v="Delhi"/>
    <s v="Mumbai"/>
    <x v="0"/>
    <s v="Mobile"/>
    <s v="Dining Table"/>
    <s v="Home Office"/>
    <n v="73677"/>
    <n v="0.18"/>
    <n v="9194"/>
    <n v="3"/>
    <s v="UPI"/>
    <s v="Low"/>
    <x v="0"/>
    <x v="6"/>
    <n v="4"/>
    <n v="5"/>
    <n v="0.12478792567558397"/>
  </r>
  <r>
    <n v="10210"/>
    <d v="2021-07-29T00:00:00"/>
    <d v="2021-08-04T00:00:00"/>
    <d v="2021-08-07T00:00:00"/>
    <x v="1"/>
    <s v="India"/>
    <s v="Telangana"/>
    <s v="Mumbai"/>
    <x v="2"/>
    <s v="Pen"/>
    <s v="Dining Table"/>
    <s v="Consumer"/>
    <n v="47425"/>
    <n v="0.05"/>
    <n v="3327"/>
    <n v="2"/>
    <s v="UPI"/>
    <s v="High"/>
    <x v="0"/>
    <x v="6"/>
    <n v="6"/>
    <n v="9"/>
    <n v="7.0152872957301007E-2"/>
  </r>
  <r>
    <n v="10211"/>
    <d v="2021-07-30T00:00:00"/>
    <d v="2021-08-02T00:00:00"/>
    <d v="2021-08-06T00:00:00"/>
    <x v="1"/>
    <s v="India"/>
    <s v="Karnataka"/>
    <s v="Chennai"/>
    <x v="1"/>
    <s v="Pen"/>
    <s v="Gel Pen"/>
    <s v="Consumer"/>
    <n v="74024"/>
    <n v="0.02"/>
    <n v="16752"/>
    <n v="13"/>
    <s v="UPI"/>
    <s v="High"/>
    <x v="0"/>
    <x v="6"/>
    <n v="3"/>
    <n v="7"/>
    <n v="0.22630498216794553"/>
  </r>
  <r>
    <n v="10212"/>
    <d v="2021-07-31T00:00:00"/>
    <d v="2021-08-04T00:00:00"/>
    <d v="2021-08-09T00:00:00"/>
    <x v="0"/>
    <s v="India"/>
    <s v="Telangana"/>
    <s v="Chennai"/>
    <x v="2"/>
    <s v="Notebook"/>
    <s v="Office Chair"/>
    <s v="Corporate"/>
    <n v="58016"/>
    <n v="0.39"/>
    <n v="13729"/>
    <n v="6"/>
    <s v="UPI"/>
    <s v="Medium"/>
    <x v="0"/>
    <x v="6"/>
    <n v="4"/>
    <n v="9"/>
    <n v="0.23664161610590181"/>
  </r>
  <r>
    <n v="10213"/>
    <d v="2021-08-01T00:00:00"/>
    <d v="2021-08-06T00:00:00"/>
    <d v="2021-08-11T00:00:00"/>
    <x v="0"/>
    <s v="India"/>
    <s v="Maharashtra"/>
    <s v="Hyderabad"/>
    <x v="0"/>
    <s v="Laptop"/>
    <s v="Dining Table"/>
    <s v="Corporate"/>
    <n v="15797"/>
    <n v="0.01"/>
    <n v="12149"/>
    <n v="24"/>
    <s v="Credit Card"/>
    <s v="Low"/>
    <x v="0"/>
    <x v="7"/>
    <n v="5"/>
    <n v="10"/>
    <n v="0.76907007659682214"/>
  </r>
  <r>
    <n v="10214"/>
    <d v="2021-08-02T00:00:00"/>
    <d v="2021-08-04T00:00:00"/>
    <d v="2021-08-08T00:00:00"/>
    <x v="0"/>
    <s v="India"/>
    <s v="Tamil Nadu"/>
    <s v="Mumbai"/>
    <x v="2"/>
    <s v="Chair"/>
    <s v="Spiral Notebook"/>
    <s v="Corporate"/>
    <n v="73048"/>
    <n v="0.27"/>
    <n v="5945"/>
    <n v="16"/>
    <s v="Debit Card"/>
    <s v="Low"/>
    <x v="0"/>
    <x v="7"/>
    <n v="2"/>
    <n v="6"/>
    <n v="8.1384842843062091E-2"/>
  </r>
  <r>
    <n v="10215"/>
    <d v="2021-08-03T00:00:00"/>
    <d v="2021-08-08T00:00:00"/>
    <d v="2021-08-11T00:00:00"/>
    <x v="2"/>
    <s v="India"/>
    <s v="Telangana"/>
    <s v="Chennai"/>
    <x v="1"/>
    <s v="Pen"/>
    <s v="Gaming Laptop"/>
    <s v="Home Office"/>
    <n v="64362"/>
    <n v="0.35"/>
    <n v="5843"/>
    <n v="7"/>
    <s v="Debit Card"/>
    <s v="Low"/>
    <x v="0"/>
    <x v="7"/>
    <n v="5"/>
    <n v="8"/>
    <n v="9.0783381498399679E-2"/>
  </r>
  <r>
    <n v="10216"/>
    <d v="2021-08-04T00:00:00"/>
    <d v="2021-08-06T00:00:00"/>
    <d v="2021-08-08T00:00:00"/>
    <x v="1"/>
    <s v="India"/>
    <s v="Karnataka"/>
    <s v="Chennai"/>
    <x v="1"/>
    <s v="Notebook"/>
    <s v="Smartphone"/>
    <s v="Home Office"/>
    <n v="70888"/>
    <n v="0.32"/>
    <n v="19773"/>
    <n v="2"/>
    <s v="Cash"/>
    <s v="Low"/>
    <x v="0"/>
    <x v="7"/>
    <n v="2"/>
    <n v="4"/>
    <n v="0.27893296467667306"/>
  </r>
  <r>
    <n v="10217"/>
    <d v="2021-08-05T00:00:00"/>
    <d v="2021-08-12T00:00:00"/>
    <d v="2021-08-13T00:00:00"/>
    <x v="1"/>
    <s v="India"/>
    <s v="Maharashtra"/>
    <s v="Kochi"/>
    <x v="1"/>
    <s v="Notebook"/>
    <s v="Office Chair"/>
    <s v="Corporate"/>
    <n v="44821"/>
    <n v="0.27"/>
    <n v="11425"/>
    <n v="7"/>
    <s v="Cash"/>
    <s v="Medium"/>
    <x v="0"/>
    <x v="7"/>
    <n v="7"/>
    <n v="8"/>
    <n v="0.25490283572432565"/>
  </r>
  <r>
    <n v="10218"/>
    <d v="2021-08-06T00:00:00"/>
    <d v="2021-08-13T00:00:00"/>
    <d v="2021-08-17T00:00:00"/>
    <x v="2"/>
    <s v="India"/>
    <s v="Maharashtra"/>
    <s v="Bangalore"/>
    <x v="0"/>
    <s v="Chair"/>
    <s v="Laser Printer"/>
    <s v="Consumer"/>
    <n v="70418"/>
    <n v="0.19"/>
    <n v="3586"/>
    <n v="4"/>
    <s v="UPI"/>
    <s v="High"/>
    <x v="0"/>
    <x v="7"/>
    <n v="7"/>
    <n v="11"/>
    <n v="5.0924479536482152E-2"/>
  </r>
  <r>
    <n v="10219"/>
    <d v="2021-08-07T00:00:00"/>
    <d v="2021-08-14T00:00:00"/>
    <d v="2021-08-15T00:00:00"/>
    <x v="1"/>
    <s v="India"/>
    <s v="Telangana"/>
    <s v="Chennai"/>
    <x v="0"/>
    <s v="Laptop"/>
    <s v="Office Chair"/>
    <s v="Consumer"/>
    <n v="53976"/>
    <n v="0.35"/>
    <n v="-1891"/>
    <n v="5"/>
    <s v="Cash"/>
    <s v="Low"/>
    <x v="0"/>
    <x v="7"/>
    <n v="7"/>
    <n v="8"/>
    <n v="-3.5034089224840671E-2"/>
  </r>
  <r>
    <n v="10220"/>
    <d v="2021-08-08T00:00:00"/>
    <d v="2021-08-15T00:00:00"/>
    <d v="2021-08-18T00:00:00"/>
    <x v="0"/>
    <s v="India"/>
    <s v="Karnataka"/>
    <s v="Bangalore"/>
    <x v="1"/>
    <s v="Printer"/>
    <s v="Spiral Notebook"/>
    <s v="Corporate"/>
    <n v="70383"/>
    <n v="0.28999999999999998"/>
    <n v="-996"/>
    <n v="15"/>
    <s v="Cash"/>
    <s v="Critical"/>
    <x v="0"/>
    <x v="7"/>
    <n v="7"/>
    <n v="10"/>
    <n v="-1.415114445249563E-2"/>
  </r>
  <r>
    <n v="10221"/>
    <d v="2021-08-09T00:00:00"/>
    <d v="2021-08-13T00:00:00"/>
    <d v="2021-08-16T00:00:00"/>
    <x v="2"/>
    <s v="India"/>
    <s v="Telangana"/>
    <s v="Hyderabad"/>
    <x v="2"/>
    <s v="Printer"/>
    <s v="Laser Printer"/>
    <s v="Corporate"/>
    <n v="5436"/>
    <n v="0.32"/>
    <n v="10523"/>
    <n v="7"/>
    <s v="Net Banking"/>
    <s v="Low"/>
    <x v="0"/>
    <x v="7"/>
    <n v="4"/>
    <n v="7"/>
    <n v="1.9357983811626196"/>
  </r>
  <r>
    <n v="10222"/>
    <d v="2021-08-10T00:00:00"/>
    <d v="2021-08-13T00:00:00"/>
    <d v="2021-08-17T00:00:00"/>
    <x v="3"/>
    <s v="India"/>
    <s v="Karnataka"/>
    <s v="Chennai"/>
    <x v="0"/>
    <s v="Laptop"/>
    <s v="Smartphone"/>
    <s v="Corporate"/>
    <n v="34740"/>
    <n v="0.15"/>
    <n v="920"/>
    <n v="9"/>
    <s v="UPI"/>
    <s v="High"/>
    <x v="0"/>
    <x v="7"/>
    <n v="3"/>
    <n v="7"/>
    <n v="2.6482440990213012E-2"/>
  </r>
  <r>
    <n v="10223"/>
    <d v="2021-08-11T00:00:00"/>
    <d v="2021-08-13T00:00:00"/>
    <d v="2021-08-15T00:00:00"/>
    <x v="2"/>
    <s v="India"/>
    <s v="Maharashtra"/>
    <s v="Hyderabad"/>
    <x v="1"/>
    <s v="Printer"/>
    <s v="Gel Pen"/>
    <s v="Consumer"/>
    <n v="44686"/>
    <n v="0.22"/>
    <n v="17877"/>
    <n v="18"/>
    <s v="Debit Card"/>
    <s v="Medium"/>
    <x v="0"/>
    <x v="7"/>
    <n v="2"/>
    <n v="4"/>
    <n v="0.4000581837712035"/>
  </r>
  <r>
    <n v="10224"/>
    <d v="2021-08-12T00:00:00"/>
    <d v="2021-08-17T00:00:00"/>
    <d v="2021-08-22T00:00:00"/>
    <x v="3"/>
    <s v="India"/>
    <s v="Tamil Nadu"/>
    <s v="Hyderabad"/>
    <x v="1"/>
    <s v="Pen"/>
    <s v="Gaming Laptop"/>
    <s v="Home Office"/>
    <n v="38268"/>
    <n v="0.05"/>
    <n v="17423"/>
    <n v="13"/>
    <s v="Debit Card"/>
    <s v="Medium"/>
    <x v="0"/>
    <x v="7"/>
    <n v="5"/>
    <n v="10"/>
    <n v="0.45528901432005853"/>
  </r>
  <r>
    <n v="10225"/>
    <d v="2021-08-13T00:00:00"/>
    <d v="2021-08-15T00:00:00"/>
    <d v="2021-08-16T00:00:00"/>
    <x v="0"/>
    <s v="India"/>
    <s v="Telangana"/>
    <s v="Kochi"/>
    <x v="2"/>
    <s v="Printer"/>
    <s v="Spiral Notebook"/>
    <s v="Home Office"/>
    <n v="24119"/>
    <n v="0.19"/>
    <n v="3700"/>
    <n v="6"/>
    <s v="Debit Card"/>
    <s v="Low"/>
    <x v="0"/>
    <x v="7"/>
    <n v="2"/>
    <n v="3"/>
    <n v="0.15340602844230689"/>
  </r>
  <r>
    <n v="10226"/>
    <d v="2021-08-14T00:00:00"/>
    <d v="2021-08-17T00:00:00"/>
    <d v="2021-08-19T00:00:00"/>
    <x v="0"/>
    <s v="India"/>
    <s v="Tamil Nadu"/>
    <s v="Delhi"/>
    <x v="2"/>
    <s v="Laptop"/>
    <s v="Laser Printer"/>
    <s v="Home Office"/>
    <n v="71656"/>
    <n v="0.34"/>
    <n v="12360"/>
    <n v="19"/>
    <s v="Credit Card"/>
    <s v="High"/>
    <x v="0"/>
    <x v="7"/>
    <n v="3"/>
    <n v="5"/>
    <n v="0.17249078932678352"/>
  </r>
  <r>
    <n v="10227"/>
    <d v="2021-08-15T00:00:00"/>
    <d v="2021-08-18T00:00:00"/>
    <d v="2021-08-23T00:00:00"/>
    <x v="0"/>
    <s v="India"/>
    <s v="Maharashtra"/>
    <s v="Chennai"/>
    <x v="2"/>
    <s v="Table"/>
    <s v="Smartphone"/>
    <s v="Home Office"/>
    <n v="10344"/>
    <n v="0.22"/>
    <n v="8391"/>
    <n v="20"/>
    <s v="Credit Card"/>
    <s v="Critical"/>
    <x v="0"/>
    <x v="7"/>
    <n v="3"/>
    <n v="8"/>
    <n v="0.81119489559164737"/>
  </r>
  <r>
    <n v="10228"/>
    <d v="2021-08-16T00:00:00"/>
    <d v="2021-08-20T00:00:00"/>
    <d v="2021-08-23T00:00:00"/>
    <x v="3"/>
    <s v="India"/>
    <s v="Delhi"/>
    <s v="Bangalore"/>
    <x v="0"/>
    <s v="Mobile"/>
    <s v="Gaming Laptop"/>
    <s v="Home Office"/>
    <n v="35823"/>
    <n v="0.14000000000000001"/>
    <n v="14023"/>
    <n v="6"/>
    <s v="Cash"/>
    <s v="Medium"/>
    <x v="0"/>
    <x v="7"/>
    <n v="4"/>
    <n v="7"/>
    <n v="0.39145241883706"/>
  </r>
  <r>
    <n v="10229"/>
    <d v="2021-08-17T00:00:00"/>
    <d v="2021-08-21T00:00:00"/>
    <d v="2021-08-26T00:00:00"/>
    <x v="0"/>
    <s v="India"/>
    <s v="Delhi"/>
    <s v="Hyderabad"/>
    <x v="1"/>
    <s v="Laptop"/>
    <s v="Laser Printer"/>
    <s v="Consumer"/>
    <n v="13165"/>
    <n v="0.12"/>
    <n v="2016"/>
    <n v="16"/>
    <s v="Credit Card"/>
    <s v="Low"/>
    <x v="0"/>
    <x v="7"/>
    <n v="4"/>
    <n v="9"/>
    <n v="0.15313330801367261"/>
  </r>
  <r>
    <n v="10230"/>
    <d v="2021-08-18T00:00:00"/>
    <d v="2021-08-22T00:00:00"/>
    <d v="2021-08-25T00:00:00"/>
    <x v="1"/>
    <s v="India"/>
    <s v="Kerala"/>
    <s v="Chennai"/>
    <x v="1"/>
    <s v="Pen"/>
    <s v="Smartphone"/>
    <s v="Corporate"/>
    <n v="41850"/>
    <n v="0.03"/>
    <n v="14713"/>
    <n v="18"/>
    <s v="Debit Card"/>
    <s v="Critical"/>
    <x v="0"/>
    <x v="7"/>
    <n v="4"/>
    <n v="7"/>
    <n v="0.35156511350059738"/>
  </r>
  <r>
    <n v="10231"/>
    <d v="2021-08-19T00:00:00"/>
    <d v="2021-08-25T00:00:00"/>
    <d v="2021-08-28T00:00:00"/>
    <x v="1"/>
    <s v="India"/>
    <s v="Karnataka"/>
    <s v="Bangalore"/>
    <x v="0"/>
    <s v="Printer"/>
    <s v="Spiral Notebook"/>
    <s v="Corporate"/>
    <n v="13243"/>
    <n v="0.17"/>
    <n v="16654"/>
    <n v="6"/>
    <s v="Cash"/>
    <s v="Low"/>
    <x v="0"/>
    <x v="7"/>
    <n v="6"/>
    <n v="9"/>
    <n v="1.2575700370006797"/>
  </r>
  <r>
    <n v="10232"/>
    <d v="2021-08-20T00:00:00"/>
    <d v="2021-08-27T00:00:00"/>
    <d v="2021-08-29T00:00:00"/>
    <x v="2"/>
    <s v="India"/>
    <s v="Karnataka"/>
    <s v="Hyderabad"/>
    <x v="0"/>
    <s v="Notebook"/>
    <s v="Laser Printer"/>
    <s v="Consumer"/>
    <n v="65961"/>
    <n v="0.28999999999999998"/>
    <n v="-385"/>
    <n v="3"/>
    <s v="Credit Card"/>
    <s v="Medium"/>
    <x v="0"/>
    <x v="7"/>
    <n v="7"/>
    <n v="9"/>
    <n v="-5.8367823410803354E-3"/>
  </r>
  <r>
    <n v="10233"/>
    <d v="2021-08-21T00:00:00"/>
    <d v="2021-08-27T00:00:00"/>
    <d v="2021-08-31T00:00:00"/>
    <x v="0"/>
    <s v="India"/>
    <s v="Delhi"/>
    <s v="Delhi"/>
    <x v="0"/>
    <s v="Chair"/>
    <s v="Office Chair"/>
    <s v="Home Office"/>
    <n v="2622"/>
    <n v="0.02"/>
    <n v="17350"/>
    <n v="8"/>
    <s v="Debit Card"/>
    <s v="Critical"/>
    <x v="0"/>
    <x v="7"/>
    <n v="6"/>
    <n v="10"/>
    <n v="6.6170861937452328"/>
  </r>
  <r>
    <n v="10234"/>
    <d v="2021-08-22T00:00:00"/>
    <d v="2021-08-26T00:00:00"/>
    <d v="2021-08-28T00:00:00"/>
    <x v="2"/>
    <s v="India"/>
    <s v="Karnataka"/>
    <s v="Delhi"/>
    <x v="1"/>
    <s v="Printer"/>
    <s v="Smartphone"/>
    <s v="Corporate"/>
    <n v="39522"/>
    <n v="0.19"/>
    <n v="13920"/>
    <n v="1"/>
    <s v="Cash"/>
    <s v="High"/>
    <x v="0"/>
    <x v="7"/>
    <n v="4"/>
    <n v="6"/>
    <n v="0.35220889631091545"/>
  </r>
  <r>
    <n v="10235"/>
    <d v="2021-08-23T00:00:00"/>
    <d v="2021-08-29T00:00:00"/>
    <d v="2021-09-01T00:00:00"/>
    <x v="1"/>
    <s v="India"/>
    <s v="Kerala"/>
    <s v="Chennai"/>
    <x v="0"/>
    <s v="Laptop"/>
    <s v="Dining Table"/>
    <s v="Corporate"/>
    <n v="35466"/>
    <n v="0.04"/>
    <n v="9376"/>
    <n v="11"/>
    <s v="Debit Card"/>
    <s v="Critical"/>
    <x v="0"/>
    <x v="7"/>
    <n v="6"/>
    <n v="9"/>
    <n v="0.2643658715389387"/>
  </r>
  <r>
    <n v="10236"/>
    <d v="2021-08-24T00:00:00"/>
    <d v="2021-08-31T00:00:00"/>
    <d v="2021-09-05T00:00:00"/>
    <x v="2"/>
    <s v="India"/>
    <s v="Maharashtra"/>
    <s v="Hyderabad"/>
    <x v="2"/>
    <s v="Laptop"/>
    <s v="Office Chair"/>
    <s v="Corporate"/>
    <n v="15501"/>
    <n v="0.04"/>
    <n v="11128"/>
    <n v="11"/>
    <s v="Debit Card"/>
    <s v="High"/>
    <x v="0"/>
    <x v="7"/>
    <n v="7"/>
    <n v="12"/>
    <n v="0.7178891684407458"/>
  </r>
  <r>
    <n v="10237"/>
    <d v="2021-08-25T00:00:00"/>
    <d v="2021-08-30T00:00:00"/>
    <d v="2021-09-01T00:00:00"/>
    <x v="0"/>
    <s v="India"/>
    <s v="Kerala"/>
    <s v="Hyderabad"/>
    <x v="2"/>
    <s v="Notebook"/>
    <s v="Gaming Laptop"/>
    <s v="Consumer"/>
    <n v="56612"/>
    <n v="0.28999999999999998"/>
    <n v="11288"/>
    <n v="17"/>
    <s v="UPI"/>
    <s v="Low"/>
    <x v="0"/>
    <x v="7"/>
    <n v="5"/>
    <n v="7"/>
    <n v="0.19939235497774324"/>
  </r>
  <r>
    <n v="10238"/>
    <d v="2021-08-26T00:00:00"/>
    <d v="2021-09-02T00:00:00"/>
    <d v="2021-09-07T00:00:00"/>
    <x v="0"/>
    <s v="India"/>
    <s v="Telangana"/>
    <s v="Hyderabad"/>
    <x v="1"/>
    <s v="Notebook"/>
    <s v="Office Chair"/>
    <s v="Consumer"/>
    <n v="12578"/>
    <n v="0.39"/>
    <n v="16811"/>
    <n v="24"/>
    <s v="UPI"/>
    <s v="High"/>
    <x v="0"/>
    <x v="7"/>
    <n v="7"/>
    <n v="12"/>
    <n v="1.3365399904595325"/>
  </r>
  <r>
    <n v="10239"/>
    <d v="2021-08-27T00:00:00"/>
    <d v="2021-08-29T00:00:00"/>
    <d v="2021-08-31T00:00:00"/>
    <x v="2"/>
    <s v="India"/>
    <s v="Karnataka"/>
    <s v="Kochi"/>
    <x v="2"/>
    <s v="Laptop"/>
    <s v="Gaming Laptop"/>
    <s v="Corporate"/>
    <n v="35299"/>
    <n v="7.0000000000000007E-2"/>
    <n v="18427"/>
    <n v="20"/>
    <s v="Cash"/>
    <s v="Medium"/>
    <x v="0"/>
    <x v="7"/>
    <n v="2"/>
    <n v="4"/>
    <n v="0.52202611972010537"/>
  </r>
  <r>
    <n v="10240"/>
    <d v="2021-08-28T00:00:00"/>
    <d v="2021-08-30T00:00:00"/>
    <d v="2021-09-01T00:00:00"/>
    <x v="2"/>
    <s v="India"/>
    <s v="Tamil Nadu"/>
    <s v="Kochi"/>
    <x v="2"/>
    <s v="Table"/>
    <s v="Gaming Laptop"/>
    <s v="Consumer"/>
    <n v="45076"/>
    <n v="0.27"/>
    <n v="5174"/>
    <n v="7"/>
    <s v="UPI"/>
    <s v="High"/>
    <x v="0"/>
    <x v="7"/>
    <n v="2"/>
    <n v="4"/>
    <n v="0.11478392048983939"/>
  </r>
  <r>
    <n v="10241"/>
    <d v="2021-08-29T00:00:00"/>
    <d v="2021-09-03T00:00:00"/>
    <d v="2021-09-04T00:00:00"/>
    <x v="1"/>
    <s v="India"/>
    <s v="Tamil Nadu"/>
    <s v="Delhi"/>
    <x v="2"/>
    <s v="Chair"/>
    <s v="Dining Table"/>
    <s v="Home Office"/>
    <n v="57777"/>
    <n v="0.27"/>
    <n v="2238"/>
    <n v="10"/>
    <s v="Debit Card"/>
    <s v="Medium"/>
    <x v="0"/>
    <x v="7"/>
    <n v="5"/>
    <n v="6"/>
    <n v="3.8735136819149488E-2"/>
  </r>
  <r>
    <n v="10242"/>
    <d v="2021-08-30T00:00:00"/>
    <d v="2021-09-04T00:00:00"/>
    <d v="2021-09-09T00:00:00"/>
    <x v="1"/>
    <s v="India"/>
    <s v="Telangana"/>
    <s v="Bangalore"/>
    <x v="1"/>
    <s v="Chair"/>
    <s v="Gel Pen"/>
    <s v="Home Office"/>
    <n v="15544"/>
    <n v="7.0000000000000007E-2"/>
    <n v="7184"/>
    <n v="4"/>
    <s v="Debit Card"/>
    <s v="Medium"/>
    <x v="0"/>
    <x v="7"/>
    <n v="5"/>
    <n v="10"/>
    <n v="0.46217189912506434"/>
  </r>
  <r>
    <n v="10243"/>
    <d v="2021-08-31T00:00:00"/>
    <d v="2021-09-04T00:00:00"/>
    <d v="2021-09-07T00:00:00"/>
    <x v="0"/>
    <s v="India"/>
    <s v="Telangana"/>
    <s v="Mumbai"/>
    <x v="2"/>
    <s v="Printer"/>
    <s v="Gaming Laptop"/>
    <s v="Corporate"/>
    <n v="50532"/>
    <n v="0.18"/>
    <n v="4427"/>
    <n v="8"/>
    <s v="Cash"/>
    <s v="Medium"/>
    <x v="0"/>
    <x v="7"/>
    <n v="4"/>
    <n v="7"/>
    <n v="8.7607852449932716E-2"/>
  </r>
  <r>
    <n v="10244"/>
    <d v="2021-09-01T00:00:00"/>
    <d v="2021-09-05T00:00:00"/>
    <d v="2021-09-07T00:00:00"/>
    <x v="3"/>
    <s v="India"/>
    <s v="Karnataka"/>
    <s v="Chennai"/>
    <x v="0"/>
    <s v="Notebook"/>
    <s v="Gel Pen"/>
    <s v="Consumer"/>
    <n v="8536"/>
    <n v="0.03"/>
    <n v="12380"/>
    <n v="2"/>
    <s v="Net Banking"/>
    <s v="Critical"/>
    <x v="0"/>
    <x v="8"/>
    <n v="4"/>
    <n v="6"/>
    <n v="1.4503280224929709"/>
  </r>
  <r>
    <n v="10245"/>
    <d v="2021-09-02T00:00:00"/>
    <d v="2021-09-05T00:00:00"/>
    <d v="2021-09-09T00:00:00"/>
    <x v="2"/>
    <s v="India"/>
    <s v="Tamil Nadu"/>
    <s v="Kochi"/>
    <x v="0"/>
    <s v="Mobile"/>
    <s v="Gel Pen"/>
    <s v="Home Office"/>
    <n v="57883"/>
    <n v="0.36"/>
    <n v="8117"/>
    <n v="11"/>
    <s v="Debit Card"/>
    <s v="Critical"/>
    <x v="0"/>
    <x v="8"/>
    <n v="3"/>
    <n v="7"/>
    <n v="0.14023115595252492"/>
  </r>
  <r>
    <n v="10246"/>
    <d v="2021-09-03T00:00:00"/>
    <d v="2021-09-05T00:00:00"/>
    <d v="2021-09-10T00:00:00"/>
    <x v="2"/>
    <s v="India"/>
    <s v="Delhi"/>
    <s v="Chennai"/>
    <x v="2"/>
    <s v="Printer"/>
    <s v="Office Chair"/>
    <s v="Home Office"/>
    <n v="60278"/>
    <n v="0.31"/>
    <n v="8685"/>
    <n v="5"/>
    <s v="Cash"/>
    <s v="High"/>
    <x v="0"/>
    <x v="8"/>
    <n v="2"/>
    <n v="7"/>
    <n v="0.14408241812933409"/>
  </r>
  <r>
    <n v="10247"/>
    <d v="2021-09-04T00:00:00"/>
    <d v="2021-09-11T00:00:00"/>
    <d v="2021-09-16T00:00:00"/>
    <x v="3"/>
    <s v="India"/>
    <s v="Maharashtra"/>
    <s v="Chennai"/>
    <x v="0"/>
    <s v="Mobile"/>
    <s v="Dining Table"/>
    <s v="Corporate"/>
    <n v="35691"/>
    <n v="0.34"/>
    <n v="16820"/>
    <n v="1"/>
    <s v="Net Banking"/>
    <s v="Low"/>
    <x v="0"/>
    <x v="8"/>
    <n v="7"/>
    <n v="12"/>
    <n v="0.47126726625759996"/>
  </r>
  <r>
    <n v="10248"/>
    <d v="2021-09-05T00:00:00"/>
    <d v="2021-09-12T00:00:00"/>
    <d v="2021-09-13T00:00:00"/>
    <x v="1"/>
    <s v="India"/>
    <s v="Maharashtra"/>
    <s v="Bangalore"/>
    <x v="2"/>
    <s v="Mobile"/>
    <s v="Office Chair"/>
    <s v="Home Office"/>
    <n v="16152"/>
    <n v="0.18"/>
    <n v="1140"/>
    <n v="23"/>
    <s v="Net Banking"/>
    <s v="High"/>
    <x v="0"/>
    <x v="8"/>
    <n v="7"/>
    <n v="8"/>
    <n v="7.0579494799405645E-2"/>
  </r>
  <r>
    <n v="10249"/>
    <d v="2021-09-06T00:00:00"/>
    <d v="2021-09-13T00:00:00"/>
    <d v="2021-09-15T00:00:00"/>
    <x v="3"/>
    <s v="India"/>
    <s v="Tamil Nadu"/>
    <s v="Delhi"/>
    <x v="0"/>
    <s v="Table"/>
    <s v="Gel Pen"/>
    <s v="Corporate"/>
    <n v="10127"/>
    <n v="0.12"/>
    <n v="5276"/>
    <n v="16"/>
    <s v="Cash"/>
    <s v="High"/>
    <x v="0"/>
    <x v="8"/>
    <n v="7"/>
    <n v="9"/>
    <n v="0.52098350943023597"/>
  </r>
  <r>
    <n v="10250"/>
    <d v="2021-09-07T00:00:00"/>
    <d v="2021-09-12T00:00:00"/>
    <d v="2021-09-15T00:00:00"/>
    <x v="0"/>
    <s v="India"/>
    <s v="Tamil Nadu"/>
    <s v="Bangalore"/>
    <x v="1"/>
    <s v="Printer"/>
    <s v="Spiral Notebook"/>
    <s v="Home Office"/>
    <n v="24311"/>
    <n v="0.14000000000000001"/>
    <n v="13598"/>
    <n v="1"/>
    <s v="Credit Card"/>
    <s v="Low"/>
    <x v="0"/>
    <x v="8"/>
    <n v="5"/>
    <n v="8"/>
    <n v="0.55933528032577851"/>
  </r>
  <r>
    <n v="10251"/>
    <d v="2021-09-08T00:00:00"/>
    <d v="2021-09-12T00:00:00"/>
    <d v="2021-09-14T00:00:00"/>
    <x v="1"/>
    <s v="India"/>
    <s v="Maharashtra"/>
    <s v="Mumbai"/>
    <x v="0"/>
    <s v="Printer"/>
    <s v="Smartphone"/>
    <s v="Consumer"/>
    <n v="12958"/>
    <n v="0.11"/>
    <n v="493"/>
    <n v="16"/>
    <s v="Debit Card"/>
    <s v="Low"/>
    <x v="0"/>
    <x v="8"/>
    <n v="4"/>
    <n v="6"/>
    <n v="3.8045994752276588E-2"/>
  </r>
  <r>
    <n v="10252"/>
    <d v="2021-09-09T00:00:00"/>
    <d v="2021-09-16T00:00:00"/>
    <d v="2021-09-17T00:00:00"/>
    <x v="0"/>
    <s v="India"/>
    <s v="Karnataka"/>
    <s v="Chennai"/>
    <x v="1"/>
    <s v="Laptop"/>
    <s v="Dining Table"/>
    <s v="Corporate"/>
    <n v="4463"/>
    <n v="0.06"/>
    <n v="1026"/>
    <n v="20"/>
    <s v="Net Banking"/>
    <s v="Critical"/>
    <x v="0"/>
    <x v="8"/>
    <n v="7"/>
    <n v="8"/>
    <n v="0.22989020838001345"/>
  </r>
  <r>
    <n v="10253"/>
    <d v="2021-09-10T00:00:00"/>
    <d v="2021-09-12T00:00:00"/>
    <d v="2021-09-14T00:00:00"/>
    <x v="3"/>
    <s v="India"/>
    <s v="Maharashtra"/>
    <s v="Chennai"/>
    <x v="0"/>
    <s v="Laptop"/>
    <s v="Smartphone"/>
    <s v="Consumer"/>
    <n v="47461"/>
    <n v="0.02"/>
    <n v="-909"/>
    <n v="13"/>
    <s v="Cash"/>
    <s v="High"/>
    <x v="0"/>
    <x v="8"/>
    <n v="2"/>
    <n v="4"/>
    <n v="-1.9152567371104698E-2"/>
  </r>
  <r>
    <n v="10254"/>
    <d v="2021-09-11T00:00:00"/>
    <d v="2021-09-14T00:00:00"/>
    <d v="2021-09-17T00:00:00"/>
    <x v="3"/>
    <s v="India"/>
    <s v="Kerala"/>
    <s v="Chennai"/>
    <x v="2"/>
    <s v="Chair"/>
    <s v="Spiral Notebook"/>
    <s v="Home Office"/>
    <n v="68483"/>
    <n v="0.16"/>
    <n v="4534"/>
    <n v="8"/>
    <s v="UPI"/>
    <s v="High"/>
    <x v="0"/>
    <x v="8"/>
    <n v="3"/>
    <n v="6"/>
    <n v="6.6206211760582917E-2"/>
  </r>
  <r>
    <n v="10255"/>
    <d v="2021-09-12T00:00:00"/>
    <d v="2021-09-19T00:00:00"/>
    <d v="2021-09-22T00:00:00"/>
    <x v="2"/>
    <s v="India"/>
    <s v="Kerala"/>
    <s v="Kochi"/>
    <x v="1"/>
    <s v="Notebook"/>
    <s v="Dining Table"/>
    <s v="Consumer"/>
    <n v="72922"/>
    <n v="0.22"/>
    <n v="-190"/>
    <n v="9"/>
    <s v="Net Banking"/>
    <s v="Low"/>
    <x v="0"/>
    <x v="8"/>
    <n v="7"/>
    <n v="10"/>
    <n v="-2.6055237102657635E-3"/>
  </r>
  <r>
    <n v="10256"/>
    <d v="2021-09-13T00:00:00"/>
    <d v="2021-09-20T00:00:00"/>
    <d v="2021-09-24T00:00:00"/>
    <x v="2"/>
    <s v="India"/>
    <s v="Karnataka"/>
    <s v="Kochi"/>
    <x v="2"/>
    <s v="Notebook"/>
    <s v="Gel Pen"/>
    <s v="Home Office"/>
    <n v="39211"/>
    <n v="0.18"/>
    <n v="10674"/>
    <n v="19"/>
    <s v="Net Banking"/>
    <s v="High"/>
    <x v="0"/>
    <x v="8"/>
    <n v="7"/>
    <n v="11"/>
    <n v="0.27221953023386297"/>
  </r>
  <r>
    <n v="10257"/>
    <d v="2021-09-14T00:00:00"/>
    <d v="2021-09-20T00:00:00"/>
    <d v="2021-09-25T00:00:00"/>
    <x v="2"/>
    <s v="India"/>
    <s v="Karnataka"/>
    <s v="Kochi"/>
    <x v="0"/>
    <s v="Printer"/>
    <s v="Smartphone"/>
    <s v="Corporate"/>
    <n v="25659"/>
    <n v="0.16"/>
    <n v="11210"/>
    <n v="9"/>
    <s v="Cash"/>
    <s v="Low"/>
    <x v="0"/>
    <x v="8"/>
    <n v="6"/>
    <n v="11"/>
    <n v="0.43688374449510892"/>
  </r>
  <r>
    <n v="10258"/>
    <d v="2021-09-15T00:00:00"/>
    <d v="2021-09-17T00:00:00"/>
    <d v="2021-09-18T00:00:00"/>
    <x v="2"/>
    <s v="India"/>
    <s v="Tamil Nadu"/>
    <s v="Delhi"/>
    <x v="1"/>
    <s v="Pen"/>
    <s v="Laser Printer"/>
    <s v="Consumer"/>
    <n v="15884"/>
    <n v="0.01"/>
    <n v="437"/>
    <n v="19"/>
    <s v="Cash"/>
    <s v="Medium"/>
    <x v="0"/>
    <x v="8"/>
    <n v="2"/>
    <n v="3"/>
    <n v="2.751196172248804E-2"/>
  </r>
  <r>
    <n v="10259"/>
    <d v="2021-09-16T00:00:00"/>
    <d v="2021-09-21T00:00:00"/>
    <d v="2021-09-24T00:00:00"/>
    <x v="0"/>
    <s v="India"/>
    <s v="Delhi"/>
    <s v="Kochi"/>
    <x v="0"/>
    <s v="Laptop"/>
    <s v="Laser Printer"/>
    <s v="Corporate"/>
    <n v="31787"/>
    <n v="0.15"/>
    <n v="6862"/>
    <n v="24"/>
    <s v="Cash"/>
    <s v="Critical"/>
    <x v="0"/>
    <x v="8"/>
    <n v="5"/>
    <n v="8"/>
    <n v="0.21587441406864441"/>
  </r>
  <r>
    <n v="10260"/>
    <d v="2021-09-17T00:00:00"/>
    <d v="2021-09-21T00:00:00"/>
    <d v="2021-09-24T00:00:00"/>
    <x v="2"/>
    <s v="India"/>
    <s v="Telangana"/>
    <s v="Bangalore"/>
    <x v="0"/>
    <s v="Chair"/>
    <s v="Spiral Notebook"/>
    <s v="Consumer"/>
    <n v="11188"/>
    <n v="0.05"/>
    <n v="109"/>
    <n v="4"/>
    <s v="Credit Card"/>
    <s v="Medium"/>
    <x v="0"/>
    <x v="8"/>
    <n v="4"/>
    <n v="7"/>
    <n v="9.7425813371469425E-3"/>
  </r>
  <r>
    <n v="10261"/>
    <d v="2021-09-18T00:00:00"/>
    <d v="2021-09-22T00:00:00"/>
    <d v="2021-09-25T00:00:00"/>
    <x v="0"/>
    <s v="India"/>
    <s v="Karnataka"/>
    <s v="Hyderabad"/>
    <x v="2"/>
    <s v="Mobile"/>
    <s v="Office Chair"/>
    <s v="Home Office"/>
    <n v="23680"/>
    <n v="0.28000000000000003"/>
    <n v="3645"/>
    <n v="19"/>
    <s v="Debit Card"/>
    <s v="High"/>
    <x v="0"/>
    <x v="8"/>
    <n v="4"/>
    <n v="7"/>
    <n v="0.15392736486486486"/>
  </r>
  <r>
    <n v="10262"/>
    <d v="2021-09-19T00:00:00"/>
    <d v="2021-09-24T00:00:00"/>
    <d v="2021-09-28T00:00:00"/>
    <x v="3"/>
    <s v="India"/>
    <s v="Tamil Nadu"/>
    <s v="Chennai"/>
    <x v="0"/>
    <s v="Printer"/>
    <s v="Gel Pen"/>
    <s v="Consumer"/>
    <n v="24514"/>
    <n v="0.12"/>
    <n v="7929"/>
    <n v="15"/>
    <s v="Net Banking"/>
    <s v="High"/>
    <x v="0"/>
    <x v="8"/>
    <n v="5"/>
    <n v="9"/>
    <n v="0.32344782573223463"/>
  </r>
  <r>
    <n v="10263"/>
    <d v="2021-09-20T00:00:00"/>
    <d v="2021-09-24T00:00:00"/>
    <d v="2021-09-28T00:00:00"/>
    <x v="1"/>
    <s v="India"/>
    <s v="Karnataka"/>
    <s v="Bangalore"/>
    <x v="1"/>
    <s v="Laptop"/>
    <s v="Smartphone"/>
    <s v="Corporate"/>
    <n v="56671"/>
    <n v="0.2"/>
    <n v="19737"/>
    <n v="19"/>
    <s v="Cash"/>
    <s v="Low"/>
    <x v="0"/>
    <x v="8"/>
    <n v="4"/>
    <n v="8"/>
    <n v="0.34827336733073355"/>
  </r>
  <r>
    <n v="10264"/>
    <d v="2021-09-21T00:00:00"/>
    <d v="2021-09-23T00:00:00"/>
    <d v="2021-09-27T00:00:00"/>
    <x v="1"/>
    <s v="India"/>
    <s v="Kerala"/>
    <s v="Delhi"/>
    <x v="0"/>
    <s v="Printer"/>
    <s v="Smartphone"/>
    <s v="Home Office"/>
    <n v="7865"/>
    <n v="0.14000000000000001"/>
    <n v="17228"/>
    <n v="22"/>
    <s v="UPI"/>
    <s v="Medium"/>
    <x v="0"/>
    <x v="8"/>
    <n v="2"/>
    <n v="6"/>
    <n v="2.1904640813731722"/>
  </r>
  <r>
    <n v="10265"/>
    <d v="2021-09-22T00:00:00"/>
    <d v="2021-09-29T00:00:00"/>
    <d v="2021-10-02T00:00:00"/>
    <x v="2"/>
    <s v="India"/>
    <s v="Kerala"/>
    <s v="Kochi"/>
    <x v="0"/>
    <s v="Printer"/>
    <s v="Laser Printer"/>
    <s v="Consumer"/>
    <n v="51918"/>
    <n v="0.21"/>
    <n v="3335"/>
    <n v="13"/>
    <s v="Cash"/>
    <s v="Critical"/>
    <x v="0"/>
    <x v="8"/>
    <n v="7"/>
    <n v="10"/>
    <n v="6.4235910474209332E-2"/>
  </r>
  <r>
    <n v="10266"/>
    <d v="2021-09-23T00:00:00"/>
    <d v="2021-09-26T00:00:00"/>
    <d v="2021-09-28T00:00:00"/>
    <x v="2"/>
    <s v="India"/>
    <s v="Kerala"/>
    <s v="Delhi"/>
    <x v="1"/>
    <s v="Pen"/>
    <s v="Dining Table"/>
    <s v="Consumer"/>
    <n v="33138"/>
    <n v="0.08"/>
    <n v="9693"/>
    <n v="5"/>
    <s v="Net Banking"/>
    <s v="Low"/>
    <x v="0"/>
    <x v="8"/>
    <n v="3"/>
    <n v="5"/>
    <n v="0.29250407387289518"/>
  </r>
  <r>
    <n v="10267"/>
    <d v="2021-09-24T00:00:00"/>
    <d v="2021-09-26T00:00:00"/>
    <d v="2021-09-28T00:00:00"/>
    <x v="3"/>
    <s v="India"/>
    <s v="Maharashtra"/>
    <s v="Chennai"/>
    <x v="0"/>
    <s v="Laptop"/>
    <s v="Smartphone"/>
    <s v="Home Office"/>
    <n v="72849"/>
    <n v="0.03"/>
    <n v="16071"/>
    <n v="2"/>
    <s v="Net Banking"/>
    <s v="Medium"/>
    <x v="0"/>
    <x v="8"/>
    <n v="2"/>
    <n v="4"/>
    <n v="0.22060700901865501"/>
  </r>
  <r>
    <n v="10268"/>
    <d v="2021-09-25T00:00:00"/>
    <d v="2021-09-28T00:00:00"/>
    <d v="2021-10-03T00:00:00"/>
    <x v="2"/>
    <s v="India"/>
    <s v="Telangana"/>
    <s v="Mumbai"/>
    <x v="1"/>
    <s v="Printer"/>
    <s v="Spiral Notebook"/>
    <s v="Home Office"/>
    <n v="2751"/>
    <n v="0.1"/>
    <n v="1584"/>
    <n v="4"/>
    <s v="Credit Card"/>
    <s v="Low"/>
    <x v="0"/>
    <x v="8"/>
    <n v="3"/>
    <n v="8"/>
    <n v="0.57579062159214833"/>
  </r>
  <r>
    <n v="10269"/>
    <d v="2021-09-26T00:00:00"/>
    <d v="2021-09-29T00:00:00"/>
    <d v="2021-10-01T00:00:00"/>
    <x v="2"/>
    <s v="India"/>
    <s v="Tamil Nadu"/>
    <s v="Hyderabad"/>
    <x v="0"/>
    <s v="Pen"/>
    <s v="Office Chair"/>
    <s v="Consumer"/>
    <n v="20089"/>
    <n v="0.1"/>
    <n v="752"/>
    <n v="9"/>
    <s v="Net Banking"/>
    <s v="Critical"/>
    <x v="0"/>
    <x v="8"/>
    <n v="3"/>
    <n v="5"/>
    <n v="3.7433421275324806E-2"/>
  </r>
  <r>
    <n v="10270"/>
    <d v="2021-09-27T00:00:00"/>
    <d v="2021-09-29T00:00:00"/>
    <d v="2021-10-02T00:00:00"/>
    <x v="0"/>
    <s v="India"/>
    <s v="Tamil Nadu"/>
    <s v="Kochi"/>
    <x v="1"/>
    <s v="Table"/>
    <s v="Gel Pen"/>
    <s v="Consumer"/>
    <n v="28908"/>
    <n v="0.1"/>
    <n v="1534"/>
    <n v="22"/>
    <s v="Net Banking"/>
    <s v="Low"/>
    <x v="0"/>
    <x v="8"/>
    <n v="2"/>
    <n v="5"/>
    <n v="5.3064895530648956E-2"/>
  </r>
  <r>
    <n v="10271"/>
    <d v="2021-09-28T00:00:00"/>
    <d v="2021-10-04T00:00:00"/>
    <d v="2021-10-06T00:00:00"/>
    <x v="0"/>
    <s v="India"/>
    <s v="Kerala"/>
    <s v="Mumbai"/>
    <x v="1"/>
    <s v="Laptop"/>
    <s v="Dining Table"/>
    <s v="Home Office"/>
    <n v="4932"/>
    <n v="0.14000000000000001"/>
    <n v="9192"/>
    <n v="18"/>
    <s v="Net Banking"/>
    <s v="Critical"/>
    <x v="0"/>
    <x v="8"/>
    <n v="6"/>
    <n v="8"/>
    <n v="1.8637469586374695"/>
  </r>
  <r>
    <n v="10272"/>
    <d v="2021-09-29T00:00:00"/>
    <d v="2021-10-03T00:00:00"/>
    <d v="2021-10-08T00:00:00"/>
    <x v="3"/>
    <s v="India"/>
    <s v="Telangana"/>
    <s v="Chennai"/>
    <x v="1"/>
    <s v="Chair"/>
    <s v="Laser Printer"/>
    <s v="Home Office"/>
    <n v="61735"/>
    <n v="0.37"/>
    <n v="1907"/>
    <n v="19"/>
    <s v="Credit Card"/>
    <s v="Critical"/>
    <x v="0"/>
    <x v="8"/>
    <n v="4"/>
    <n v="9"/>
    <n v="3.0890094759860695E-2"/>
  </r>
  <r>
    <n v="10273"/>
    <d v="2021-09-30T00:00:00"/>
    <d v="2021-10-04T00:00:00"/>
    <d v="2021-10-06T00:00:00"/>
    <x v="1"/>
    <s v="India"/>
    <s v="Karnataka"/>
    <s v="Delhi"/>
    <x v="1"/>
    <s v="Laptop"/>
    <s v="Spiral Notebook"/>
    <s v="Corporate"/>
    <n v="42432"/>
    <n v="0.18"/>
    <n v="19589"/>
    <n v="22"/>
    <s v="Debit Card"/>
    <s v="Low"/>
    <x v="0"/>
    <x v="8"/>
    <n v="4"/>
    <n v="6"/>
    <n v="0.46165629713423834"/>
  </r>
  <r>
    <n v="10274"/>
    <d v="2021-10-01T00:00:00"/>
    <d v="2021-10-07T00:00:00"/>
    <d v="2021-10-09T00:00:00"/>
    <x v="2"/>
    <s v="India"/>
    <s v="Maharashtra"/>
    <s v="Hyderabad"/>
    <x v="0"/>
    <s v="Pen"/>
    <s v="Gaming Laptop"/>
    <s v="Corporate"/>
    <n v="31476"/>
    <n v="0.02"/>
    <n v="15844"/>
    <n v="24"/>
    <s v="Cash"/>
    <s v="High"/>
    <x v="0"/>
    <x v="9"/>
    <n v="6"/>
    <n v="8"/>
    <n v="0.503367645189986"/>
  </r>
  <r>
    <n v="10275"/>
    <d v="2021-10-02T00:00:00"/>
    <d v="2021-10-04T00:00:00"/>
    <d v="2021-10-07T00:00:00"/>
    <x v="3"/>
    <s v="India"/>
    <s v="Maharashtra"/>
    <s v="Hyderabad"/>
    <x v="0"/>
    <s v="Mobile"/>
    <s v="Office Chair"/>
    <s v="Home Office"/>
    <n v="18783"/>
    <n v="0.3"/>
    <n v="16296"/>
    <n v="5"/>
    <s v="Debit Card"/>
    <s v="Medium"/>
    <x v="0"/>
    <x v="9"/>
    <n v="2"/>
    <n v="5"/>
    <n v="0.86759303625618911"/>
  </r>
  <r>
    <n v="10276"/>
    <d v="2021-10-03T00:00:00"/>
    <d v="2021-10-07T00:00:00"/>
    <d v="2021-10-11T00:00:00"/>
    <x v="3"/>
    <s v="India"/>
    <s v="Kerala"/>
    <s v="Delhi"/>
    <x v="1"/>
    <s v="Mobile"/>
    <s v="Spiral Notebook"/>
    <s v="Consumer"/>
    <n v="65912"/>
    <n v="0.39"/>
    <n v="5992"/>
    <n v="17"/>
    <s v="Debit Card"/>
    <s v="Low"/>
    <x v="0"/>
    <x v="9"/>
    <n v="4"/>
    <n v="8"/>
    <n v="9.0909090909090912E-2"/>
  </r>
  <r>
    <n v="10277"/>
    <d v="2021-10-04T00:00:00"/>
    <d v="2021-10-07T00:00:00"/>
    <d v="2021-10-12T00:00:00"/>
    <x v="3"/>
    <s v="India"/>
    <s v="Tamil Nadu"/>
    <s v="Bangalore"/>
    <x v="2"/>
    <s v="Pen"/>
    <s v="Dining Table"/>
    <s v="Corporate"/>
    <n v="15638"/>
    <n v="0.1"/>
    <n v="18828"/>
    <n v="14"/>
    <s v="Net Banking"/>
    <s v="Low"/>
    <x v="0"/>
    <x v="9"/>
    <n v="3"/>
    <n v="8"/>
    <n v="1.2039902800869677"/>
  </r>
  <r>
    <n v="10278"/>
    <d v="2021-10-05T00:00:00"/>
    <d v="2021-10-12T00:00:00"/>
    <d v="2021-10-13T00:00:00"/>
    <x v="1"/>
    <s v="India"/>
    <s v="Kerala"/>
    <s v="Bangalore"/>
    <x v="1"/>
    <s v="Mobile"/>
    <s v="Dining Table"/>
    <s v="Corporate"/>
    <n v="65769"/>
    <n v="0"/>
    <n v="1604"/>
    <n v="20"/>
    <s v="Cash"/>
    <s v="Medium"/>
    <x v="0"/>
    <x v="9"/>
    <n v="7"/>
    <n v="8"/>
    <n v="2.4388389666864328E-2"/>
  </r>
  <r>
    <n v="10279"/>
    <d v="2021-10-06T00:00:00"/>
    <d v="2021-10-13T00:00:00"/>
    <d v="2021-10-14T00:00:00"/>
    <x v="3"/>
    <s v="India"/>
    <s v="Telangana"/>
    <s v="Bangalore"/>
    <x v="1"/>
    <s v="Laptop"/>
    <s v="Smartphone"/>
    <s v="Consumer"/>
    <n v="45333"/>
    <n v="0.2"/>
    <n v="4440"/>
    <n v="10"/>
    <s v="Credit Card"/>
    <s v="Low"/>
    <x v="0"/>
    <x v="9"/>
    <n v="7"/>
    <n v="8"/>
    <n v="9.7941896631592876E-2"/>
  </r>
  <r>
    <n v="10280"/>
    <d v="2021-10-07T00:00:00"/>
    <d v="2021-10-11T00:00:00"/>
    <d v="2021-10-16T00:00:00"/>
    <x v="0"/>
    <s v="India"/>
    <s v="Telangana"/>
    <s v="Chennai"/>
    <x v="1"/>
    <s v="Notebook"/>
    <s v="Dining Table"/>
    <s v="Consumer"/>
    <n v="41425"/>
    <n v="0.34"/>
    <n v="2992"/>
    <n v="21"/>
    <s v="Debit Card"/>
    <s v="Low"/>
    <x v="0"/>
    <x v="9"/>
    <n v="4"/>
    <n v="9"/>
    <n v="7.2226916113458051E-2"/>
  </r>
  <r>
    <n v="10281"/>
    <d v="2021-10-08T00:00:00"/>
    <d v="2021-10-10T00:00:00"/>
    <d v="2021-10-15T00:00:00"/>
    <x v="1"/>
    <s v="India"/>
    <s v="Maharashtra"/>
    <s v="Delhi"/>
    <x v="2"/>
    <s v="Mobile"/>
    <s v="Smartphone"/>
    <s v="Home Office"/>
    <n v="18291"/>
    <n v="0.38"/>
    <n v="2957"/>
    <n v="6"/>
    <s v="Net Banking"/>
    <s v="Medium"/>
    <x v="0"/>
    <x v="9"/>
    <n v="2"/>
    <n v="7"/>
    <n v="0.16166420644032584"/>
  </r>
  <r>
    <n v="10282"/>
    <d v="2021-10-09T00:00:00"/>
    <d v="2021-10-12T00:00:00"/>
    <d v="2021-10-13T00:00:00"/>
    <x v="1"/>
    <s v="India"/>
    <s v="Kerala"/>
    <s v="Mumbai"/>
    <x v="1"/>
    <s v="Notebook"/>
    <s v="Office Chair"/>
    <s v="Consumer"/>
    <n v="66031"/>
    <n v="0.26"/>
    <n v="-1861"/>
    <n v="24"/>
    <s v="Debit Card"/>
    <s v="Low"/>
    <x v="0"/>
    <x v="9"/>
    <n v="3"/>
    <n v="4"/>
    <n v="-2.8183731883509262E-2"/>
  </r>
  <r>
    <n v="10283"/>
    <d v="2021-10-10T00:00:00"/>
    <d v="2021-10-13T00:00:00"/>
    <d v="2021-10-14T00:00:00"/>
    <x v="0"/>
    <s v="India"/>
    <s v="Telangana"/>
    <s v="Kochi"/>
    <x v="0"/>
    <s v="Table"/>
    <s v="Spiral Notebook"/>
    <s v="Corporate"/>
    <n v="45090"/>
    <n v="0.06"/>
    <n v="10082"/>
    <n v="24"/>
    <s v="Net Banking"/>
    <s v="Medium"/>
    <x v="0"/>
    <x v="9"/>
    <n v="3"/>
    <n v="4"/>
    <n v="0.22359724994455532"/>
  </r>
  <r>
    <n v="10284"/>
    <d v="2021-10-11T00:00:00"/>
    <d v="2021-10-14T00:00:00"/>
    <d v="2021-10-18T00:00:00"/>
    <x v="2"/>
    <s v="India"/>
    <s v="Delhi"/>
    <s v="Chennai"/>
    <x v="2"/>
    <s v="Pen"/>
    <s v="Laser Printer"/>
    <s v="Home Office"/>
    <n v="26320"/>
    <n v="0.22"/>
    <n v="13134"/>
    <n v="3"/>
    <s v="Net Banking"/>
    <s v="Critical"/>
    <x v="0"/>
    <x v="9"/>
    <n v="3"/>
    <n v="7"/>
    <n v="0.49901215805471122"/>
  </r>
  <r>
    <n v="10285"/>
    <d v="2021-10-12T00:00:00"/>
    <d v="2021-10-18T00:00:00"/>
    <d v="2021-10-23T00:00:00"/>
    <x v="1"/>
    <s v="India"/>
    <s v="Maharashtra"/>
    <s v="Hyderabad"/>
    <x v="1"/>
    <s v="Chair"/>
    <s v="Smartphone"/>
    <s v="Corporate"/>
    <n v="64159"/>
    <n v="0.01"/>
    <n v="19131"/>
    <n v="10"/>
    <s v="Cash"/>
    <s v="Critical"/>
    <x v="0"/>
    <x v="9"/>
    <n v="6"/>
    <n v="11"/>
    <n v="0.29818108137595661"/>
  </r>
  <r>
    <n v="10286"/>
    <d v="2021-10-13T00:00:00"/>
    <d v="2021-10-19T00:00:00"/>
    <d v="2021-10-23T00:00:00"/>
    <x v="2"/>
    <s v="India"/>
    <s v="Delhi"/>
    <s v="Delhi"/>
    <x v="2"/>
    <s v="Pen"/>
    <s v="Office Chair"/>
    <s v="Corporate"/>
    <n v="45446"/>
    <n v="0.02"/>
    <n v="16719"/>
    <n v="15"/>
    <s v="Net Banking"/>
    <s v="Low"/>
    <x v="0"/>
    <x v="9"/>
    <n v="6"/>
    <n v="10"/>
    <n v="0.36788716278660388"/>
  </r>
  <r>
    <n v="10287"/>
    <d v="2021-10-14T00:00:00"/>
    <d v="2021-10-18T00:00:00"/>
    <d v="2021-10-22T00:00:00"/>
    <x v="1"/>
    <s v="India"/>
    <s v="Tamil Nadu"/>
    <s v="Hyderabad"/>
    <x v="0"/>
    <s v="Notebook"/>
    <s v="Smartphone"/>
    <s v="Corporate"/>
    <n v="43334"/>
    <n v="0.11"/>
    <n v="5971"/>
    <n v="20"/>
    <s v="UPI"/>
    <s v="Low"/>
    <x v="0"/>
    <x v="9"/>
    <n v="4"/>
    <n v="8"/>
    <n v="0.13779018784326394"/>
  </r>
  <r>
    <n v="10288"/>
    <d v="2021-10-15T00:00:00"/>
    <d v="2021-10-17T00:00:00"/>
    <d v="2021-10-18T00:00:00"/>
    <x v="3"/>
    <s v="India"/>
    <s v="Telangana"/>
    <s v="Hyderabad"/>
    <x v="1"/>
    <s v="Chair"/>
    <s v="Laser Printer"/>
    <s v="Home Office"/>
    <n v="56357"/>
    <n v="0.21"/>
    <n v="7613"/>
    <n v="2"/>
    <s v="Debit Card"/>
    <s v="Medium"/>
    <x v="0"/>
    <x v="9"/>
    <n v="2"/>
    <n v="3"/>
    <n v="0.13508526003868199"/>
  </r>
  <r>
    <n v="10289"/>
    <d v="2021-10-16T00:00:00"/>
    <d v="2021-10-18T00:00:00"/>
    <d v="2021-10-22T00:00:00"/>
    <x v="0"/>
    <s v="India"/>
    <s v="Kerala"/>
    <s v="Hyderabad"/>
    <x v="1"/>
    <s v="Laptop"/>
    <s v="Smartphone"/>
    <s v="Home Office"/>
    <n v="19190"/>
    <n v="0.02"/>
    <n v="10718"/>
    <n v="18"/>
    <s v="UPI"/>
    <s v="Low"/>
    <x v="0"/>
    <x v="9"/>
    <n v="2"/>
    <n v="6"/>
    <n v="0.55852006253256903"/>
  </r>
  <r>
    <n v="10290"/>
    <d v="2021-10-17T00:00:00"/>
    <d v="2021-10-22T00:00:00"/>
    <d v="2021-10-27T00:00:00"/>
    <x v="3"/>
    <s v="India"/>
    <s v="Maharashtra"/>
    <s v="Chennai"/>
    <x v="1"/>
    <s v="Table"/>
    <s v="Gel Pen"/>
    <s v="Corporate"/>
    <n v="6877"/>
    <n v="0.4"/>
    <n v="-1493"/>
    <n v="3"/>
    <s v="Credit Card"/>
    <s v="Medium"/>
    <x v="0"/>
    <x v="9"/>
    <n v="5"/>
    <n v="10"/>
    <n v="-0.21710047986040423"/>
  </r>
  <r>
    <n v="10291"/>
    <d v="2021-10-18T00:00:00"/>
    <d v="2021-10-20T00:00:00"/>
    <d v="2021-10-21T00:00:00"/>
    <x v="3"/>
    <s v="India"/>
    <s v="Telangana"/>
    <s v="Chennai"/>
    <x v="0"/>
    <s v="Notebook"/>
    <s v="Office Chair"/>
    <s v="Home Office"/>
    <n v="67015"/>
    <n v="0.24"/>
    <n v="12739"/>
    <n v="13"/>
    <s v="Debit Card"/>
    <s v="Low"/>
    <x v="0"/>
    <x v="9"/>
    <n v="2"/>
    <n v="3"/>
    <n v="0.19009177049914197"/>
  </r>
  <r>
    <n v="10292"/>
    <d v="2021-10-19T00:00:00"/>
    <d v="2021-10-24T00:00:00"/>
    <d v="2021-10-25T00:00:00"/>
    <x v="1"/>
    <s v="India"/>
    <s v="Delhi"/>
    <s v="Bangalore"/>
    <x v="0"/>
    <s v="Printer"/>
    <s v="Office Chair"/>
    <s v="Corporate"/>
    <n v="24906"/>
    <n v="7.0000000000000007E-2"/>
    <n v="299"/>
    <n v="22"/>
    <s v="Credit Card"/>
    <s v="Low"/>
    <x v="0"/>
    <x v="9"/>
    <n v="5"/>
    <n v="6"/>
    <n v="1.2005139323857704E-2"/>
  </r>
  <r>
    <n v="10293"/>
    <d v="2021-10-20T00:00:00"/>
    <d v="2021-10-25T00:00:00"/>
    <d v="2021-10-30T00:00:00"/>
    <x v="0"/>
    <s v="India"/>
    <s v="Delhi"/>
    <s v="Delhi"/>
    <x v="2"/>
    <s v="Pen"/>
    <s v="Gel Pen"/>
    <s v="Consumer"/>
    <n v="34553"/>
    <n v="0.03"/>
    <n v="11255"/>
    <n v="9"/>
    <s v="Cash"/>
    <s v="Medium"/>
    <x v="0"/>
    <x v="9"/>
    <n v="5"/>
    <n v="10"/>
    <n v="0.32573148496512605"/>
  </r>
  <r>
    <n v="10294"/>
    <d v="2021-10-21T00:00:00"/>
    <d v="2021-10-28T00:00:00"/>
    <d v="2021-10-31T00:00:00"/>
    <x v="2"/>
    <s v="India"/>
    <s v="Kerala"/>
    <s v="Kochi"/>
    <x v="1"/>
    <s v="Table"/>
    <s v="Gaming Laptop"/>
    <s v="Consumer"/>
    <n v="45624"/>
    <n v="0.14000000000000001"/>
    <n v="14990"/>
    <n v="12"/>
    <s v="Cash"/>
    <s v="Medium"/>
    <x v="0"/>
    <x v="9"/>
    <n v="7"/>
    <n v="10"/>
    <n v="0.328555146414168"/>
  </r>
  <r>
    <n v="10295"/>
    <d v="2021-10-22T00:00:00"/>
    <d v="2021-10-28T00:00:00"/>
    <d v="2021-10-30T00:00:00"/>
    <x v="0"/>
    <s v="India"/>
    <s v="Karnataka"/>
    <s v="Mumbai"/>
    <x v="2"/>
    <s v="Mobile"/>
    <s v="Office Chair"/>
    <s v="Consumer"/>
    <n v="23529"/>
    <n v="0.31"/>
    <n v="-61"/>
    <n v="4"/>
    <s v="Cash"/>
    <s v="Critical"/>
    <x v="0"/>
    <x v="9"/>
    <n v="6"/>
    <n v="8"/>
    <n v="-2.592545369543967E-3"/>
  </r>
  <r>
    <n v="10296"/>
    <d v="2021-10-23T00:00:00"/>
    <d v="2021-10-26T00:00:00"/>
    <d v="2021-10-30T00:00:00"/>
    <x v="1"/>
    <s v="India"/>
    <s v="Delhi"/>
    <s v="Delhi"/>
    <x v="0"/>
    <s v="Chair"/>
    <s v="Gaming Laptop"/>
    <s v="Corporate"/>
    <n v="41782"/>
    <n v="0.27"/>
    <n v="19575"/>
    <n v="21"/>
    <s v="Net Banking"/>
    <s v="Low"/>
    <x v="0"/>
    <x v="9"/>
    <n v="3"/>
    <n v="7"/>
    <n v="0.46850318318893303"/>
  </r>
  <r>
    <n v="10297"/>
    <d v="2021-10-24T00:00:00"/>
    <d v="2021-10-26T00:00:00"/>
    <d v="2021-10-29T00:00:00"/>
    <x v="3"/>
    <s v="India"/>
    <s v="Tamil Nadu"/>
    <s v="Delhi"/>
    <x v="1"/>
    <s v="Mobile"/>
    <s v="Spiral Notebook"/>
    <s v="Corporate"/>
    <n v="13493"/>
    <n v="0.02"/>
    <n v="-242"/>
    <n v="1"/>
    <s v="Cash"/>
    <s v="Low"/>
    <x v="0"/>
    <x v="9"/>
    <n v="2"/>
    <n v="5"/>
    <n v="-1.7935225672570963E-2"/>
  </r>
  <r>
    <n v="10298"/>
    <d v="2021-10-25T00:00:00"/>
    <d v="2021-10-29T00:00:00"/>
    <d v="2021-10-31T00:00:00"/>
    <x v="0"/>
    <s v="India"/>
    <s v="Maharashtra"/>
    <s v="Bangalore"/>
    <x v="2"/>
    <s v="Mobile"/>
    <s v="Spiral Notebook"/>
    <s v="Consumer"/>
    <n v="32287"/>
    <n v="7.0000000000000007E-2"/>
    <n v="5578"/>
    <n v="9"/>
    <s v="Credit Card"/>
    <s v="Critical"/>
    <x v="0"/>
    <x v="9"/>
    <n v="4"/>
    <n v="6"/>
    <n v="0.17276303156069006"/>
  </r>
  <r>
    <n v="10299"/>
    <d v="2021-10-26T00:00:00"/>
    <d v="2021-11-01T00:00:00"/>
    <d v="2021-11-02T00:00:00"/>
    <x v="1"/>
    <s v="India"/>
    <s v="Karnataka"/>
    <s v="Kochi"/>
    <x v="2"/>
    <s v="Pen"/>
    <s v="Gaming Laptop"/>
    <s v="Corporate"/>
    <n v="66152"/>
    <n v="0.39"/>
    <n v="2087"/>
    <n v="10"/>
    <s v="Credit Card"/>
    <s v="Critical"/>
    <x v="0"/>
    <x v="9"/>
    <n v="6"/>
    <n v="7"/>
    <n v="3.1548554843390982E-2"/>
  </r>
  <r>
    <n v="10300"/>
    <d v="2021-10-27T00:00:00"/>
    <d v="2021-11-03T00:00:00"/>
    <d v="2021-11-08T00:00:00"/>
    <x v="1"/>
    <s v="India"/>
    <s v="Telangana"/>
    <s v="Delhi"/>
    <x v="0"/>
    <s v="Table"/>
    <s v="Laser Printer"/>
    <s v="Home Office"/>
    <n v="19186"/>
    <n v="0.31"/>
    <n v="17773"/>
    <n v="1"/>
    <s v="Credit Card"/>
    <s v="Low"/>
    <x v="0"/>
    <x v="9"/>
    <n v="7"/>
    <n v="12"/>
    <n v="0.92635254873345152"/>
  </r>
  <r>
    <n v="10301"/>
    <d v="2021-10-28T00:00:00"/>
    <d v="2021-10-31T00:00:00"/>
    <d v="2021-11-03T00:00:00"/>
    <x v="1"/>
    <s v="India"/>
    <s v="Delhi"/>
    <s v="Hyderabad"/>
    <x v="0"/>
    <s v="Chair"/>
    <s v="Gaming Laptop"/>
    <s v="Home Office"/>
    <n v="50662"/>
    <n v="0.15"/>
    <n v="3483"/>
    <n v="14"/>
    <s v="Credit Card"/>
    <s v="Critical"/>
    <x v="0"/>
    <x v="9"/>
    <n v="3"/>
    <n v="6"/>
    <n v="6.8749753266748259E-2"/>
  </r>
  <r>
    <n v="10302"/>
    <d v="2021-10-29T00:00:00"/>
    <d v="2021-11-04T00:00:00"/>
    <d v="2021-11-09T00:00:00"/>
    <x v="1"/>
    <s v="India"/>
    <s v="Delhi"/>
    <s v="Mumbai"/>
    <x v="2"/>
    <s v="Table"/>
    <s v="Gaming Laptop"/>
    <s v="Corporate"/>
    <n v="10356"/>
    <n v="0.27"/>
    <n v="7485"/>
    <n v="16"/>
    <s v="Net Banking"/>
    <s v="High"/>
    <x v="0"/>
    <x v="9"/>
    <n v="6"/>
    <n v="11"/>
    <n v="0.72276940903823872"/>
  </r>
  <r>
    <n v="10303"/>
    <d v="2021-10-30T00:00:00"/>
    <d v="2021-11-02T00:00:00"/>
    <d v="2021-11-06T00:00:00"/>
    <x v="2"/>
    <s v="India"/>
    <s v="Tamil Nadu"/>
    <s v="Chennai"/>
    <x v="2"/>
    <s v="Laptop"/>
    <s v="Smartphone"/>
    <s v="Consumer"/>
    <n v="26977"/>
    <n v="0.21"/>
    <n v="9877"/>
    <n v="16"/>
    <s v="Cash"/>
    <s v="Low"/>
    <x v="0"/>
    <x v="9"/>
    <n v="3"/>
    <n v="7"/>
    <n v="0.36612670052266744"/>
  </r>
  <r>
    <n v="10304"/>
    <d v="2021-10-31T00:00:00"/>
    <d v="2021-11-02T00:00:00"/>
    <d v="2021-11-05T00:00:00"/>
    <x v="3"/>
    <s v="India"/>
    <s v="Maharashtra"/>
    <s v="Kochi"/>
    <x v="2"/>
    <s v="Printer"/>
    <s v="Spiral Notebook"/>
    <s v="Consumer"/>
    <n v="54071"/>
    <n v="0.03"/>
    <n v="7753"/>
    <n v="15"/>
    <s v="Cash"/>
    <s v="Medium"/>
    <x v="0"/>
    <x v="9"/>
    <n v="2"/>
    <n v="5"/>
    <n v="0.14338554863050434"/>
  </r>
  <r>
    <n v="10305"/>
    <d v="2021-11-01T00:00:00"/>
    <d v="2021-11-07T00:00:00"/>
    <d v="2021-11-09T00:00:00"/>
    <x v="1"/>
    <s v="India"/>
    <s v="Delhi"/>
    <s v="Kochi"/>
    <x v="0"/>
    <s v="Chair"/>
    <s v="Laser Printer"/>
    <s v="Corporate"/>
    <n v="48018"/>
    <n v="0.24"/>
    <n v="11878"/>
    <n v="4"/>
    <s v="UPI"/>
    <s v="Low"/>
    <x v="0"/>
    <x v="10"/>
    <n v="6"/>
    <n v="8"/>
    <n v="0.24736557124411679"/>
  </r>
  <r>
    <n v="10306"/>
    <d v="2021-11-02T00:00:00"/>
    <d v="2021-11-06T00:00:00"/>
    <d v="2021-11-10T00:00:00"/>
    <x v="3"/>
    <s v="India"/>
    <s v="Maharashtra"/>
    <s v="Bangalore"/>
    <x v="0"/>
    <s v="Notebook"/>
    <s v="Spiral Notebook"/>
    <s v="Corporate"/>
    <n v="67876"/>
    <n v="0.19"/>
    <n v="19020"/>
    <n v="15"/>
    <s v="Debit Card"/>
    <s v="High"/>
    <x v="0"/>
    <x v="10"/>
    <n v="4"/>
    <n v="8"/>
    <n v="0.28021686604985563"/>
  </r>
  <r>
    <n v="10307"/>
    <d v="2021-11-03T00:00:00"/>
    <d v="2021-11-08T00:00:00"/>
    <d v="2021-11-10T00:00:00"/>
    <x v="1"/>
    <s v="India"/>
    <s v="Maharashtra"/>
    <s v="Hyderabad"/>
    <x v="0"/>
    <s v="Mobile"/>
    <s v="Office Chair"/>
    <s v="Home Office"/>
    <n v="52746"/>
    <n v="0.25"/>
    <n v="19520"/>
    <n v="8"/>
    <s v="Cash"/>
    <s v="Medium"/>
    <x v="0"/>
    <x v="10"/>
    <n v="5"/>
    <n v="7"/>
    <n v="0.37007545595874569"/>
  </r>
  <r>
    <n v="10308"/>
    <d v="2021-11-04T00:00:00"/>
    <d v="2021-11-08T00:00:00"/>
    <d v="2021-11-09T00:00:00"/>
    <x v="0"/>
    <s v="India"/>
    <s v="Telangana"/>
    <s v="Delhi"/>
    <x v="1"/>
    <s v="Pen"/>
    <s v="Gel Pen"/>
    <s v="Corporate"/>
    <n v="70577"/>
    <n v="0.38"/>
    <n v="4842"/>
    <n v="18"/>
    <s v="Credit Card"/>
    <s v="Critical"/>
    <x v="0"/>
    <x v="10"/>
    <n v="4"/>
    <n v="5"/>
    <n v="6.8605919775564281E-2"/>
  </r>
  <r>
    <n v="10309"/>
    <d v="2021-11-05T00:00:00"/>
    <d v="2021-11-12T00:00:00"/>
    <d v="2021-11-14T00:00:00"/>
    <x v="0"/>
    <s v="India"/>
    <s v="Maharashtra"/>
    <s v="Bangalore"/>
    <x v="1"/>
    <s v="Laptop"/>
    <s v="Spiral Notebook"/>
    <s v="Home Office"/>
    <n v="59839"/>
    <n v="0.01"/>
    <n v="-249"/>
    <n v="18"/>
    <s v="Credit Card"/>
    <s v="Low"/>
    <x v="0"/>
    <x v="10"/>
    <n v="7"/>
    <n v="9"/>
    <n v="-4.161165794882936E-3"/>
  </r>
  <r>
    <n v="10310"/>
    <d v="2021-11-06T00:00:00"/>
    <d v="2021-11-10T00:00:00"/>
    <d v="2021-11-13T00:00:00"/>
    <x v="2"/>
    <s v="India"/>
    <s v="Kerala"/>
    <s v="Delhi"/>
    <x v="1"/>
    <s v="Table"/>
    <s v="Laser Printer"/>
    <s v="Consumer"/>
    <n v="44795"/>
    <n v="0.08"/>
    <n v="8909"/>
    <n v="18"/>
    <s v="Net Banking"/>
    <s v="Low"/>
    <x v="0"/>
    <x v="10"/>
    <n v="4"/>
    <n v="7"/>
    <n v="0.19888380399598168"/>
  </r>
  <r>
    <n v="10311"/>
    <d v="2021-11-07T00:00:00"/>
    <d v="2021-11-13T00:00:00"/>
    <d v="2021-11-17T00:00:00"/>
    <x v="2"/>
    <s v="India"/>
    <s v="Kerala"/>
    <s v="Kochi"/>
    <x v="0"/>
    <s v="Notebook"/>
    <s v="Smartphone"/>
    <s v="Home Office"/>
    <n v="59085"/>
    <n v="7.0000000000000007E-2"/>
    <n v="11837"/>
    <n v="3"/>
    <s v="UPI"/>
    <s v="Medium"/>
    <x v="0"/>
    <x v="10"/>
    <n v="6"/>
    <n v="10"/>
    <n v="0.20033849538800033"/>
  </r>
  <r>
    <n v="10312"/>
    <d v="2021-11-08T00:00:00"/>
    <d v="2021-11-12T00:00:00"/>
    <d v="2021-11-14T00:00:00"/>
    <x v="1"/>
    <s v="India"/>
    <s v="Karnataka"/>
    <s v="Kochi"/>
    <x v="2"/>
    <s v="Chair"/>
    <s v="Smartphone"/>
    <s v="Consumer"/>
    <n v="10295"/>
    <n v="0.38"/>
    <n v="16420"/>
    <n v="2"/>
    <s v="Debit Card"/>
    <s v="Critical"/>
    <x v="0"/>
    <x v="10"/>
    <n v="4"/>
    <n v="6"/>
    <n v="1.5949490043710539"/>
  </r>
  <r>
    <n v="10313"/>
    <d v="2021-11-09T00:00:00"/>
    <d v="2021-11-16T00:00:00"/>
    <d v="2021-11-21T00:00:00"/>
    <x v="2"/>
    <s v="India"/>
    <s v="Karnataka"/>
    <s v="Kochi"/>
    <x v="1"/>
    <s v="Laptop"/>
    <s v="Gel Pen"/>
    <s v="Consumer"/>
    <n v="12656"/>
    <n v="0.35"/>
    <n v="2220"/>
    <n v="10"/>
    <s v="Credit Card"/>
    <s v="Critical"/>
    <x v="0"/>
    <x v="10"/>
    <n v="7"/>
    <n v="12"/>
    <n v="0.17541087231352717"/>
  </r>
  <r>
    <n v="10314"/>
    <d v="2021-11-10T00:00:00"/>
    <d v="2021-11-13T00:00:00"/>
    <d v="2021-11-16T00:00:00"/>
    <x v="0"/>
    <s v="India"/>
    <s v="Tamil Nadu"/>
    <s v="Chennai"/>
    <x v="0"/>
    <s v="Notebook"/>
    <s v="Gaming Laptop"/>
    <s v="Consumer"/>
    <n v="48556"/>
    <n v="0.25"/>
    <n v="10624"/>
    <n v="24"/>
    <s v="Net Banking"/>
    <s v="Medium"/>
    <x v="0"/>
    <x v="10"/>
    <n v="3"/>
    <n v="6"/>
    <n v="0.21879891259576573"/>
  </r>
  <r>
    <n v="10315"/>
    <d v="2021-11-11T00:00:00"/>
    <d v="2021-11-15T00:00:00"/>
    <d v="2021-11-17T00:00:00"/>
    <x v="3"/>
    <s v="India"/>
    <s v="Delhi"/>
    <s v="Kochi"/>
    <x v="2"/>
    <s v="Chair"/>
    <s v="Smartphone"/>
    <s v="Consumer"/>
    <n v="16147"/>
    <n v="0.26"/>
    <n v="9386"/>
    <n v="11"/>
    <s v="Cash"/>
    <s v="Critical"/>
    <x v="0"/>
    <x v="10"/>
    <n v="4"/>
    <n v="6"/>
    <n v="0.58128444912367627"/>
  </r>
  <r>
    <n v="10316"/>
    <d v="2021-11-12T00:00:00"/>
    <d v="2021-11-16T00:00:00"/>
    <d v="2021-11-21T00:00:00"/>
    <x v="1"/>
    <s v="India"/>
    <s v="Kerala"/>
    <s v="Bangalore"/>
    <x v="0"/>
    <s v="Pen"/>
    <s v="Dining Table"/>
    <s v="Home Office"/>
    <n v="6554"/>
    <n v="0.12"/>
    <n v="13570"/>
    <n v="22"/>
    <s v="Cash"/>
    <s v="High"/>
    <x v="0"/>
    <x v="10"/>
    <n v="4"/>
    <n v="9"/>
    <n v="2.0704913030210559"/>
  </r>
  <r>
    <n v="10317"/>
    <d v="2021-11-13T00:00:00"/>
    <d v="2021-11-18T00:00:00"/>
    <d v="2021-11-20T00:00:00"/>
    <x v="1"/>
    <s v="India"/>
    <s v="Kerala"/>
    <s v="Bangalore"/>
    <x v="0"/>
    <s v="Chair"/>
    <s v="Smartphone"/>
    <s v="Home Office"/>
    <n v="32206"/>
    <n v="0.28000000000000003"/>
    <n v="15497"/>
    <n v="10"/>
    <s v="UPI"/>
    <s v="Low"/>
    <x v="0"/>
    <x v="10"/>
    <n v="5"/>
    <n v="7"/>
    <n v="0.4811836303794324"/>
  </r>
  <r>
    <n v="10318"/>
    <d v="2021-11-14T00:00:00"/>
    <d v="2021-11-20T00:00:00"/>
    <d v="2021-11-22T00:00:00"/>
    <x v="1"/>
    <s v="India"/>
    <s v="Karnataka"/>
    <s v="Hyderabad"/>
    <x v="2"/>
    <s v="Mobile"/>
    <s v="Gaming Laptop"/>
    <s v="Corporate"/>
    <n v="30533"/>
    <n v="0.31"/>
    <n v="13122"/>
    <n v="18"/>
    <s v="Credit Card"/>
    <s v="Medium"/>
    <x v="0"/>
    <x v="10"/>
    <n v="6"/>
    <n v="8"/>
    <n v="0.42976451707988078"/>
  </r>
  <r>
    <n v="10319"/>
    <d v="2021-11-15T00:00:00"/>
    <d v="2021-11-18T00:00:00"/>
    <d v="2021-11-23T00:00:00"/>
    <x v="2"/>
    <s v="India"/>
    <s v="Delhi"/>
    <s v="Hyderabad"/>
    <x v="1"/>
    <s v="Table"/>
    <s v="Laser Printer"/>
    <s v="Corporate"/>
    <n v="23293"/>
    <n v="0.17"/>
    <n v="9738"/>
    <n v="22"/>
    <s v="Debit Card"/>
    <s v="Medium"/>
    <x v="0"/>
    <x v="10"/>
    <n v="3"/>
    <n v="8"/>
    <n v="0.41806551324432234"/>
  </r>
  <r>
    <n v="10320"/>
    <d v="2021-11-16T00:00:00"/>
    <d v="2021-11-23T00:00:00"/>
    <d v="2021-11-25T00:00:00"/>
    <x v="1"/>
    <s v="India"/>
    <s v="Kerala"/>
    <s v="Kochi"/>
    <x v="0"/>
    <s v="Pen"/>
    <s v="Office Chair"/>
    <s v="Corporate"/>
    <n v="71969"/>
    <n v="0.02"/>
    <n v="-671"/>
    <n v="23"/>
    <s v="Cash"/>
    <s v="High"/>
    <x v="0"/>
    <x v="10"/>
    <n v="7"/>
    <n v="9"/>
    <n v="-9.3234587113896258E-3"/>
  </r>
  <r>
    <n v="10321"/>
    <d v="2021-11-17T00:00:00"/>
    <d v="2021-11-22T00:00:00"/>
    <d v="2021-11-24T00:00:00"/>
    <x v="0"/>
    <s v="India"/>
    <s v="Delhi"/>
    <s v="Bangalore"/>
    <x v="2"/>
    <s v="Laptop"/>
    <s v="Smartphone"/>
    <s v="Home Office"/>
    <n v="61172"/>
    <n v="0.19"/>
    <n v="8840"/>
    <n v="13"/>
    <s v="Debit Card"/>
    <s v="High"/>
    <x v="0"/>
    <x v="10"/>
    <n v="5"/>
    <n v="7"/>
    <n v="0.14451056038710522"/>
  </r>
  <r>
    <n v="10322"/>
    <d v="2021-11-18T00:00:00"/>
    <d v="2021-11-22T00:00:00"/>
    <d v="2021-11-25T00:00:00"/>
    <x v="2"/>
    <s v="India"/>
    <s v="Delhi"/>
    <s v="Bangalore"/>
    <x v="1"/>
    <s v="Pen"/>
    <s v="Gel Pen"/>
    <s v="Consumer"/>
    <n v="21259"/>
    <n v="0.36"/>
    <n v="19836"/>
    <n v="17"/>
    <s v="Debit Card"/>
    <s v="Medium"/>
    <x v="0"/>
    <x v="10"/>
    <n v="4"/>
    <n v="7"/>
    <n v="0.93306364363328476"/>
  </r>
  <r>
    <n v="10323"/>
    <d v="2021-11-19T00:00:00"/>
    <d v="2021-11-23T00:00:00"/>
    <d v="2021-11-27T00:00:00"/>
    <x v="2"/>
    <s v="India"/>
    <s v="Delhi"/>
    <s v="Delhi"/>
    <x v="2"/>
    <s v="Laptop"/>
    <s v="Spiral Notebook"/>
    <s v="Corporate"/>
    <n v="18284"/>
    <n v="0.33"/>
    <n v="12085"/>
    <n v="10"/>
    <s v="Cash"/>
    <s v="Medium"/>
    <x v="0"/>
    <x v="10"/>
    <n v="4"/>
    <n v="8"/>
    <n v="0.66096040253773791"/>
  </r>
  <r>
    <n v="10324"/>
    <d v="2021-11-20T00:00:00"/>
    <d v="2021-11-22T00:00:00"/>
    <d v="2021-11-23T00:00:00"/>
    <x v="2"/>
    <s v="India"/>
    <s v="Tamil Nadu"/>
    <s v="Kochi"/>
    <x v="1"/>
    <s v="Chair"/>
    <s v="Smartphone"/>
    <s v="Home Office"/>
    <n v="34933"/>
    <n v="0.28999999999999998"/>
    <n v="11608"/>
    <n v="19"/>
    <s v="Cash"/>
    <s v="High"/>
    <x v="0"/>
    <x v="10"/>
    <n v="2"/>
    <n v="3"/>
    <n v="0.33229324707296826"/>
  </r>
  <r>
    <n v="10325"/>
    <d v="2021-11-21T00:00:00"/>
    <d v="2021-11-27T00:00:00"/>
    <d v="2021-11-28T00:00:00"/>
    <x v="3"/>
    <s v="India"/>
    <s v="Delhi"/>
    <s v="Kochi"/>
    <x v="0"/>
    <s v="Table"/>
    <s v="Gaming Laptop"/>
    <s v="Home Office"/>
    <n v="3951"/>
    <n v="0.06"/>
    <n v="1015"/>
    <n v="15"/>
    <s v="UPI"/>
    <s v="High"/>
    <x v="0"/>
    <x v="10"/>
    <n v="6"/>
    <n v="7"/>
    <n v="0.25689698810427741"/>
  </r>
  <r>
    <n v="10326"/>
    <d v="2021-11-22T00:00:00"/>
    <d v="2021-11-26T00:00:00"/>
    <d v="2021-11-30T00:00:00"/>
    <x v="3"/>
    <s v="India"/>
    <s v="Tamil Nadu"/>
    <s v="Kochi"/>
    <x v="1"/>
    <s v="Notebook"/>
    <s v="Spiral Notebook"/>
    <s v="Consumer"/>
    <n v="19873"/>
    <n v="0.28000000000000003"/>
    <n v="-158"/>
    <n v="20"/>
    <s v="Debit Card"/>
    <s v="Medium"/>
    <x v="0"/>
    <x v="10"/>
    <n v="4"/>
    <n v="8"/>
    <n v="-7.9504855834549391E-3"/>
  </r>
  <r>
    <n v="10327"/>
    <d v="2021-11-23T00:00:00"/>
    <d v="2021-11-27T00:00:00"/>
    <d v="2021-12-02T00:00:00"/>
    <x v="1"/>
    <s v="India"/>
    <s v="Kerala"/>
    <s v="Chennai"/>
    <x v="2"/>
    <s v="Notebook"/>
    <s v="Laser Printer"/>
    <s v="Corporate"/>
    <n v="68060"/>
    <n v="0.12"/>
    <n v="9933"/>
    <n v="19"/>
    <s v="UPI"/>
    <s v="High"/>
    <x v="0"/>
    <x v="10"/>
    <n v="4"/>
    <n v="9"/>
    <n v="0.14594475462826917"/>
  </r>
  <r>
    <n v="10328"/>
    <d v="2021-11-24T00:00:00"/>
    <d v="2021-11-28T00:00:00"/>
    <d v="2021-11-29T00:00:00"/>
    <x v="1"/>
    <s v="India"/>
    <s v="Delhi"/>
    <s v="Delhi"/>
    <x v="1"/>
    <s v="Laptop"/>
    <s v="Gel Pen"/>
    <s v="Consumer"/>
    <n v="29888"/>
    <n v="0.2"/>
    <n v="457"/>
    <n v="5"/>
    <s v="Debit Card"/>
    <s v="Critical"/>
    <x v="0"/>
    <x v="10"/>
    <n v="4"/>
    <n v="5"/>
    <n v="1.5290417558886509E-2"/>
  </r>
  <r>
    <n v="10329"/>
    <d v="2021-11-25T00:00:00"/>
    <d v="2021-11-30T00:00:00"/>
    <d v="2021-12-05T00:00:00"/>
    <x v="0"/>
    <s v="India"/>
    <s v="Maharashtra"/>
    <s v="Kochi"/>
    <x v="1"/>
    <s v="Chair"/>
    <s v="Office Chair"/>
    <s v="Home Office"/>
    <n v="43368"/>
    <n v="0.03"/>
    <n v="16314"/>
    <n v="12"/>
    <s v="Cash"/>
    <s v="Low"/>
    <x v="0"/>
    <x v="10"/>
    <n v="5"/>
    <n v="10"/>
    <n v="0.37617598229109023"/>
  </r>
  <r>
    <n v="10330"/>
    <d v="2021-11-26T00:00:00"/>
    <d v="2021-12-02T00:00:00"/>
    <d v="2021-12-03T00:00:00"/>
    <x v="0"/>
    <s v="India"/>
    <s v="Delhi"/>
    <s v="Chennai"/>
    <x v="0"/>
    <s v="Notebook"/>
    <s v="Spiral Notebook"/>
    <s v="Corporate"/>
    <n v="56659"/>
    <n v="0.06"/>
    <n v="10850"/>
    <n v="18"/>
    <s v="Debit Card"/>
    <s v="Low"/>
    <x v="0"/>
    <x v="10"/>
    <n v="6"/>
    <n v="7"/>
    <n v="0.19149649658483206"/>
  </r>
  <r>
    <n v="10331"/>
    <d v="2021-11-27T00:00:00"/>
    <d v="2021-12-02T00:00:00"/>
    <d v="2021-12-03T00:00:00"/>
    <x v="1"/>
    <s v="India"/>
    <s v="Kerala"/>
    <s v="Chennai"/>
    <x v="1"/>
    <s v="Table"/>
    <s v="Office Chair"/>
    <s v="Corporate"/>
    <n v="7912"/>
    <n v="0.01"/>
    <n v="-1030"/>
    <n v="6"/>
    <s v="Cash"/>
    <s v="Low"/>
    <x v="0"/>
    <x v="10"/>
    <n v="5"/>
    <n v="6"/>
    <n v="-0.1301820020222447"/>
  </r>
  <r>
    <n v="10332"/>
    <d v="2021-11-28T00:00:00"/>
    <d v="2021-11-30T00:00:00"/>
    <d v="2021-12-04T00:00:00"/>
    <x v="0"/>
    <s v="India"/>
    <s v="Tamil Nadu"/>
    <s v="Kochi"/>
    <x v="2"/>
    <s v="Notebook"/>
    <s v="Smartphone"/>
    <s v="Consumer"/>
    <n v="40782"/>
    <n v="0.1"/>
    <n v="4213"/>
    <n v="16"/>
    <s v="Net Banking"/>
    <s v="Critical"/>
    <x v="0"/>
    <x v="10"/>
    <n v="2"/>
    <n v="6"/>
    <n v="0.10330537982443234"/>
  </r>
  <r>
    <n v="10333"/>
    <d v="2021-11-29T00:00:00"/>
    <d v="2021-12-06T00:00:00"/>
    <d v="2021-12-08T00:00:00"/>
    <x v="3"/>
    <s v="India"/>
    <s v="Delhi"/>
    <s v="Bangalore"/>
    <x v="1"/>
    <s v="Chair"/>
    <s v="Gaming Laptop"/>
    <s v="Corporate"/>
    <n v="62413"/>
    <n v="0.17"/>
    <n v="-32"/>
    <n v="17"/>
    <s v="Net Banking"/>
    <s v="Low"/>
    <x v="0"/>
    <x v="10"/>
    <n v="7"/>
    <n v="9"/>
    <n v="-5.127136974668739E-4"/>
  </r>
  <r>
    <n v="10334"/>
    <d v="2021-11-30T00:00:00"/>
    <d v="2021-12-03T00:00:00"/>
    <d v="2021-12-08T00:00:00"/>
    <x v="3"/>
    <s v="India"/>
    <s v="Delhi"/>
    <s v="Delhi"/>
    <x v="0"/>
    <s v="Chair"/>
    <s v="Office Chair"/>
    <s v="Home Office"/>
    <n v="38224"/>
    <n v="0.02"/>
    <n v="11053"/>
    <n v="19"/>
    <s v="Cash"/>
    <s v="Medium"/>
    <x v="0"/>
    <x v="10"/>
    <n v="3"/>
    <n v="8"/>
    <n v="0.28916387609878608"/>
  </r>
  <r>
    <n v="10335"/>
    <d v="2021-12-01T00:00:00"/>
    <d v="2021-12-05T00:00:00"/>
    <d v="2021-12-08T00:00:00"/>
    <x v="1"/>
    <s v="India"/>
    <s v="Tamil Nadu"/>
    <s v="Mumbai"/>
    <x v="0"/>
    <s v="Pen"/>
    <s v="Smartphone"/>
    <s v="Consumer"/>
    <n v="63690"/>
    <n v="0.35"/>
    <n v="8962"/>
    <n v="12"/>
    <s v="Net Banking"/>
    <s v="High"/>
    <x v="0"/>
    <x v="11"/>
    <n v="4"/>
    <n v="7"/>
    <n v="0.1407128277594599"/>
  </r>
  <r>
    <n v="10336"/>
    <d v="2021-12-02T00:00:00"/>
    <d v="2021-12-04T00:00:00"/>
    <d v="2021-12-09T00:00:00"/>
    <x v="3"/>
    <s v="India"/>
    <s v="Delhi"/>
    <s v="Chennai"/>
    <x v="2"/>
    <s v="Laptop"/>
    <s v="Smartphone"/>
    <s v="Home Office"/>
    <n v="22432"/>
    <n v="7.0000000000000007E-2"/>
    <n v="11165"/>
    <n v="13"/>
    <s v="Net Banking"/>
    <s v="Medium"/>
    <x v="0"/>
    <x v="11"/>
    <n v="2"/>
    <n v="7"/>
    <n v="0.49772646219686162"/>
  </r>
  <r>
    <n v="10337"/>
    <d v="2021-12-03T00:00:00"/>
    <d v="2021-12-09T00:00:00"/>
    <d v="2021-12-11T00:00:00"/>
    <x v="0"/>
    <s v="India"/>
    <s v="Kerala"/>
    <s v="Mumbai"/>
    <x v="1"/>
    <s v="Table"/>
    <s v="Smartphone"/>
    <s v="Corporate"/>
    <n v="42419"/>
    <n v="0.26"/>
    <n v="9457"/>
    <n v="20"/>
    <s v="Net Banking"/>
    <s v="Critical"/>
    <x v="0"/>
    <x v="11"/>
    <n v="6"/>
    <n v="8"/>
    <n v="0.22294254932930999"/>
  </r>
  <r>
    <n v="10338"/>
    <d v="2021-12-04T00:00:00"/>
    <d v="2021-12-09T00:00:00"/>
    <d v="2021-12-11T00:00:00"/>
    <x v="3"/>
    <s v="India"/>
    <s v="Maharashtra"/>
    <s v="Chennai"/>
    <x v="0"/>
    <s v="Notebook"/>
    <s v="Smartphone"/>
    <s v="Corporate"/>
    <n v="70422"/>
    <n v="0.15"/>
    <n v="-762"/>
    <n v="11"/>
    <s v="Cash"/>
    <s v="Low"/>
    <x v="0"/>
    <x v="11"/>
    <n v="5"/>
    <n v="7"/>
    <n v="-1.082048223566499E-2"/>
  </r>
  <r>
    <n v="10339"/>
    <d v="2021-12-05T00:00:00"/>
    <d v="2021-12-08T00:00:00"/>
    <d v="2021-12-12T00:00:00"/>
    <x v="3"/>
    <s v="India"/>
    <s v="Karnataka"/>
    <s v="Chennai"/>
    <x v="0"/>
    <s v="Mobile"/>
    <s v="Spiral Notebook"/>
    <s v="Corporate"/>
    <n v="58263"/>
    <n v="0.25"/>
    <n v="-881"/>
    <n v="12"/>
    <s v="Cash"/>
    <s v="Low"/>
    <x v="0"/>
    <x v="11"/>
    <n v="3"/>
    <n v="7"/>
    <n v="-1.5121088855706023E-2"/>
  </r>
  <r>
    <n v="10340"/>
    <d v="2021-12-06T00:00:00"/>
    <d v="2021-12-08T00:00:00"/>
    <d v="2021-12-09T00:00:00"/>
    <x v="2"/>
    <s v="India"/>
    <s v="Karnataka"/>
    <s v="Bangalore"/>
    <x v="1"/>
    <s v="Printer"/>
    <s v="Smartphone"/>
    <s v="Corporate"/>
    <n v="11584"/>
    <n v="0.01"/>
    <n v="6242"/>
    <n v="4"/>
    <s v="Debit Card"/>
    <s v="Critical"/>
    <x v="0"/>
    <x v="11"/>
    <n v="2"/>
    <n v="3"/>
    <n v="0.53884668508287292"/>
  </r>
  <r>
    <n v="10341"/>
    <d v="2021-12-07T00:00:00"/>
    <d v="2021-12-10T00:00:00"/>
    <d v="2021-12-11T00:00:00"/>
    <x v="0"/>
    <s v="India"/>
    <s v="Telangana"/>
    <s v="Hyderabad"/>
    <x v="2"/>
    <s v="Notebook"/>
    <s v="Gel Pen"/>
    <s v="Home Office"/>
    <n v="5664"/>
    <n v="0.04"/>
    <n v="12982"/>
    <n v="2"/>
    <s v="Credit Card"/>
    <s v="Low"/>
    <x v="0"/>
    <x v="11"/>
    <n v="3"/>
    <n v="4"/>
    <n v="2.2920197740112993"/>
  </r>
  <r>
    <n v="10342"/>
    <d v="2021-12-08T00:00:00"/>
    <d v="2021-12-14T00:00:00"/>
    <d v="2021-12-16T00:00:00"/>
    <x v="2"/>
    <s v="India"/>
    <s v="Delhi"/>
    <s v="Hyderabad"/>
    <x v="1"/>
    <s v="Mobile"/>
    <s v="Office Chair"/>
    <s v="Consumer"/>
    <n v="31653"/>
    <n v="0.3"/>
    <n v="993"/>
    <n v="22"/>
    <s v="Debit Card"/>
    <s v="Critical"/>
    <x v="0"/>
    <x v="11"/>
    <n v="6"/>
    <n v="8"/>
    <n v="3.1371433987299781E-2"/>
  </r>
  <r>
    <n v="10343"/>
    <d v="2021-12-09T00:00:00"/>
    <d v="2021-12-15T00:00:00"/>
    <d v="2021-12-17T00:00:00"/>
    <x v="2"/>
    <s v="India"/>
    <s v="Telangana"/>
    <s v="Delhi"/>
    <x v="1"/>
    <s v="Printer"/>
    <s v="Smartphone"/>
    <s v="Corporate"/>
    <n v="36230"/>
    <n v="0.05"/>
    <n v="2978"/>
    <n v="8"/>
    <s v="Debit Card"/>
    <s v="Low"/>
    <x v="0"/>
    <x v="11"/>
    <n v="6"/>
    <n v="8"/>
    <n v="8.2197074247860893E-2"/>
  </r>
  <r>
    <n v="10344"/>
    <d v="2021-12-10T00:00:00"/>
    <d v="2021-12-14T00:00:00"/>
    <d v="2021-12-15T00:00:00"/>
    <x v="1"/>
    <s v="India"/>
    <s v="Maharashtra"/>
    <s v="Hyderabad"/>
    <x v="2"/>
    <s v="Printer"/>
    <s v="Spiral Notebook"/>
    <s v="Home Office"/>
    <n v="74511"/>
    <n v="0.18"/>
    <n v="13476"/>
    <n v="3"/>
    <s v="Debit Card"/>
    <s v="Medium"/>
    <x v="0"/>
    <x v="11"/>
    <n v="4"/>
    <n v="5"/>
    <n v="0.18085920199702057"/>
  </r>
  <r>
    <n v="10345"/>
    <d v="2021-12-11T00:00:00"/>
    <d v="2021-12-16T00:00:00"/>
    <d v="2021-12-21T00:00:00"/>
    <x v="0"/>
    <s v="India"/>
    <s v="Telangana"/>
    <s v="Chennai"/>
    <x v="1"/>
    <s v="Pen"/>
    <s v="Gel Pen"/>
    <s v="Home Office"/>
    <n v="68731"/>
    <n v="0.18"/>
    <n v="17930"/>
    <n v="8"/>
    <s v="UPI"/>
    <s v="Low"/>
    <x v="0"/>
    <x v="11"/>
    <n v="5"/>
    <n v="10"/>
    <n v="0.26087209556095503"/>
  </r>
  <r>
    <n v="10346"/>
    <d v="2021-12-12T00:00:00"/>
    <d v="2021-12-18T00:00:00"/>
    <d v="2021-12-19T00:00:00"/>
    <x v="0"/>
    <s v="India"/>
    <s v="Kerala"/>
    <s v="Bangalore"/>
    <x v="0"/>
    <s v="Chair"/>
    <s v="Gaming Laptop"/>
    <s v="Corporate"/>
    <n v="25410"/>
    <n v="0.32"/>
    <n v="13203"/>
    <n v="1"/>
    <s v="Debit Card"/>
    <s v="Critical"/>
    <x v="0"/>
    <x v="11"/>
    <n v="6"/>
    <n v="7"/>
    <n v="0.5195985832349469"/>
  </r>
  <r>
    <n v="10347"/>
    <d v="2021-12-13T00:00:00"/>
    <d v="2021-12-16T00:00:00"/>
    <d v="2021-12-21T00:00:00"/>
    <x v="2"/>
    <s v="India"/>
    <s v="Delhi"/>
    <s v="Kochi"/>
    <x v="1"/>
    <s v="Chair"/>
    <s v="Smartphone"/>
    <s v="Consumer"/>
    <n v="51542"/>
    <n v="0.05"/>
    <n v="4371"/>
    <n v="2"/>
    <s v="Net Banking"/>
    <s v="High"/>
    <x v="0"/>
    <x v="11"/>
    <n v="3"/>
    <n v="8"/>
    <n v="8.4804625354080163E-2"/>
  </r>
  <r>
    <n v="10348"/>
    <d v="2021-12-14T00:00:00"/>
    <d v="2021-12-21T00:00:00"/>
    <d v="2021-12-22T00:00:00"/>
    <x v="3"/>
    <s v="India"/>
    <s v="Kerala"/>
    <s v="Chennai"/>
    <x v="1"/>
    <s v="Printer"/>
    <s v="Spiral Notebook"/>
    <s v="Home Office"/>
    <n v="45231"/>
    <n v="0.18"/>
    <n v="7124"/>
    <n v="8"/>
    <s v="Net Banking"/>
    <s v="High"/>
    <x v="0"/>
    <x v="11"/>
    <n v="7"/>
    <n v="8"/>
    <n v="0.15750259777586167"/>
  </r>
  <r>
    <n v="10349"/>
    <d v="2021-12-15T00:00:00"/>
    <d v="2021-12-19T00:00:00"/>
    <d v="2021-12-20T00:00:00"/>
    <x v="1"/>
    <s v="India"/>
    <s v="Karnataka"/>
    <s v="Kochi"/>
    <x v="2"/>
    <s v="Printer"/>
    <s v="Gaming Laptop"/>
    <s v="Corporate"/>
    <n v="1253"/>
    <n v="0.03"/>
    <n v="7818"/>
    <n v="10"/>
    <s v="UPI"/>
    <s v="Medium"/>
    <x v="0"/>
    <x v="11"/>
    <n v="4"/>
    <n v="5"/>
    <n v="6.2394253790901839"/>
  </r>
  <r>
    <n v="10350"/>
    <d v="2021-12-16T00:00:00"/>
    <d v="2021-12-23T00:00:00"/>
    <d v="2021-12-26T00:00:00"/>
    <x v="2"/>
    <s v="India"/>
    <s v="Telangana"/>
    <s v="Bangalore"/>
    <x v="1"/>
    <s v="Notebook"/>
    <s v="Smartphone"/>
    <s v="Home Office"/>
    <n v="47543"/>
    <n v="7.0000000000000007E-2"/>
    <n v="4118"/>
    <n v="1"/>
    <s v="UPI"/>
    <s v="Critical"/>
    <x v="0"/>
    <x v="11"/>
    <n v="7"/>
    <n v="10"/>
    <n v="8.661632627305807E-2"/>
  </r>
  <r>
    <n v="10351"/>
    <d v="2021-12-17T00:00:00"/>
    <d v="2021-12-20T00:00:00"/>
    <d v="2021-12-23T00:00:00"/>
    <x v="0"/>
    <s v="India"/>
    <s v="Tamil Nadu"/>
    <s v="Hyderabad"/>
    <x v="1"/>
    <s v="Pen"/>
    <s v="Smartphone"/>
    <s v="Corporate"/>
    <n v="20799"/>
    <n v="0.25"/>
    <n v="7801"/>
    <n v="4"/>
    <s v="Credit Card"/>
    <s v="Low"/>
    <x v="0"/>
    <x v="11"/>
    <n v="3"/>
    <n v="6"/>
    <n v="0.37506610894754555"/>
  </r>
  <r>
    <n v="10352"/>
    <d v="2021-12-18T00:00:00"/>
    <d v="2021-12-25T00:00:00"/>
    <d v="2021-12-26T00:00:00"/>
    <x v="0"/>
    <s v="India"/>
    <s v="Kerala"/>
    <s v="Chennai"/>
    <x v="1"/>
    <s v="Chair"/>
    <s v="Smartphone"/>
    <s v="Home Office"/>
    <n v="54575"/>
    <n v="0.28999999999999998"/>
    <n v="7059"/>
    <n v="4"/>
    <s v="Credit Card"/>
    <s v="Low"/>
    <x v="0"/>
    <x v="11"/>
    <n v="7"/>
    <n v="8"/>
    <n v="0.12934493815849749"/>
  </r>
  <r>
    <n v="10353"/>
    <d v="2021-12-19T00:00:00"/>
    <d v="2021-12-22T00:00:00"/>
    <d v="2021-12-27T00:00:00"/>
    <x v="1"/>
    <s v="India"/>
    <s v="Tamil Nadu"/>
    <s v="Kochi"/>
    <x v="2"/>
    <s v="Printer"/>
    <s v="Office Chair"/>
    <s v="Home Office"/>
    <n v="69057"/>
    <n v="0.34"/>
    <n v="13239"/>
    <n v="3"/>
    <s v="Cash"/>
    <s v="Critical"/>
    <x v="0"/>
    <x v="11"/>
    <n v="3"/>
    <n v="8"/>
    <n v="0.19171119509970025"/>
  </r>
  <r>
    <n v="10354"/>
    <d v="2021-12-20T00:00:00"/>
    <d v="2021-12-22T00:00:00"/>
    <d v="2021-12-25T00:00:00"/>
    <x v="3"/>
    <s v="India"/>
    <s v="Telangana"/>
    <s v="Chennai"/>
    <x v="2"/>
    <s v="Notebook"/>
    <s v="Laser Printer"/>
    <s v="Corporate"/>
    <n v="63697"/>
    <n v="0.09"/>
    <n v="6152"/>
    <n v="7"/>
    <s v="Credit Card"/>
    <s v="Low"/>
    <x v="0"/>
    <x v="11"/>
    <n v="2"/>
    <n v="5"/>
    <n v="9.6582256621190951E-2"/>
  </r>
  <r>
    <n v="10355"/>
    <d v="2021-12-21T00:00:00"/>
    <d v="2021-12-24T00:00:00"/>
    <d v="2021-12-28T00:00:00"/>
    <x v="0"/>
    <s v="India"/>
    <s v="Tamil Nadu"/>
    <s v="Chennai"/>
    <x v="0"/>
    <s v="Laptop"/>
    <s v="Laser Printer"/>
    <s v="Consumer"/>
    <n v="976"/>
    <n v="0.01"/>
    <n v="-920"/>
    <n v="15"/>
    <s v="UPI"/>
    <s v="Critical"/>
    <x v="0"/>
    <x v="11"/>
    <n v="3"/>
    <n v="7"/>
    <n v="-0.94262295081967218"/>
  </r>
  <r>
    <n v="10356"/>
    <d v="2021-12-22T00:00:00"/>
    <d v="2021-12-28T00:00:00"/>
    <d v="2021-12-30T00:00:00"/>
    <x v="2"/>
    <s v="India"/>
    <s v="Karnataka"/>
    <s v="Delhi"/>
    <x v="2"/>
    <s v="Mobile"/>
    <s v="Dining Table"/>
    <s v="Home Office"/>
    <n v="39754"/>
    <n v="0.21"/>
    <n v="4866"/>
    <n v="5"/>
    <s v="Credit Card"/>
    <s v="Medium"/>
    <x v="0"/>
    <x v="11"/>
    <n v="6"/>
    <n v="8"/>
    <n v="0.12240277707903607"/>
  </r>
  <r>
    <n v="10357"/>
    <d v="2021-12-23T00:00:00"/>
    <d v="2021-12-29T00:00:00"/>
    <d v="2022-01-02T00:00:00"/>
    <x v="0"/>
    <s v="India"/>
    <s v="Maharashtra"/>
    <s v="Mumbai"/>
    <x v="0"/>
    <s v="Printer"/>
    <s v="Office Chair"/>
    <s v="Corporate"/>
    <n v="19852"/>
    <n v="0.33"/>
    <n v="6997"/>
    <n v="19"/>
    <s v="Net Banking"/>
    <s v="Critical"/>
    <x v="0"/>
    <x v="11"/>
    <n v="6"/>
    <n v="10"/>
    <n v="0.35245819061051781"/>
  </r>
  <r>
    <n v="10358"/>
    <d v="2021-12-24T00:00:00"/>
    <d v="2021-12-28T00:00:00"/>
    <d v="2021-12-29T00:00:00"/>
    <x v="2"/>
    <s v="India"/>
    <s v="Maharashtra"/>
    <s v="Delhi"/>
    <x v="0"/>
    <s v="Notebook"/>
    <s v="Laser Printer"/>
    <s v="Corporate"/>
    <n v="73529"/>
    <n v="0.19"/>
    <n v="16319"/>
    <n v="2"/>
    <s v="UPI"/>
    <s v="Medium"/>
    <x v="0"/>
    <x v="11"/>
    <n v="4"/>
    <n v="5"/>
    <n v="0.22193964286200002"/>
  </r>
  <r>
    <n v="10359"/>
    <d v="2021-12-25T00:00:00"/>
    <d v="2021-12-31T00:00:00"/>
    <d v="2022-01-01T00:00:00"/>
    <x v="2"/>
    <s v="India"/>
    <s v="Delhi"/>
    <s v="Kochi"/>
    <x v="2"/>
    <s v="Mobile"/>
    <s v="Gaming Laptop"/>
    <s v="Home Office"/>
    <n v="31007"/>
    <n v="0.01"/>
    <n v="9778"/>
    <n v="5"/>
    <s v="Net Banking"/>
    <s v="Medium"/>
    <x v="0"/>
    <x v="11"/>
    <n v="6"/>
    <n v="7"/>
    <n v="0.31534814719256943"/>
  </r>
  <r>
    <n v="10360"/>
    <d v="2021-12-26T00:00:00"/>
    <d v="2021-12-30T00:00:00"/>
    <d v="2022-01-01T00:00:00"/>
    <x v="3"/>
    <s v="India"/>
    <s v="Delhi"/>
    <s v="Hyderabad"/>
    <x v="2"/>
    <s v="Mobile"/>
    <s v="Gel Pen"/>
    <s v="Consumer"/>
    <n v="19591"/>
    <n v="0.3"/>
    <n v="-646"/>
    <n v="22"/>
    <s v="Debit Card"/>
    <s v="Medium"/>
    <x v="0"/>
    <x v="11"/>
    <n v="4"/>
    <n v="6"/>
    <n v="-3.2974324945127864E-2"/>
  </r>
  <r>
    <n v="10361"/>
    <d v="2021-12-27T00:00:00"/>
    <d v="2021-12-31T00:00:00"/>
    <d v="2022-01-03T00:00:00"/>
    <x v="3"/>
    <s v="India"/>
    <s v="Kerala"/>
    <s v="Hyderabad"/>
    <x v="1"/>
    <s v="Mobile"/>
    <s v="Laser Printer"/>
    <s v="Consumer"/>
    <n v="33659"/>
    <n v="0.33"/>
    <n v="18077"/>
    <n v="9"/>
    <s v="Credit Card"/>
    <s v="High"/>
    <x v="0"/>
    <x v="11"/>
    <n v="4"/>
    <n v="7"/>
    <n v="0.53706289551085895"/>
  </r>
  <r>
    <n v="10362"/>
    <d v="2021-12-28T00:00:00"/>
    <d v="2021-12-30T00:00:00"/>
    <d v="2022-01-01T00:00:00"/>
    <x v="1"/>
    <s v="India"/>
    <s v="Kerala"/>
    <s v="Bangalore"/>
    <x v="2"/>
    <s v="Pen"/>
    <s v="Spiral Notebook"/>
    <s v="Corporate"/>
    <n v="20362"/>
    <n v="0.23"/>
    <n v="2601"/>
    <n v="23"/>
    <s v="UPI"/>
    <s v="Low"/>
    <x v="0"/>
    <x v="11"/>
    <n v="2"/>
    <n v="4"/>
    <n v="0.12773794322758078"/>
  </r>
  <r>
    <n v="10363"/>
    <d v="2021-12-29T00:00:00"/>
    <d v="2022-01-04T00:00:00"/>
    <d v="2022-01-09T00:00:00"/>
    <x v="0"/>
    <s v="India"/>
    <s v="Telangana"/>
    <s v="Chennai"/>
    <x v="2"/>
    <s v="Mobile"/>
    <s v="Spiral Notebook"/>
    <s v="Corporate"/>
    <n v="59353"/>
    <n v="7.0000000000000007E-2"/>
    <n v="3442"/>
    <n v="10"/>
    <s v="Net Banking"/>
    <s v="Critical"/>
    <x v="0"/>
    <x v="11"/>
    <n v="6"/>
    <n v="11"/>
    <n v="5.7992013883038769E-2"/>
  </r>
  <r>
    <n v="10364"/>
    <d v="2021-12-30T00:00:00"/>
    <d v="2022-01-06T00:00:00"/>
    <d v="2022-01-10T00:00:00"/>
    <x v="1"/>
    <s v="India"/>
    <s v="Kerala"/>
    <s v="Bangalore"/>
    <x v="2"/>
    <s v="Printer"/>
    <s v="Office Chair"/>
    <s v="Corporate"/>
    <n v="69519"/>
    <n v="0.3"/>
    <n v="14522"/>
    <n v="15"/>
    <s v="Net Banking"/>
    <s v="High"/>
    <x v="0"/>
    <x v="11"/>
    <n v="7"/>
    <n v="11"/>
    <n v="0.20889253297659632"/>
  </r>
  <r>
    <n v="10365"/>
    <d v="2021-12-31T00:00:00"/>
    <d v="2022-01-03T00:00:00"/>
    <d v="2022-01-07T00:00:00"/>
    <x v="1"/>
    <s v="India"/>
    <s v="Kerala"/>
    <s v="Chennai"/>
    <x v="2"/>
    <s v="Mobile"/>
    <s v="Office Chair"/>
    <s v="Corporate"/>
    <n v="54165"/>
    <n v="0.06"/>
    <n v="10368"/>
    <n v="7"/>
    <s v="UPI"/>
    <s v="Critical"/>
    <x v="0"/>
    <x v="11"/>
    <n v="3"/>
    <n v="7"/>
    <n v="0.19141512046524509"/>
  </r>
  <r>
    <n v="10366"/>
    <d v="2022-01-01T00:00:00"/>
    <d v="2022-01-08T00:00:00"/>
    <d v="2022-01-10T00:00:00"/>
    <x v="2"/>
    <s v="India"/>
    <s v="Delhi"/>
    <s v="Hyderabad"/>
    <x v="0"/>
    <s v="Mobile"/>
    <s v="Gaming Laptop"/>
    <s v="Corporate"/>
    <n v="52547"/>
    <n v="0.17"/>
    <n v="5024"/>
    <n v="6"/>
    <s v="Debit Card"/>
    <s v="Medium"/>
    <x v="1"/>
    <x v="0"/>
    <n v="7"/>
    <n v="9"/>
    <n v="9.560964469903134E-2"/>
  </r>
  <r>
    <n v="10367"/>
    <d v="2022-01-02T00:00:00"/>
    <d v="2022-01-05T00:00:00"/>
    <d v="2022-01-09T00:00:00"/>
    <x v="3"/>
    <s v="India"/>
    <s v="Kerala"/>
    <s v="Hyderabad"/>
    <x v="0"/>
    <s v="Laptop"/>
    <s v="Gaming Laptop"/>
    <s v="Consumer"/>
    <n v="46812"/>
    <n v="7.0000000000000007E-2"/>
    <n v="11246"/>
    <n v="16"/>
    <s v="Cash"/>
    <s v="Low"/>
    <x v="1"/>
    <x v="0"/>
    <n v="3"/>
    <n v="7"/>
    <n v="0.24023754592839444"/>
  </r>
  <r>
    <n v="10368"/>
    <d v="2022-01-03T00:00:00"/>
    <d v="2022-01-05T00:00:00"/>
    <d v="2022-01-06T00:00:00"/>
    <x v="3"/>
    <s v="India"/>
    <s v="Delhi"/>
    <s v="Hyderabad"/>
    <x v="1"/>
    <s v="Pen"/>
    <s v="Gaming Laptop"/>
    <s v="Corporate"/>
    <n v="63152"/>
    <n v="0.19"/>
    <n v="13021"/>
    <n v="20"/>
    <s v="Debit Card"/>
    <s v="Medium"/>
    <x v="1"/>
    <x v="0"/>
    <n v="2"/>
    <n v="3"/>
    <n v="0.20618507727387889"/>
  </r>
  <r>
    <n v="10369"/>
    <d v="2022-01-04T00:00:00"/>
    <d v="2022-01-09T00:00:00"/>
    <d v="2022-01-10T00:00:00"/>
    <x v="1"/>
    <s v="India"/>
    <s v="Kerala"/>
    <s v="Kochi"/>
    <x v="2"/>
    <s v="Pen"/>
    <s v="Spiral Notebook"/>
    <s v="Corporate"/>
    <n v="33881"/>
    <n v="0.19"/>
    <n v="4168"/>
    <n v="2"/>
    <s v="Credit Card"/>
    <s v="Medium"/>
    <x v="1"/>
    <x v="0"/>
    <n v="5"/>
    <n v="6"/>
    <n v="0.12301880109796051"/>
  </r>
  <r>
    <n v="10370"/>
    <d v="2022-01-05T00:00:00"/>
    <d v="2022-01-12T00:00:00"/>
    <d v="2022-01-15T00:00:00"/>
    <x v="1"/>
    <s v="India"/>
    <s v="Karnataka"/>
    <s v="Chennai"/>
    <x v="0"/>
    <s v="Laptop"/>
    <s v="Laser Printer"/>
    <s v="Corporate"/>
    <n v="45060"/>
    <n v="0.05"/>
    <n v="14282"/>
    <n v="9"/>
    <s v="Debit Card"/>
    <s v="Medium"/>
    <x v="1"/>
    <x v="0"/>
    <n v="7"/>
    <n v="10"/>
    <n v="0.31695517088326675"/>
  </r>
  <r>
    <n v="10371"/>
    <d v="2022-01-06T00:00:00"/>
    <d v="2022-01-12T00:00:00"/>
    <d v="2022-01-14T00:00:00"/>
    <x v="0"/>
    <s v="India"/>
    <s v="Kerala"/>
    <s v="Kochi"/>
    <x v="1"/>
    <s v="Printer"/>
    <s v="Gel Pen"/>
    <s v="Corporate"/>
    <n v="36655"/>
    <n v="0.14000000000000001"/>
    <n v="10038"/>
    <n v="21"/>
    <s v="Cash"/>
    <s v="Medium"/>
    <x v="1"/>
    <x v="0"/>
    <n v="6"/>
    <n v="8"/>
    <n v="0.2738507706997681"/>
  </r>
  <r>
    <n v="10372"/>
    <d v="2022-01-07T00:00:00"/>
    <d v="2022-01-12T00:00:00"/>
    <d v="2022-01-13T00:00:00"/>
    <x v="2"/>
    <s v="India"/>
    <s v="Kerala"/>
    <s v="Kochi"/>
    <x v="1"/>
    <s v="Chair"/>
    <s v="Laser Printer"/>
    <s v="Consumer"/>
    <n v="54476"/>
    <n v="0.27"/>
    <n v="3215"/>
    <n v="21"/>
    <s v="UPI"/>
    <s v="High"/>
    <x v="1"/>
    <x v="0"/>
    <n v="5"/>
    <n v="6"/>
    <n v="5.9016814744107499E-2"/>
  </r>
  <r>
    <n v="10373"/>
    <d v="2022-01-08T00:00:00"/>
    <d v="2022-01-12T00:00:00"/>
    <d v="2022-01-17T00:00:00"/>
    <x v="1"/>
    <s v="India"/>
    <s v="Delhi"/>
    <s v="Mumbai"/>
    <x v="0"/>
    <s v="Printer"/>
    <s v="Dining Table"/>
    <s v="Corporate"/>
    <n v="62418"/>
    <n v="0.2"/>
    <n v="12350"/>
    <n v="16"/>
    <s v="Debit Card"/>
    <s v="High"/>
    <x v="1"/>
    <x v="0"/>
    <n v="4"/>
    <n v="9"/>
    <n v="0.19785959178442117"/>
  </r>
  <r>
    <n v="10374"/>
    <d v="2022-01-09T00:00:00"/>
    <d v="2022-01-15T00:00:00"/>
    <d v="2022-01-17T00:00:00"/>
    <x v="1"/>
    <s v="India"/>
    <s v="Telangana"/>
    <s v="Hyderabad"/>
    <x v="0"/>
    <s v="Notebook"/>
    <s v="Spiral Notebook"/>
    <s v="Corporate"/>
    <n v="14573"/>
    <n v="0.39"/>
    <n v="5026"/>
    <n v="17"/>
    <s v="Credit Card"/>
    <s v="Medium"/>
    <x v="1"/>
    <x v="0"/>
    <n v="6"/>
    <n v="8"/>
    <n v="0.34488437521443766"/>
  </r>
  <r>
    <n v="10375"/>
    <d v="2022-01-10T00:00:00"/>
    <d v="2022-01-15T00:00:00"/>
    <d v="2022-01-16T00:00:00"/>
    <x v="3"/>
    <s v="India"/>
    <s v="Delhi"/>
    <s v="Chennai"/>
    <x v="1"/>
    <s v="Table"/>
    <s v="Dining Table"/>
    <s v="Corporate"/>
    <n v="17254"/>
    <n v="0.06"/>
    <n v="19756"/>
    <n v="18"/>
    <s v="UPI"/>
    <s v="Critical"/>
    <x v="1"/>
    <x v="0"/>
    <n v="5"/>
    <n v="6"/>
    <n v="1.1450098527877595"/>
  </r>
  <r>
    <n v="10376"/>
    <d v="2022-01-11T00:00:00"/>
    <d v="2022-01-18T00:00:00"/>
    <d v="2022-01-22T00:00:00"/>
    <x v="2"/>
    <s v="India"/>
    <s v="Delhi"/>
    <s v="Chennai"/>
    <x v="1"/>
    <s v="Mobile"/>
    <s v="Gel Pen"/>
    <s v="Corporate"/>
    <n v="16589"/>
    <n v="0.35"/>
    <n v="4301"/>
    <n v="6"/>
    <s v="Credit Card"/>
    <s v="Low"/>
    <x v="1"/>
    <x v="0"/>
    <n v="7"/>
    <n v="11"/>
    <n v="0.25926818976430166"/>
  </r>
  <r>
    <n v="10377"/>
    <d v="2022-01-12T00:00:00"/>
    <d v="2022-01-14T00:00:00"/>
    <d v="2022-01-15T00:00:00"/>
    <x v="0"/>
    <s v="India"/>
    <s v="Tamil Nadu"/>
    <s v="Kochi"/>
    <x v="1"/>
    <s v="Laptop"/>
    <s v="Laser Printer"/>
    <s v="Consumer"/>
    <n v="23893"/>
    <n v="0.31"/>
    <n v="4014"/>
    <n v="12"/>
    <s v="Cash"/>
    <s v="High"/>
    <x v="1"/>
    <x v="0"/>
    <n v="2"/>
    <n v="3"/>
    <n v="0.16799899552170092"/>
  </r>
  <r>
    <n v="10378"/>
    <d v="2022-01-13T00:00:00"/>
    <d v="2022-01-20T00:00:00"/>
    <d v="2022-01-22T00:00:00"/>
    <x v="3"/>
    <s v="India"/>
    <s v="Maharashtra"/>
    <s v="Kochi"/>
    <x v="2"/>
    <s v="Pen"/>
    <s v="Laser Printer"/>
    <s v="Corporate"/>
    <n v="40054"/>
    <n v="0.37"/>
    <n v="19670"/>
    <n v="15"/>
    <s v="Cash"/>
    <s v="Critical"/>
    <x v="1"/>
    <x v="0"/>
    <n v="7"/>
    <n v="9"/>
    <n v="0.49108703250611674"/>
  </r>
  <r>
    <n v="10379"/>
    <d v="2022-01-14T00:00:00"/>
    <d v="2022-01-19T00:00:00"/>
    <d v="2022-01-23T00:00:00"/>
    <x v="1"/>
    <s v="India"/>
    <s v="Delhi"/>
    <s v="Mumbai"/>
    <x v="1"/>
    <s v="Laptop"/>
    <s v="Dining Table"/>
    <s v="Corporate"/>
    <n v="70161"/>
    <n v="0.31"/>
    <n v="11266"/>
    <n v="11"/>
    <s v="UPI"/>
    <s v="Critical"/>
    <x v="1"/>
    <x v="0"/>
    <n v="5"/>
    <n v="9"/>
    <n v="0.16057353800544463"/>
  </r>
  <r>
    <n v="10380"/>
    <d v="2022-01-15T00:00:00"/>
    <d v="2022-01-20T00:00:00"/>
    <d v="2022-01-24T00:00:00"/>
    <x v="2"/>
    <s v="India"/>
    <s v="Telangana"/>
    <s v="Mumbai"/>
    <x v="1"/>
    <s v="Chair"/>
    <s v="Gel Pen"/>
    <s v="Corporate"/>
    <n v="32240"/>
    <n v="0.28000000000000003"/>
    <n v="19138"/>
    <n v="18"/>
    <s v="Net Banking"/>
    <s v="High"/>
    <x v="1"/>
    <x v="0"/>
    <n v="5"/>
    <n v="9"/>
    <n v="0.59361042183622825"/>
  </r>
  <r>
    <n v="10381"/>
    <d v="2022-01-16T00:00:00"/>
    <d v="2022-01-20T00:00:00"/>
    <d v="2022-01-21T00:00:00"/>
    <x v="3"/>
    <s v="India"/>
    <s v="Karnataka"/>
    <s v="Hyderabad"/>
    <x v="0"/>
    <s v="Chair"/>
    <s v="Smartphone"/>
    <s v="Consumer"/>
    <n v="74469"/>
    <n v="0.33"/>
    <n v="17234"/>
    <n v="8"/>
    <s v="UPI"/>
    <s v="High"/>
    <x v="1"/>
    <x v="0"/>
    <n v="4"/>
    <n v="5"/>
    <n v="0.23142515677664532"/>
  </r>
  <r>
    <n v="10382"/>
    <d v="2022-01-17T00:00:00"/>
    <d v="2022-01-20T00:00:00"/>
    <d v="2022-01-24T00:00:00"/>
    <x v="1"/>
    <s v="India"/>
    <s v="Kerala"/>
    <s v="Hyderabad"/>
    <x v="1"/>
    <s v="Chair"/>
    <s v="Office Chair"/>
    <s v="Consumer"/>
    <n v="43663"/>
    <n v="0.34"/>
    <n v="14510"/>
    <n v="12"/>
    <s v="Net Banking"/>
    <s v="High"/>
    <x v="1"/>
    <x v="0"/>
    <n v="3"/>
    <n v="7"/>
    <n v="0.33231798089915948"/>
  </r>
  <r>
    <n v="10383"/>
    <d v="2022-01-18T00:00:00"/>
    <d v="2022-01-23T00:00:00"/>
    <d v="2022-01-24T00:00:00"/>
    <x v="1"/>
    <s v="India"/>
    <s v="Maharashtra"/>
    <s v="Delhi"/>
    <x v="0"/>
    <s v="Laptop"/>
    <s v="Office Chair"/>
    <s v="Corporate"/>
    <n v="66977"/>
    <n v="0.12"/>
    <n v="6432"/>
    <n v="4"/>
    <s v="Cash"/>
    <s v="Low"/>
    <x v="1"/>
    <x v="0"/>
    <n v="5"/>
    <n v="6"/>
    <n v="9.6032966540752801E-2"/>
  </r>
  <r>
    <n v="10384"/>
    <d v="2022-01-19T00:00:00"/>
    <d v="2022-01-22T00:00:00"/>
    <d v="2022-01-24T00:00:00"/>
    <x v="1"/>
    <s v="India"/>
    <s v="Maharashtra"/>
    <s v="Chennai"/>
    <x v="2"/>
    <s v="Table"/>
    <s v="Laser Printer"/>
    <s v="Corporate"/>
    <n v="6742"/>
    <n v="0.23"/>
    <n v="14171"/>
    <n v="9"/>
    <s v="Net Banking"/>
    <s v="Medium"/>
    <x v="1"/>
    <x v="0"/>
    <n v="3"/>
    <n v="5"/>
    <n v="2.1018985464253932"/>
  </r>
  <r>
    <n v="10385"/>
    <d v="2022-01-20T00:00:00"/>
    <d v="2022-01-23T00:00:00"/>
    <d v="2022-01-24T00:00:00"/>
    <x v="0"/>
    <s v="India"/>
    <s v="Karnataka"/>
    <s v="Delhi"/>
    <x v="2"/>
    <s v="Printer"/>
    <s v="Laser Printer"/>
    <s v="Home Office"/>
    <n v="64243"/>
    <n v="0.22"/>
    <n v="3122"/>
    <n v="12"/>
    <s v="Net Banking"/>
    <s v="Medium"/>
    <x v="1"/>
    <x v="0"/>
    <n v="3"/>
    <n v="4"/>
    <n v="4.8596734274551315E-2"/>
  </r>
  <r>
    <n v="10386"/>
    <d v="2022-01-21T00:00:00"/>
    <d v="2022-01-27T00:00:00"/>
    <d v="2022-01-28T00:00:00"/>
    <x v="1"/>
    <s v="India"/>
    <s v="Maharashtra"/>
    <s v="Mumbai"/>
    <x v="2"/>
    <s v="Laptop"/>
    <s v="Spiral Notebook"/>
    <s v="Home Office"/>
    <n v="35357"/>
    <n v="0.11"/>
    <n v="8573"/>
    <n v="6"/>
    <s v="UPI"/>
    <s v="Medium"/>
    <x v="1"/>
    <x v="0"/>
    <n v="6"/>
    <n v="7"/>
    <n v="0.24246966654410726"/>
  </r>
  <r>
    <n v="10387"/>
    <d v="2022-01-22T00:00:00"/>
    <d v="2022-01-26T00:00:00"/>
    <d v="2022-01-29T00:00:00"/>
    <x v="0"/>
    <s v="India"/>
    <s v="Tamil Nadu"/>
    <s v="Chennai"/>
    <x v="2"/>
    <s v="Mobile"/>
    <s v="Spiral Notebook"/>
    <s v="Corporate"/>
    <n v="63694"/>
    <n v="0.04"/>
    <n v="10539"/>
    <n v="10"/>
    <s v="UPI"/>
    <s v="Low"/>
    <x v="1"/>
    <x v="0"/>
    <n v="4"/>
    <n v="7"/>
    <n v="0.16546299494457878"/>
  </r>
  <r>
    <n v="10388"/>
    <d v="2022-01-23T00:00:00"/>
    <d v="2022-01-26T00:00:00"/>
    <d v="2022-01-27T00:00:00"/>
    <x v="2"/>
    <s v="India"/>
    <s v="Karnataka"/>
    <s v="Kochi"/>
    <x v="2"/>
    <s v="Chair"/>
    <s v="Office Chair"/>
    <s v="Consumer"/>
    <n v="16277"/>
    <n v="0.38"/>
    <n v="14543"/>
    <n v="5"/>
    <s v="Net Banking"/>
    <s v="High"/>
    <x v="1"/>
    <x v="0"/>
    <n v="3"/>
    <n v="4"/>
    <n v="0.89346931252687845"/>
  </r>
  <r>
    <n v="10389"/>
    <d v="2022-01-24T00:00:00"/>
    <d v="2022-01-29T00:00:00"/>
    <d v="2022-01-31T00:00:00"/>
    <x v="3"/>
    <s v="India"/>
    <s v="Karnataka"/>
    <s v="Mumbai"/>
    <x v="0"/>
    <s v="Table"/>
    <s v="Spiral Notebook"/>
    <s v="Consumer"/>
    <n v="34449"/>
    <n v="0.08"/>
    <n v="4993"/>
    <n v="7"/>
    <s v="Cash"/>
    <s v="High"/>
    <x v="1"/>
    <x v="0"/>
    <n v="5"/>
    <n v="7"/>
    <n v="0.14493889517837963"/>
  </r>
  <r>
    <n v="10390"/>
    <d v="2022-01-25T00:00:00"/>
    <d v="2022-01-30T00:00:00"/>
    <d v="2022-01-31T00:00:00"/>
    <x v="1"/>
    <s v="India"/>
    <s v="Kerala"/>
    <s v="Chennai"/>
    <x v="0"/>
    <s v="Mobile"/>
    <s v="Gel Pen"/>
    <s v="Consumer"/>
    <n v="72360"/>
    <n v="0.36"/>
    <n v="10507"/>
    <n v="19"/>
    <s v="Cash"/>
    <s v="Critical"/>
    <x v="1"/>
    <x v="0"/>
    <n v="5"/>
    <n v="6"/>
    <n v="0.14520453289110005"/>
  </r>
  <r>
    <n v="10391"/>
    <d v="2022-01-26T00:00:00"/>
    <d v="2022-02-01T00:00:00"/>
    <d v="2022-02-03T00:00:00"/>
    <x v="2"/>
    <s v="India"/>
    <s v="Karnataka"/>
    <s v="Delhi"/>
    <x v="1"/>
    <s v="Mobile"/>
    <s v="Gaming Laptop"/>
    <s v="Consumer"/>
    <n v="31414"/>
    <n v="0"/>
    <n v="6599"/>
    <n v="14"/>
    <s v="Cash"/>
    <s v="Critical"/>
    <x v="1"/>
    <x v="0"/>
    <n v="6"/>
    <n v="8"/>
    <n v="0.21006557585789776"/>
  </r>
  <r>
    <n v="10392"/>
    <d v="2022-01-27T00:00:00"/>
    <d v="2022-02-02T00:00:00"/>
    <d v="2022-02-03T00:00:00"/>
    <x v="3"/>
    <s v="India"/>
    <s v="Karnataka"/>
    <s v="Chennai"/>
    <x v="1"/>
    <s v="Printer"/>
    <s v="Spiral Notebook"/>
    <s v="Home Office"/>
    <n v="24867"/>
    <n v="0.11"/>
    <n v="3122"/>
    <n v="20"/>
    <s v="Debit Card"/>
    <s v="Critical"/>
    <x v="1"/>
    <x v="0"/>
    <n v="6"/>
    <n v="7"/>
    <n v="0.12554791490730688"/>
  </r>
  <r>
    <n v="10393"/>
    <d v="2022-01-28T00:00:00"/>
    <d v="2022-02-04T00:00:00"/>
    <d v="2022-02-08T00:00:00"/>
    <x v="2"/>
    <s v="India"/>
    <s v="Telangana"/>
    <s v="Delhi"/>
    <x v="1"/>
    <s v="Laptop"/>
    <s v="Office Chair"/>
    <s v="Home Office"/>
    <n v="21389"/>
    <n v="0.15"/>
    <n v="14136"/>
    <n v="14"/>
    <s v="Net Banking"/>
    <s v="Low"/>
    <x v="1"/>
    <x v="0"/>
    <n v="7"/>
    <n v="11"/>
    <n v="0.66090046285473847"/>
  </r>
  <r>
    <n v="10394"/>
    <d v="2022-01-29T00:00:00"/>
    <d v="2022-02-05T00:00:00"/>
    <d v="2022-02-06T00:00:00"/>
    <x v="3"/>
    <s v="India"/>
    <s v="Kerala"/>
    <s v="Mumbai"/>
    <x v="1"/>
    <s v="Pen"/>
    <s v="Smartphone"/>
    <s v="Corporate"/>
    <n v="63614"/>
    <n v="0.23"/>
    <n v="573"/>
    <n v="23"/>
    <s v="Net Banking"/>
    <s v="Critical"/>
    <x v="1"/>
    <x v="0"/>
    <n v="7"/>
    <n v="8"/>
    <n v="9.0074511899896244E-3"/>
  </r>
  <r>
    <n v="10395"/>
    <d v="2022-01-30T00:00:00"/>
    <d v="2022-02-01T00:00:00"/>
    <d v="2022-02-03T00:00:00"/>
    <x v="3"/>
    <s v="India"/>
    <s v="Maharashtra"/>
    <s v="Mumbai"/>
    <x v="2"/>
    <s v="Mobile"/>
    <s v="Smartphone"/>
    <s v="Consumer"/>
    <n v="74031"/>
    <n v="0.17"/>
    <n v="1204"/>
    <n v="8"/>
    <s v="Net Banking"/>
    <s v="Medium"/>
    <x v="1"/>
    <x v="0"/>
    <n v="2"/>
    <n v="4"/>
    <n v="1.626345720036201E-2"/>
  </r>
  <r>
    <n v="10396"/>
    <d v="2022-01-31T00:00:00"/>
    <d v="2022-02-06T00:00:00"/>
    <d v="2022-02-10T00:00:00"/>
    <x v="2"/>
    <s v="India"/>
    <s v="Kerala"/>
    <s v="Kochi"/>
    <x v="2"/>
    <s v="Printer"/>
    <s v="Office Chair"/>
    <s v="Corporate"/>
    <n v="66775"/>
    <n v="0.05"/>
    <n v="281"/>
    <n v="16"/>
    <s v="UPI"/>
    <s v="Critical"/>
    <x v="1"/>
    <x v="0"/>
    <n v="6"/>
    <n v="10"/>
    <n v="4.2081617371770869E-3"/>
  </r>
  <r>
    <n v="10397"/>
    <d v="2022-02-01T00:00:00"/>
    <d v="2022-02-08T00:00:00"/>
    <d v="2022-02-10T00:00:00"/>
    <x v="0"/>
    <s v="India"/>
    <s v="Tamil Nadu"/>
    <s v="Mumbai"/>
    <x v="2"/>
    <s v="Chair"/>
    <s v="Office Chair"/>
    <s v="Consumer"/>
    <n v="48486"/>
    <n v="0.2"/>
    <n v="3625"/>
    <n v="24"/>
    <s v="Debit Card"/>
    <s v="High"/>
    <x v="1"/>
    <x v="1"/>
    <n v="7"/>
    <n v="9"/>
    <n v="7.476384935857773E-2"/>
  </r>
  <r>
    <n v="10398"/>
    <d v="2022-02-02T00:00:00"/>
    <d v="2022-02-04T00:00:00"/>
    <d v="2022-02-05T00:00:00"/>
    <x v="0"/>
    <s v="India"/>
    <s v="Telangana"/>
    <s v="Hyderabad"/>
    <x v="2"/>
    <s v="Printer"/>
    <s v="Dining Table"/>
    <s v="Consumer"/>
    <n v="66062"/>
    <n v="0.31"/>
    <n v="7542"/>
    <n v="21"/>
    <s v="Net Banking"/>
    <s v="Medium"/>
    <x v="1"/>
    <x v="1"/>
    <n v="2"/>
    <n v="3"/>
    <n v="0.11416548091187066"/>
  </r>
  <r>
    <n v="10399"/>
    <d v="2022-02-03T00:00:00"/>
    <d v="2022-02-07T00:00:00"/>
    <d v="2022-02-09T00:00:00"/>
    <x v="2"/>
    <s v="India"/>
    <s v="Telangana"/>
    <s v="Kochi"/>
    <x v="2"/>
    <s v="Printer"/>
    <s v="Laser Printer"/>
    <s v="Consumer"/>
    <n v="22074"/>
    <n v="0.16"/>
    <n v="16118"/>
    <n v="5"/>
    <s v="UPI"/>
    <s v="Medium"/>
    <x v="1"/>
    <x v="1"/>
    <n v="4"/>
    <n v="6"/>
    <n v="0.73018030261846512"/>
  </r>
  <r>
    <n v="10400"/>
    <d v="2022-02-04T00:00:00"/>
    <d v="2022-02-09T00:00:00"/>
    <d v="2022-02-14T00:00:00"/>
    <x v="2"/>
    <s v="India"/>
    <s v="Kerala"/>
    <s v="Kochi"/>
    <x v="1"/>
    <s v="Mobile"/>
    <s v="Gel Pen"/>
    <s v="Corporate"/>
    <n v="5845"/>
    <n v="0.06"/>
    <n v="9702"/>
    <n v="11"/>
    <s v="Cash"/>
    <s v="Medium"/>
    <x v="1"/>
    <x v="1"/>
    <n v="5"/>
    <n v="10"/>
    <n v="1.659880239520958"/>
  </r>
  <r>
    <n v="10401"/>
    <d v="2022-02-05T00:00:00"/>
    <d v="2022-02-07T00:00:00"/>
    <d v="2022-02-11T00:00:00"/>
    <x v="3"/>
    <s v="India"/>
    <s v="Kerala"/>
    <s v="Chennai"/>
    <x v="2"/>
    <s v="Table"/>
    <s v="Smartphone"/>
    <s v="Home Office"/>
    <n v="41885"/>
    <n v="0.26"/>
    <n v="9207"/>
    <n v="8"/>
    <s v="UPI"/>
    <s v="High"/>
    <x v="1"/>
    <x v="1"/>
    <n v="2"/>
    <n v="6"/>
    <n v="0.21981616330428555"/>
  </r>
  <r>
    <n v="10402"/>
    <d v="2022-02-06T00:00:00"/>
    <d v="2022-02-11T00:00:00"/>
    <d v="2022-02-16T00:00:00"/>
    <x v="0"/>
    <s v="India"/>
    <s v="Kerala"/>
    <s v="Mumbai"/>
    <x v="1"/>
    <s v="Laptop"/>
    <s v="Laser Printer"/>
    <s v="Corporate"/>
    <n v="4041"/>
    <n v="0.21"/>
    <n v="5472"/>
    <n v="20"/>
    <s v="UPI"/>
    <s v="Critical"/>
    <x v="1"/>
    <x v="1"/>
    <n v="5"/>
    <n v="10"/>
    <n v="1.354120267260579"/>
  </r>
  <r>
    <n v="10403"/>
    <d v="2022-02-07T00:00:00"/>
    <d v="2022-02-10T00:00:00"/>
    <d v="2022-02-12T00:00:00"/>
    <x v="2"/>
    <s v="India"/>
    <s v="Karnataka"/>
    <s v="Chennai"/>
    <x v="0"/>
    <s v="Laptop"/>
    <s v="Smartphone"/>
    <s v="Consumer"/>
    <n v="17692"/>
    <n v="0.13"/>
    <n v="1609"/>
    <n v="20"/>
    <s v="Cash"/>
    <s v="Critical"/>
    <x v="1"/>
    <x v="1"/>
    <n v="3"/>
    <n v="5"/>
    <n v="9.0945059914085469E-2"/>
  </r>
  <r>
    <n v="10404"/>
    <d v="2022-02-08T00:00:00"/>
    <d v="2022-02-12T00:00:00"/>
    <d v="2022-02-16T00:00:00"/>
    <x v="1"/>
    <s v="India"/>
    <s v="Karnataka"/>
    <s v="Delhi"/>
    <x v="2"/>
    <s v="Laptop"/>
    <s v="Laser Printer"/>
    <s v="Corporate"/>
    <n v="6183"/>
    <n v="0.38"/>
    <n v="13145"/>
    <n v="18"/>
    <s v="Debit Card"/>
    <s v="High"/>
    <x v="1"/>
    <x v="1"/>
    <n v="4"/>
    <n v="8"/>
    <n v="2.125990619440401"/>
  </r>
  <r>
    <n v="10405"/>
    <d v="2022-02-09T00:00:00"/>
    <d v="2022-02-15T00:00:00"/>
    <d v="2022-02-20T00:00:00"/>
    <x v="3"/>
    <s v="India"/>
    <s v="Maharashtra"/>
    <s v="Hyderabad"/>
    <x v="2"/>
    <s v="Pen"/>
    <s v="Laser Printer"/>
    <s v="Consumer"/>
    <n v="10458"/>
    <n v="0.06"/>
    <n v="12835"/>
    <n v="4"/>
    <s v="Cash"/>
    <s v="Low"/>
    <x v="1"/>
    <x v="1"/>
    <n v="6"/>
    <n v="11"/>
    <n v="1.2272901128322815"/>
  </r>
  <r>
    <n v="10406"/>
    <d v="2022-02-10T00:00:00"/>
    <d v="2022-02-14T00:00:00"/>
    <d v="2022-02-15T00:00:00"/>
    <x v="3"/>
    <s v="India"/>
    <s v="Delhi"/>
    <s v="Bangalore"/>
    <x v="2"/>
    <s v="Table"/>
    <s v="Laser Printer"/>
    <s v="Corporate"/>
    <n v="13637"/>
    <n v="0.32"/>
    <n v="5385"/>
    <n v="12"/>
    <s v="Debit Card"/>
    <s v="High"/>
    <x v="1"/>
    <x v="1"/>
    <n v="4"/>
    <n v="5"/>
    <n v="0.39488157219329767"/>
  </r>
  <r>
    <n v="10407"/>
    <d v="2022-02-11T00:00:00"/>
    <d v="2022-02-18T00:00:00"/>
    <d v="2022-02-19T00:00:00"/>
    <x v="3"/>
    <s v="India"/>
    <s v="Telangana"/>
    <s v="Mumbai"/>
    <x v="1"/>
    <s v="Printer"/>
    <s v="Laser Printer"/>
    <s v="Corporate"/>
    <n v="35295"/>
    <n v="0.24"/>
    <n v="10700"/>
    <n v="20"/>
    <s v="Debit Card"/>
    <s v="High"/>
    <x v="1"/>
    <x v="1"/>
    <n v="7"/>
    <n v="8"/>
    <n v="0.30315908768947442"/>
  </r>
  <r>
    <n v="10408"/>
    <d v="2022-02-12T00:00:00"/>
    <d v="2022-02-17T00:00:00"/>
    <d v="2022-02-21T00:00:00"/>
    <x v="1"/>
    <s v="India"/>
    <s v="Tamil Nadu"/>
    <s v="Hyderabad"/>
    <x v="1"/>
    <s v="Pen"/>
    <s v="Office Chair"/>
    <s v="Consumer"/>
    <n v="6801"/>
    <n v="0.25"/>
    <n v="7135"/>
    <n v="3"/>
    <s v="Cash"/>
    <s v="High"/>
    <x v="1"/>
    <x v="1"/>
    <n v="5"/>
    <n v="9"/>
    <n v="1.0491104249375092"/>
  </r>
  <r>
    <n v="10409"/>
    <d v="2022-02-13T00:00:00"/>
    <d v="2022-02-16T00:00:00"/>
    <d v="2022-02-20T00:00:00"/>
    <x v="3"/>
    <s v="India"/>
    <s v="Telangana"/>
    <s v="Kochi"/>
    <x v="1"/>
    <s v="Pen"/>
    <s v="Laser Printer"/>
    <s v="Corporate"/>
    <n v="34467"/>
    <n v="0.12"/>
    <n v="4925"/>
    <n v="1"/>
    <s v="Debit Card"/>
    <s v="Medium"/>
    <x v="1"/>
    <x v="1"/>
    <n v="3"/>
    <n v="7"/>
    <n v="0.14289030086749643"/>
  </r>
  <r>
    <n v="10410"/>
    <d v="2022-02-14T00:00:00"/>
    <d v="2022-02-20T00:00:00"/>
    <d v="2022-02-24T00:00:00"/>
    <x v="3"/>
    <s v="India"/>
    <s v="Karnataka"/>
    <s v="Hyderabad"/>
    <x v="1"/>
    <s v="Notebook"/>
    <s v="Smartphone"/>
    <s v="Home Office"/>
    <n v="10235"/>
    <n v="0.18"/>
    <n v="11607"/>
    <n v="1"/>
    <s v="Cash"/>
    <s v="Low"/>
    <x v="1"/>
    <x v="1"/>
    <n v="6"/>
    <n v="10"/>
    <n v="1.1340498290180752"/>
  </r>
  <r>
    <n v="10411"/>
    <d v="2022-02-15T00:00:00"/>
    <d v="2022-02-18T00:00:00"/>
    <d v="2022-02-22T00:00:00"/>
    <x v="2"/>
    <s v="India"/>
    <s v="Kerala"/>
    <s v="Chennai"/>
    <x v="2"/>
    <s v="Table"/>
    <s v="Laser Printer"/>
    <s v="Consumer"/>
    <n v="26373"/>
    <n v="0.14000000000000001"/>
    <n v="19135"/>
    <n v="10"/>
    <s v="UPI"/>
    <s v="Critical"/>
    <x v="1"/>
    <x v="1"/>
    <n v="3"/>
    <n v="7"/>
    <n v="0.72555264854206958"/>
  </r>
  <r>
    <n v="10412"/>
    <d v="2022-02-16T00:00:00"/>
    <d v="2022-02-23T00:00:00"/>
    <d v="2022-02-25T00:00:00"/>
    <x v="3"/>
    <s v="India"/>
    <s v="Karnataka"/>
    <s v="Kochi"/>
    <x v="0"/>
    <s v="Table"/>
    <s v="Gel Pen"/>
    <s v="Home Office"/>
    <n v="32422"/>
    <n v="0.03"/>
    <n v="1655"/>
    <n v="7"/>
    <s v="Credit Card"/>
    <s v="Low"/>
    <x v="1"/>
    <x v="1"/>
    <n v="7"/>
    <n v="9"/>
    <n v="5.1045586330269573E-2"/>
  </r>
  <r>
    <n v="10413"/>
    <d v="2022-02-17T00:00:00"/>
    <d v="2022-02-24T00:00:00"/>
    <d v="2022-02-25T00:00:00"/>
    <x v="1"/>
    <s v="India"/>
    <s v="Delhi"/>
    <s v="Delhi"/>
    <x v="1"/>
    <s v="Chair"/>
    <s v="Office Chair"/>
    <s v="Home Office"/>
    <n v="61008"/>
    <n v="0.33"/>
    <n v="12053"/>
    <n v="8"/>
    <s v="Cash"/>
    <s v="Critical"/>
    <x v="1"/>
    <x v="1"/>
    <n v="7"/>
    <n v="8"/>
    <n v="0.19756425386834514"/>
  </r>
  <r>
    <n v="10414"/>
    <d v="2022-02-18T00:00:00"/>
    <d v="2022-02-20T00:00:00"/>
    <d v="2022-02-23T00:00:00"/>
    <x v="3"/>
    <s v="India"/>
    <s v="Tamil Nadu"/>
    <s v="Hyderabad"/>
    <x v="0"/>
    <s v="Table"/>
    <s v="Gel Pen"/>
    <s v="Corporate"/>
    <n v="39676"/>
    <n v="0.36"/>
    <n v="-885"/>
    <n v="3"/>
    <s v="Debit Card"/>
    <s v="High"/>
    <x v="1"/>
    <x v="1"/>
    <n v="2"/>
    <n v="5"/>
    <n v="-2.2305675975400747E-2"/>
  </r>
  <r>
    <n v="10415"/>
    <d v="2022-02-19T00:00:00"/>
    <d v="2022-02-25T00:00:00"/>
    <d v="2022-02-26T00:00:00"/>
    <x v="1"/>
    <s v="India"/>
    <s v="Telangana"/>
    <s v="Mumbai"/>
    <x v="2"/>
    <s v="Table"/>
    <s v="Spiral Notebook"/>
    <s v="Home Office"/>
    <n v="17615"/>
    <n v="0.19"/>
    <n v="10489"/>
    <n v="8"/>
    <s v="Net Banking"/>
    <s v="High"/>
    <x v="1"/>
    <x v="1"/>
    <n v="6"/>
    <n v="7"/>
    <n v="0.59545841612262274"/>
  </r>
  <r>
    <n v="10416"/>
    <d v="2022-02-20T00:00:00"/>
    <d v="2022-02-23T00:00:00"/>
    <d v="2022-02-28T00:00:00"/>
    <x v="2"/>
    <s v="India"/>
    <s v="Telangana"/>
    <s v="Mumbai"/>
    <x v="1"/>
    <s v="Printer"/>
    <s v="Office Chair"/>
    <s v="Corporate"/>
    <n v="8254"/>
    <n v="0.09"/>
    <n v="3945"/>
    <n v="6"/>
    <s v="Credit Card"/>
    <s v="Critical"/>
    <x v="1"/>
    <x v="1"/>
    <n v="3"/>
    <n v="8"/>
    <n v="0.47795008480736612"/>
  </r>
  <r>
    <n v="10417"/>
    <d v="2022-02-21T00:00:00"/>
    <d v="2022-02-28T00:00:00"/>
    <d v="2022-03-04T00:00:00"/>
    <x v="0"/>
    <s v="India"/>
    <s v="Delhi"/>
    <s v="Mumbai"/>
    <x v="0"/>
    <s v="Mobile"/>
    <s v="Gaming Laptop"/>
    <s v="Consumer"/>
    <n v="19222"/>
    <n v="0.15"/>
    <n v="15721"/>
    <n v="3"/>
    <s v="UPI"/>
    <s v="High"/>
    <x v="1"/>
    <x v="1"/>
    <n v="7"/>
    <n v="11"/>
    <n v="0.81786494641556551"/>
  </r>
  <r>
    <n v="10418"/>
    <d v="2022-02-22T00:00:00"/>
    <d v="2022-02-24T00:00:00"/>
    <d v="2022-02-26T00:00:00"/>
    <x v="0"/>
    <s v="India"/>
    <s v="Karnataka"/>
    <s v="Bangalore"/>
    <x v="2"/>
    <s v="Printer"/>
    <s v="Laser Printer"/>
    <s v="Home Office"/>
    <n v="27543"/>
    <n v="0.12"/>
    <n v="12282"/>
    <n v="9"/>
    <s v="Cash"/>
    <s v="High"/>
    <x v="1"/>
    <x v="1"/>
    <n v="2"/>
    <n v="4"/>
    <n v="0.44592092364666158"/>
  </r>
  <r>
    <n v="10419"/>
    <d v="2022-02-23T00:00:00"/>
    <d v="2022-03-02T00:00:00"/>
    <d v="2022-03-05T00:00:00"/>
    <x v="0"/>
    <s v="India"/>
    <s v="Maharashtra"/>
    <s v="Kochi"/>
    <x v="2"/>
    <s v="Chair"/>
    <s v="Spiral Notebook"/>
    <s v="Corporate"/>
    <n v="56685"/>
    <n v="0.28000000000000003"/>
    <n v="19351"/>
    <n v="9"/>
    <s v="UPI"/>
    <s v="Medium"/>
    <x v="1"/>
    <x v="1"/>
    <n v="7"/>
    <n v="10"/>
    <n v="0.34137778953867864"/>
  </r>
  <r>
    <n v="10420"/>
    <d v="2022-02-24T00:00:00"/>
    <d v="2022-02-28T00:00:00"/>
    <d v="2022-03-02T00:00:00"/>
    <x v="1"/>
    <s v="India"/>
    <s v="Tamil Nadu"/>
    <s v="Delhi"/>
    <x v="1"/>
    <s v="Notebook"/>
    <s v="Laser Printer"/>
    <s v="Corporate"/>
    <n v="67842"/>
    <n v="0.35"/>
    <n v="670"/>
    <n v="21"/>
    <s v="Credit Card"/>
    <s v="Medium"/>
    <x v="1"/>
    <x v="1"/>
    <n v="4"/>
    <n v="6"/>
    <n v="9.8758880929217894E-3"/>
  </r>
  <r>
    <n v="10421"/>
    <d v="2022-02-25T00:00:00"/>
    <d v="2022-02-28T00:00:00"/>
    <d v="2022-03-01T00:00:00"/>
    <x v="3"/>
    <s v="India"/>
    <s v="Tamil Nadu"/>
    <s v="Hyderabad"/>
    <x v="2"/>
    <s v="Table"/>
    <s v="Spiral Notebook"/>
    <s v="Corporate"/>
    <n v="58541"/>
    <n v="0.22"/>
    <n v="5009"/>
    <n v="11"/>
    <s v="Debit Card"/>
    <s v="Critical"/>
    <x v="1"/>
    <x v="1"/>
    <n v="3"/>
    <n v="4"/>
    <n v="8.5563963717736294E-2"/>
  </r>
  <r>
    <n v="10422"/>
    <d v="2022-02-26T00:00:00"/>
    <d v="2022-03-01T00:00:00"/>
    <d v="2022-03-05T00:00:00"/>
    <x v="1"/>
    <s v="India"/>
    <s v="Delhi"/>
    <s v="Kochi"/>
    <x v="0"/>
    <s v="Laptop"/>
    <s v="Smartphone"/>
    <s v="Consumer"/>
    <n v="38438"/>
    <n v="0.4"/>
    <n v="11141"/>
    <n v="2"/>
    <s v="UPI"/>
    <s v="Low"/>
    <x v="1"/>
    <x v="1"/>
    <n v="3"/>
    <n v="7"/>
    <n v="0.28984338415110045"/>
  </r>
  <r>
    <n v="10423"/>
    <d v="2022-02-27T00:00:00"/>
    <d v="2022-03-03T00:00:00"/>
    <d v="2022-03-07T00:00:00"/>
    <x v="2"/>
    <s v="India"/>
    <s v="Tamil Nadu"/>
    <s v="Delhi"/>
    <x v="2"/>
    <s v="Table"/>
    <s v="Laser Printer"/>
    <s v="Home Office"/>
    <n v="63222"/>
    <n v="0.14000000000000001"/>
    <n v="4027"/>
    <n v="5"/>
    <s v="Credit Card"/>
    <s v="Low"/>
    <x v="1"/>
    <x v="1"/>
    <n v="4"/>
    <n v="8"/>
    <n v="6.3696181708898805E-2"/>
  </r>
  <r>
    <n v="10424"/>
    <d v="2022-02-28T00:00:00"/>
    <d v="2022-03-02T00:00:00"/>
    <d v="2022-03-06T00:00:00"/>
    <x v="1"/>
    <s v="India"/>
    <s v="Kerala"/>
    <s v="Mumbai"/>
    <x v="2"/>
    <s v="Pen"/>
    <s v="Spiral Notebook"/>
    <s v="Consumer"/>
    <n v="4505"/>
    <n v="0.11"/>
    <n v="15734"/>
    <n v="16"/>
    <s v="Debit Card"/>
    <s v="Medium"/>
    <x v="1"/>
    <x v="1"/>
    <n v="2"/>
    <n v="6"/>
    <n v="3.492563817980022"/>
  </r>
  <r>
    <n v="10425"/>
    <d v="2022-03-01T00:00:00"/>
    <d v="2022-03-05T00:00:00"/>
    <d v="2022-03-09T00:00:00"/>
    <x v="2"/>
    <s v="India"/>
    <s v="Karnataka"/>
    <s v="Kochi"/>
    <x v="1"/>
    <s v="Notebook"/>
    <s v="Smartphone"/>
    <s v="Corporate"/>
    <n v="54628"/>
    <n v="0.3"/>
    <n v="6304"/>
    <n v="15"/>
    <s v="Credit Card"/>
    <s v="Low"/>
    <x v="1"/>
    <x v="2"/>
    <n v="4"/>
    <n v="8"/>
    <n v="0.11539869663908618"/>
  </r>
  <r>
    <n v="10426"/>
    <d v="2022-03-02T00:00:00"/>
    <d v="2022-03-08T00:00:00"/>
    <d v="2022-03-10T00:00:00"/>
    <x v="2"/>
    <s v="India"/>
    <s v="Delhi"/>
    <s v="Mumbai"/>
    <x v="2"/>
    <s v="Notebook"/>
    <s v="Smartphone"/>
    <s v="Home Office"/>
    <n v="49180"/>
    <n v="0.13"/>
    <n v="18589"/>
    <n v="6"/>
    <s v="Debit Card"/>
    <s v="Medium"/>
    <x v="1"/>
    <x v="2"/>
    <n v="6"/>
    <n v="8"/>
    <n v="0.37797885319235464"/>
  </r>
  <r>
    <n v="10427"/>
    <d v="2022-03-03T00:00:00"/>
    <d v="2022-03-07T00:00:00"/>
    <d v="2022-03-11T00:00:00"/>
    <x v="1"/>
    <s v="India"/>
    <s v="Karnataka"/>
    <s v="Delhi"/>
    <x v="0"/>
    <s v="Printer"/>
    <s v="Dining Table"/>
    <s v="Corporate"/>
    <n v="32581"/>
    <n v="0.14000000000000001"/>
    <n v="10584"/>
    <n v="14"/>
    <s v="Credit Card"/>
    <s v="High"/>
    <x v="1"/>
    <x v="2"/>
    <n v="4"/>
    <n v="8"/>
    <n v="0.32485190755348209"/>
  </r>
  <r>
    <n v="10428"/>
    <d v="2022-03-04T00:00:00"/>
    <d v="2022-03-06T00:00:00"/>
    <d v="2022-03-11T00:00:00"/>
    <x v="0"/>
    <s v="India"/>
    <s v="Tamil Nadu"/>
    <s v="Delhi"/>
    <x v="2"/>
    <s v="Mobile"/>
    <s v="Gel Pen"/>
    <s v="Consumer"/>
    <n v="2999"/>
    <n v="0.02"/>
    <n v="14885"/>
    <n v="6"/>
    <s v="UPI"/>
    <s v="Medium"/>
    <x v="1"/>
    <x v="2"/>
    <n v="2"/>
    <n v="7"/>
    <n v="4.9633211070356786"/>
  </r>
  <r>
    <n v="10429"/>
    <d v="2022-03-05T00:00:00"/>
    <d v="2022-03-10T00:00:00"/>
    <d v="2022-03-15T00:00:00"/>
    <x v="0"/>
    <s v="India"/>
    <s v="Karnataka"/>
    <s v="Delhi"/>
    <x v="1"/>
    <s v="Pen"/>
    <s v="Laser Printer"/>
    <s v="Home Office"/>
    <n v="47050"/>
    <n v="0.22"/>
    <n v="11484"/>
    <n v="15"/>
    <s v="Debit Card"/>
    <s v="Critical"/>
    <x v="1"/>
    <x v="2"/>
    <n v="5"/>
    <n v="10"/>
    <n v="0.24408076514346441"/>
  </r>
  <r>
    <n v="10430"/>
    <d v="2022-03-06T00:00:00"/>
    <d v="2022-03-09T00:00:00"/>
    <d v="2022-03-10T00:00:00"/>
    <x v="3"/>
    <s v="India"/>
    <s v="Delhi"/>
    <s v="Mumbai"/>
    <x v="2"/>
    <s v="Table"/>
    <s v="Smartphone"/>
    <s v="Home Office"/>
    <n v="31357"/>
    <n v="0.32"/>
    <n v="11913"/>
    <n v="19"/>
    <s v="Net Banking"/>
    <s v="Low"/>
    <x v="1"/>
    <x v="2"/>
    <n v="3"/>
    <n v="4"/>
    <n v="0.37991517045635742"/>
  </r>
  <r>
    <n v="10431"/>
    <d v="2022-03-07T00:00:00"/>
    <d v="2022-03-09T00:00:00"/>
    <d v="2022-03-14T00:00:00"/>
    <x v="3"/>
    <s v="India"/>
    <s v="Delhi"/>
    <s v="Kochi"/>
    <x v="1"/>
    <s v="Printer"/>
    <s v="Gaming Laptop"/>
    <s v="Home Office"/>
    <n v="6541"/>
    <n v="0.18"/>
    <n v="-253"/>
    <n v="20"/>
    <s v="Credit Card"/>
    <s v="High"/>
    <x v="1"/>
    <x v="2"/>
    <n v="2"/>
    <n v="7"/>
    <n v="-3.8679101054884577E-2"/>
  </r>
  <r>
    <n v="10432"/>
    <d v="2022-03-08T00:00:00"/>
    <d v="2022-03-12T00:00:00"/>
    <d v="2022-03-16T00:00:00"/>
    <x v="3"/>
    <s v="India"/>
    <s v="Karnataka"/>
    <s v="Kochi"/>
    <x v="2"/>
    <s v="Table"/>
    <s v="Smartphone"/>
    <s v="Consumer"/>
    <n v="2416"/>
    <n v="0.22"/>
    <n v="10730"/>
    <n v="3"/>
    <s v="Net Banking"/>
    <s v="Low"/>
    <x v="1"/>
    <x v="2"/>
    <n v="4"/>
    <n v="8"/>
    <n v="4.4412251655629138"/>
  </r>
  <r>
    <n v="10433"/>
    <d v="2022-03-09T00:00:00"/>
    <d v="2022-03-11T00:00:00"/>
    <d v="2022-03-15T00:00:00"/>
    <x v="3"/>
    <s v="India"/>
    <s v="Kerala"/>
    <s v="Kochi"/>
    <x v="0"/>
    <s v="Chair"/>
    <s v="Gel Pen"/>
    <s v="Home Office"/>
    <n v="3633"/>
    <n v="0.28999999999999998"/>
    <n v="12947"/>
    <n v="2"/>
    <s v="UPI"/>
    <s v="Medium"/>
    <x v="1"/>
    <x v="2"/>
    <n v="2"/>
    <n v="6"/>
    <n v="3.5637214423341592"/>
  </r>
  <r>
    <n v="10434"/>
    <d v="2022-03-10T00:00:00"/>
    <d v="2022-03-13T00:00:00"/>
    <d v="2022-03-17T00:00:00"/>
    <x v="2"/>
    <s v="India"/>
    <s v="Delhi"/>
    <s v="Mumbai"/>
    <x v="0"/>
    <s v="Pen"/>
    <s v="Office Chair"/>
    <s v="Corporate"/>
    <n v="54818"/>
    <n v="0.25"/>
    <n v="9027"/>
    <n v="11"/>
    <s v="Net Banking"/>
    <s v="Low"/>
    <x v="1"/>
    <x v="2"/>
    <n v="3"/>
    <n v="7"/>
    <n v="0.16467218796745595"/>
  </r>
  <r>
    <n v="10435"/>
    <d v="2022-03-11T00:00:00"/>
    <d v="2022-03-18T00:00:00"/>
    <d v="2022-03-22T00:00:00"/>
    <x v="3"/>
    <s v="India"/>
    <s v="Telangana"/>
    <s v="Hyderabad"/>
    <x v="0"/>
    <s v="Mobile"/>
    <s v="Office Chair"/>
    <s v="Corporate"/>
    <n v="2161"/>
    <n v="7.0000000000000007E-2"/>
    <n v="-65"/>
    <n v="7"/>
    <s v="Credit Card"/>
    <s v="Medium"/>
    <x v="1"/>
    <x v="2"/>
    <n v="7"/>
    <n v="11"/>
    <n v="-3.007866728366497E-2"/>
  </r>
  <r>
    <n v="10436"/>
    <d v="2022-03-12T00:00:00"/>
    <d v="2022-03-14T00:00:00"/>
    <d v="2022-03-15T00:00:00"/>
    <x v="2"/>
    <s v="India"/>
    <s v="Maharashtra"/>
    <s v="Delhi"/>
    <x v="2"/>
    <s v="Pen"/>
    <s v="Dining Table"/>
    <s v="Home Office"/>
    <n v="19582"/>
    <n v="0"/>
    <n v="18164"/>
    <n v="21"/>
    <s v="Debit Card"/>
    <s v="Medium"/>
    <x v="1"/>
    <x v="2"/>
    <n v="2"/>
    <n v="3"/>
    <n v="0.92758655908487386"/>
  </r>
  <r>
    <n v="10437"/>
    <d v="2022-03-13T00:00:00"/>
    <d v="2022-03-19T00:00:00"/>
    <d v="2022-03-24T00:00:00"/>
    <x v="3"/>
    <s v="India"/>
    <s v="Delhi"/>
    <s v="Mumbai"/>
    <x v="1"/>
    <s v="Mobile"/>
    <s v="Office Chair"/>
    <s v="Home Office"/>
    <n v="2762"/>
    <n v="0.1"/>
    <n v="10352"/>
    <n v="23"/>
    <s v="Debit Card"/>
    <s v="Critical"/>
    <x v="1"/>
    <x v="2"/>
    <n v="6"/>
    <n v="11"/>
    <n v="3.7480086893555393"/>
  </r>
  <r>
    <n v="10438"/>
    <d v="2022-03-14T00:00:00"/>
    <d v="2022-03-17T00:00:00"/>
    <d v="2022-03-21T00:00:00"/>
    <x v="2"/>
    <s v="India"/>
    <s v="Telangana"/>
    <s v="Mumbai"/>
    <x v="2"/>
    <s v="Mobile"/>
    <s v="Smartphone"/>
    <s v="Consumer"/>
    <n v="58719"/>
    <n v="0.25"/>
    <n v="14707"/>
    <n v="19"/>
    <s v="Credit Card"/>
    <s v="Low"/>
    <x v="1"/>
    <x v="2"/>
    <n v="3"/>
    <n v="7"/>
    <n v="0.250464074660672"/>
  </r>
  <r>
    <n v="10439"/>
    <d v="2022-03-15T00:00:00"/>
    <d v="2022-03-19T00:00:00"/>
    <d v="2022-03-20T00:00:00"/>
    <x v="0"/>
    <s v="India"/>
    <s v="Tamil Nadu"/>
    <s v="Chennai"/>
    <x v="2"/>
    <s v="Laptop"/>
    <s v="Smartphone"/>
    <s v="Corporate"/>
    <n v="65623"/>
    <n v="0.27"/>
    <n v="-1613"/>
    <n v="4"/>
    <s v="Debit Card"/>
    <s v="High"/>
    <x v="1"/>
    <x v="2"/>
    <n v="4"/>
    <n v="5"/>
    <n v="-2.457979671761425E-2"/>
  </r>
  <r>
    <n v="10440"/>
    <d v="2022-03-16T00:00:00"/>
    <d v="2022-03-23T00:00:00"/>
    <d v="2022-03-25T00:00:00"/>
    <x v="0"/>
    <s v="India"/>
    <s v="Telangana"/>
    <s v="Chennai"/>
    <x v="0"/>
    <s v="Chair"/>
    <s v="Smartphone"/>
    <s v="Home Office"/>
    <n v="30450"/>
    <n v="0.35"/>
    <n v="17944"/>
    <n v="10"/>
    <s v="Cash"/>
    <s v="Medium"/>
    <x v="1"/>
    <x v="2"/>
    <n v="7"/>
    <n v="9"/>
    <n v="0.58929392446633821"/>
  </r>
  <r>
    <n v="10441"/>
    <d v="2022-03-17T00:00:00"/>
    <d v="2022-03-24T00:00:00"/>
    <d v="2022-03-25T00:00:00"/>
    <x v="1"/>
    <s v="India"/>
    <s v="Tamil Nadu"/>
    <s v="Bangalore"/>
    <x v="1"/>
    <s v="Pen"/>
    <s v="Smartphone"/>
    <s v="Corporate"/>
    <n v="61596"/>
    <n v="0.31"/>
    <n v="11961"/>
    <n v="21"/>
    <s v="Cash"/>
    <s v="Low"/>
    <x v="1"/>
    <x v="2"/>
    <n v="7"/>
    <n v="8"/>
    <n v="0.19418468731735827"/>
  </r>
  <r>
    <n v="10442"/>
    <d v="2022-03-18T00:00:00"/>
    <d v="2022-03-20T00:00:00"/>
    <d v="2022-03-23T00:00:00"/>
    <x v="1"/>
    <s v="India"/>
    <s v="Tamil Nadu"/>
    <s v="Bangalore"/>
    <x v="0"/>
    <s v="Chair"/>
    <s v="Gaming Laptop"/>
    <s v="Consumer"/>
    <n v="39079"/>
    <n v="0.09"/>
    <n v="18057"/>
    <n v="18"/>
    <s v="Debit Card"/>
    <s v="Medium"/>
    <x v="1"/>
    <x v="2"/>
    <n v="2"/>
    <n v="5"/>
    <n v="0.46206402415619641"/>
  </r>
  <r>
    <n v="10443"/>
    <d v="2022-03-19T00:00:00"/>
    <d v="2022-03-23T00:00:00"/>
    <d v="2022-03-28T00:00:00"/>
    <x v="0"/>
    <s v="India"/>
    <s v="Karnataka"/>
    <s v="Chennai"/>
    <x v="2"/>
    <s v="Printer"/>
    <s v="Smartphone"/>
    <s v="Home Office"/>
    <n v="31967"/>
    <n v="0.23"/>
    <n v="17238"/>
    <n v="15"/>
    <s v="Net Banking"/>
    <s v="Critical"/>
    <x v="1"/>
    <x v="2"/>
    <n v="4"/>
    <n v="9"/>
    <n v="0.53924359495729968"/>
  </r>
  <r>
    <n v="10444"/>
    <d v="2022-03-20T00:00:00"/>
    <d v="2022-03-24T00:00:00"/>
    <d v="2022-03-27T00:00:00"/>
    <x v="2"/>
    <s v="India"/>
    <s v="Karnataka"/>
    <s v="Mumbai"/>
    <x v="2"/>
    <s v="Table"/>
    <s v="Gaming Laptop"/>
    <s v="Consumer"/>
    <n v="48454"/>
    <n v="0.28999999999999998"/>
    <n v="16778"/>
    <n v="4"/>
    <s v="UPI"/>
    <s v="High"/>
    <x v="1"/>
    <x v="2"/>
    <n v="4"/>
    <n v="7"/>
    <n v="0.34626656210013623"/>
  </r>
  <r>
    <n v="10445"/>
    <d v="2022-03-21T00:00:00"/>
    <d v="2022-03-27T00:00:00"/>
    <d v="2022-04-01T00:00:00"/>
    <x v="3"/>
    <s v="India"/>
    <s v="Tamil Nadu"/>
    <s v="Delhi"/>
    <x v="1"/>
    <s v="Mobile"/>
    <s v="Office Chair"/>
    <s v="Consumer"/>
    <n v="10852"/>
    <n v="0.31"/>
    <n v="7973"/>
    <n v="5"/>
    <s v="Cash"/>
    <s v="High"/>
    <x v="1"/>
    <x v="2"/>
    <n v="6"/>
    <n v="11"/>
    <n v="0.73470328050129008"/>
  </r>
  <r>
    <n v="10446"/>
    <d v="2022-03-22T00:00:00"/>
    <d v="2022-03-25T00:00:00"/>
    <d v="2022-03-27T00:00:00"/>
    <x v="1"/>
    <s v="India"/>
    <s v="Telangana"/>
    <s v="Bangalore"/>
    <x v="1"/>
    <s v="Chair"/>
    <s v="Dining Table"/>
    <s v="Consumer"/>
    <n v="19379"/>
    <n v="0.15"/>
    <n v="10021"/>
    <n v="7"/>
    <s v="Net Banking"/>
    <s v="Medium"/>
    <x v="1"/>
    <x v="2"/>
    <n v="3"/>
    <n v="5"/>
    <n v="0.51710614582795811"/>
  </r>
  <r>
    <n v="10447"/>
    <d v="2022-03-23T00:00:00"/>
    <d v="2022-03-26T00:00:00"/>
    <d v="2022-03-28T00:00:00"/>
    <x v="1"/>
    <s v="India"/>
    <s v="Delhi"/>
    <s v="Delhi"/>
    <x v="1"/>
    <s v="Mobile"/>
    <s v="Gaming Laptop"/>
    <s v="Corporate"/>
    <n v="15525"/>
    <n v="0.02"/>
    <n v="7885"/>
    <n v="6"/>
    <s v="Net Banking"/>
    <s v="Low"/>
    <x v="1"/>
    <x v="2"/>
    <n v="3"/>
    <n v="5"/>
    <n v="0.50789049919484697"/>
  </r>
  <r>
    <n v="10448"/>
    <d v="2022-03-24T00:00:00"/>
    <d v="2022-03-29T00:00:00"/>
    <d v="2022-04-03T00:00:00"/>
    <x v="1"/>
    <s v="India"/>
    <s v="Maharashtra"/>
    <s v="Kochi"/>
    <x v="1"/>
    <s v="Chair"/>
    <s v="Dining Table"/>
    <s v="Corporate"/>
    <n v="50609"/>
    <n v="0.25"/>
    <n v="5408"/>
    <n v="1"/>
    <s v="Debit Card"/>
    <s v="High"/>
    <x v="1"/>
    <x v="2"/>
    <n v="5"/>
    <n v="10"/>
    <n v="0.1068584639095813"/>
  </r>
  <r>
    <n v="10449"/>
    <d v="2022-03-25T00:00:00"/>
    <d v="2022-03-31T00:00:00"/>
    <d v="2022-04-05T00:00:00"/>
    <x v="2"/>
    <s v="India"/>
    <s v="Delhi"/>
    <s v="Kochi"/>
    <x v="2"/>
    <s v="Pen"/>
    <s v="Gel Pen"/>
    <s v="Home Office"/>
    <n v="49175"/>
    <n v="0.32"/>
    <n v="18554"/>
    <n v="22"/>
    <s v="UPI"/>
    <s v="Medium"/>
    <x v="1"/>
    <x v="2"/>
    <n v="6"/>
    <n v="11"/>
    <n v="0.3773055414336553"/>
  </r>
  <r>
    <n v="10450"/>
    <d v="2022-03-26T00:00:00"/>
    <d v="2022-03-28T00:00:00"/>
    <d v="2022-03-29T00:00:00"/>
    <x v="2"/>
    <s v="India"/>
    <s v="Karnataka"/>
    <s v="Mumbai"/>
    <x v="0"/>
    <s v="Pen"/>
    <s v="Smartphone"/>
    <s v="Consumer"/>
    <n v="12342"/>
    <n v="0.28000000000000003"/>
    <n v="11825"/>
    <n v="24"/>
    <s v="Debit Card"/>
    <s v="Critical"/>
    <x v="1"/>
    <x v="2"/>
    <n v="2"/>
    <n v="3"/>
    <n v="0.95811051693404636"/>
  </r>
  <r>
    <n v="10451"/>
    <d v="2022-03-27T00:00:00"/>
    <d v="2022-04-01T00:00:00"/>
    <d v="2022-04-04T00:00:00"/>
    <x v="3"/>
    <s v="India"/>
    <s v="Maharashtra"/>
    <s v="Chennai"/>
    <x v="0"/>
    <s v="Printer"/>
    <s v="Gaming Laptop"/>
    <s v="Home Office"/>
    <n v="23921"/>
    <n v="0.28999999999999998"/>
    <n v="14467"/>
    <n v="12"/>
    <s v="Cash"/>
    <s v="High"/>
    <x v="1"/>
    <x v="2"/>
    <n v="5"/>
    <n v="8"/>
    <n v="0.60478240876217548"/>
  </r>
  <r>
    <n v="10452"/>
    <d v="2022-03-28T00:00:00"/>
    <d v="2022-03-31T00:00:00"/>
    <d v="2022-04-01T00:00:00"/>
    <x v="0"/>
    <s v="India"/>
    <s v="Karnataka"/>
    <s v="Hyderabad"/>
    <x v="1"/>
    <s v="Printer"/>
    <s v="Gel Pen"/>
    <s v="Consumer"/>
    <n v="1681"/>
    <n v="0.34"/>
    <n v="915"/>
    <n v="23"/>
    <s v="Credit Card"/>
    <s v="Critical"/>
    <x v="1"/>
    <x v="2"/>
    <n v="3"/>
    <n v="4"/>
    <n v="0.5443188578227246"/>
  </r>
  <r>
    <n v="10453"/>
    <d v="2022-03-29T00:00:00"/>
    <d v="2022-04-04T00:00:00"/>
    <d v="2022-04-06T00:00:00"/>
    <x v="0"/>
    <s v="India"/>
    <s v="Maharashtra"/>
    <s v="Bangalore"/>
    <x v="2"/>
    <s v="Table"/>
    <s v="Laser Printer"/>
    <s v="Corporate"/>
    <n v="29470"/>
    <n v="0.33"/>
    <n v="10952"/>
    <n v="17"/>
    <s v="UPI"/>
    <s v="Medium"/>
    <x v="1"/>
    <x v="2"/>
    <n v="6"/>
    <n v="8"/>
    <n v="0.37163216830675261"/>
  </r>
  <r>
    <n v="10454"/>
    <d v="2022-03-30T00:00:00"/>
    <d v="2022-04-01T00:00:00"/>
    <d v="2022-04-02T00:00:00"/>
    <x v="0"/>
    <s v="India"/>
    <s v="Maharashtra"/>
    <s v="Mumbai"/>
    <x v="1"/>
    <s v="Table"/>
    <s v="Gel Pen"/>
    <s v="Home Office"/>
    <n v="28315"/>
    <n v="0.19"/>
    <n v="7140"/>
    <n v="23"/>
    <s v="Cash"/>
    <s v="Low"/>
    <x v="1"/>
    <x v="2"/>
    <n v="2"/>
    <n v="3"/>
    <n v="0.25216316440049441"/>
  </r>
  <r>
    <n v="10455"/>
    <d v="2022-03-31T00:00:00"/>
    <d v="2022-04-05T00:00:00"/>
    <d v="2022-04-08T00:00:00"/>
    <x v="1"/>
    <s v="India"/>
    <s v="Kerala"/>
    <s v="Hyderabad"/>
    <x v="0"/>
    <s v="Mobile"/>
    <s v="Office Chair"/>
    <s v="Corporate"/>
    <n v="17357"/>
    <n v="0.15"/>
    <n v="12978"/>
    <n v="8"/>
    <s v="UPI"/>
    <s v="Medium"/>
    <x v="1"/>
    <x v="2"/>
    <n v="5"/>
    <n v="8"/>
    <n v="0.74770985769430198"/>
  </r>
  <r>
    <n v="10456"/>
    <d v="2022-04-01T00:00:00"/>
    <d v="2022-04-04T00:00:00"/>
    <d v="2022-04-06T00:00:00"/>
    <x v="1"/>
    <s v="India"/>
    <s v="Telangana"/>
    <s v="Delhi"/>
    <x v="2"/>
    <s v="Pen"/>
    <s v="Dining Table"/>
    <s v="Consumer"/>
    <n v="9601"/>
    <n v="0.18"/>
    <n v="16529"/>
    <n v="3"/>
    <s v="UPI"/>
    <s v="Critical"/>
    <x v="1"/>
    <x v="3"/>
    <n v="3"/>
    <n v="5"/>
    <n v="1.7215915008853244"/>
  </r>
  <r>
    <n v="10457"/>
    <d v="2022-04-02T00:00:00"/>
    <d v="2022-04-08T00:00:00"/>
    <d v="2022-04-13T00:00:00"/>
    <x v="2"/>
    <s v="India"/>
    <s v="Telangana"/>
    <s v="Chennai"/>
    <x v="0"/>
    <s v="Pen"/>
    <s v="Gel Pen"/>
    <s v="Corporate"/>
    <n v="31239"/>
    <n v="0.18"/>
    <n v="16217"/>
    <n v="5"/>
    <s v="UPI"/>
    <s v="Critical"/>
    <x v="1"/>
    <x v="3"/>
    <n v="6"/>
    <n v="11"/>
    <n v="0.51912673260987863"/>
  </r>
  <r>
    <n v="10458"/>
    <d v="2022-04-03T00:00:00"/>
    <d v="2022-04-05T00:00:00"/>
    <d v="2022-04-08T00:00:00"/>
    <x v="0"/>
    <s v="India"/>
    <s v="Kerala"/>
    <s v="Hyderabad"/>
    <x v="0"/>
    <s v="Laptop"/>
    <s v="Gel Pen"/>
    <s v="Consumer"/>
    <n v="30432"/>
    <n v="0.28999999999999998"/>
    <n v="16379"/>
    <n v="7"/>
    <s v="Credit Card"/>
    <s v="Critical"/>
    <x v="1"/>
    <x v="3"/>
    <n v="2"/>
    <n v="5"/>
    <n v="0.53821635120925337"/>
  </r>
  <r>
    <n v="10459"/>
    <d v="2022-04-04T00:00:00"/>
    <d v="2022-04-10T00:00:00"/>
    <d v="2022-04-15T00:00:00"/>
    <x v="2"/>
    <s v="India"/>
    <s v="Telangana"/>
    <s v="Hyderabad"/>
    <x v="0"/>
    <s v="Chair"/>
    <s v="Gel Pen"/>
    <s v="Consumer"/>
    <n v="10524"/>
    <n v="0.31"/>
    <n v="14458"/>
    <n v="10"/>
    <s v="Net Banking"/>
    <s v="Medium"/>
    <x v="1"/>
    <x v="3"/>
    <n v="6"/>
    <n v="11"/>
    <n v="1.3738122386925125"/>
  </r>
  <r>
    <n v="10460"/>
    <d v="2022-04-05T00:00:00"/>
    <d v="2022-04-08T00:00:00"/>
    <d v="2022-04-12T00:00:00"/>
    <x v="0"/>
    <s v="India"/>
    <s v="Tamil Nadu"/>
    <s v="Hyderabad"/>
    <x v="0"/>
    <s v="Notebook"/>
    <s v="Smartphone"/>
    <s v="Corporate"/>
    <n v="4928"/>
    <n v="0.28000000000000003"/>
    <n v="5864"/>
    <n v="17"/>
    <s v="Cash"/>
    <s v="High"/>
    <x v="1"/>
    <x v="3"/>
    <n v="3"/>
    <n v="7"/>
    <n v="1.1899350649350648"/>
  </r>
  <r>
    <n v="10461"/>
    <d v="2022-04-06T00:00:00"/>
    <d v="2022-04-08T00:00:00"/>
    <d v="2022-04-12T00:00:00"/>
    <x v="2"/>
    <s v="India"/>
    <s v="Karnataka"/>
    <s v="Chennai"/>
    <x v="1"/>
    <s v="Mobile"/>
    <s v="Smartphone"/>
    <s v="Home Office"/>
    <n v="59186"/>
    <n v="0.28999999999999998"/>
    <n v="10369"/>
    <n v="11"/>
    <s v="Net Banking"/>
    <s v="High"/>
    <x v="1"/>
    <x v="3"/>
    <n v="2"/>
    <n v="6"/>
    <n v="0.17519345791234414"/>
  </r>
  <r>
    <n v="10462"/>
    <d v="2022-04-07T00:00:00"/>
    <d v="2022-04-12T00:00:00"/>
    <d v="2022-04-15T00:00:00"/>
    <x v="0"/>
    <s v="India"/>
    <s v="Delhi"/>
    <s v="Kochi"/>
    <x v="2"/>
    <s v="Notebook"/>
    <s v="Gel Pen"/>
    <s v="Home Office"/>
    <n v="55106"/>
    <n v="0.06"/>
    <n v="14676"/>
    <n v="18"/>
    <s v="Net Banking"/>
    <s v="Low"/>
    <x v="1"/>
    <x v="3"/>
    <n v="5"/>
    <n v="8"/>
    <n v="0.26632308641527236"/>
  </r>
  <r>
    <n v="10463"/>
    <d v="2022-04-08T00:00:00"/>
    <d v="2022-04-14T00:00:00"/>
    <d v="2022-04-15T00:00:00"/>
    <x v="2"/>
    <s v="India"/>
    <s v="Delhi"/>
    <s v="Kochi"/>
    <x v="2"/>
    <s v="Table"/>
    <s v="Office Chair"/>
    <s v="Home Office"/>
    <n v="21534"/>
    <n v="0.04"/>
    <n v="16149"/>
    <n v="4"/>
    <s v="Debit Card"/>
    <s v="Critical"/>
    <x v="1"/>
    <x v="3"/>
    <n v="6"/>
    <n v="7"/>
    <n v="0.74993034271384784"/>
  </r>
  <r>
    <n v="10464"/>
    <d v="2022-04-09T00:00:00"/>
    <d v="2022-04-14T00:00:00"/>
    <d v="2022-04-18T00:00:00"/>
    <x v="3"/>
    <s v="India"/>
    <s v="Karnataka"/>
    <s v="Delhi"/>
    <x v="2"/>
    <s v="Mobile"/>
    <s v="Dining Table"/>
    <s v="Consumer"/>
    <n v="63655"/>
    <n v="0.19"/>
    <n v="14966"/>
    <n v="1"/>
    <s v="Debit Card"/>
    <s v="Low"/>
    <x v="1"/>
    <x v="3"/>
    <n v="5"/>
    <n v="9"/>
    <n v="0.23511114602152228"/>
  </r>
  <r>
    <n v="10465"/>
    <d v="2022-04-10T00:00:00"/>
    <d v="2022-04-14T00:00:00"/>
    <d v="2022-04-19T00:00:00"/>
    <x v="0"/>
    <s v="India"/>
    <s v="Telangana"/>
    <s v="Chennai"/>
    <x v="1"/>
    <s v="Table"/>
    <s v="Dining Table"/>
    <s v="Home Office"/>
    <n v="48538"/>
    <n v="7.0000000000000007E-2"/>
    <n v="8859"/>
    <n v="21"/>
    <s v="Net Banking"/>
    <s v="High"/>
    <x v="1"/>
    <x v="3"/>
    <n v="4"/>
    <n v="9"/>
    <n v="0.18251679096790144"/>
  </r>
  <r>
    <n v="10466"/>
    <d v="2022-04-11T00:00:00"/>
    <d v="2022-04-16T00:00:00"/>
    <d v="2022-04-19T00:00:00"/>
    <x v="0"/>
    <s v="India"/>
    <s v="Delhi"/>
    <s v="Delhi"/>
    <x v="0"/>
    <s v="Table"/>
    <s v="Laser Printer"/>
    <s v="Consumer"/>
    <n v="51357"/>
    <n v="0.23"/>
    <n v="3475"/>
    <n v="21"/>
    <s v="UPI"/>
    <s v="Critical"/>
    <x v="1"/>
    <x v="3"/>
    <n v="5"/>
    <n v="8"/>
    <n v="6.7663609634519145E-2"/>
  </r>
  <r>
    <n v="10467"/>
    <d v="2022-04-12T00:00:00"/>
    <d v="2022-04-14T00:00:00"/>
    <d v="2022-04-15T00:00:00"/>
    <x v="3"/>
    <s v="India"/>
    <s v="Telangana"/>
    <s v="Mumbai"/>
    <x v="1"/>
    <s v="Notebook"/>
    <s v="Smartphone"/>
    <s v="Consumer"/>
    <n v="68046"/>
    <n v="0.38"/>
    <n v="10769"/>
    <n v="9"/>
    <s v="Cash"/>
    <s v="Low"/>
    <x v="1"/>
    <x v="3"/>
    <n v="2"/>
    <n v="3"/>
    <n v="0.15826058842547688"/>
  </r>
  <r>
    <n v="10468"/>
    <d v="2022-04-13T00:00:00"/>
    <d v="2022-04-16T00:00:00"/>
    <d v="2022-04-19T00:00:00"/>
    <x v="2"/>
    <s v="India"/>
    <s v="Karnataka"/>
    <s v="Hyderabad"/>
    <x v="1"/>
    <s v="Mobile"/>
    <s v="Smartphone"/>
    <s v="Consumer"/>
    <n v="11409"/>
    <n v="0.05"/>
    <n v="12057"/>
    <n v="10"/>
    <s v="Debit Card"/>
    <s v="Critical"/>
    <x v="1"/>
    <x v="3"/>
    <n v="3"/>
    <n v="6"/>
    <n v="1.0567972653168551"/>
  </r>
  <r>
    <n v="10469"/>
    <d v="2022-04-14T00:00:00"/>
    <d v="2022-04-20T00:00:00"/>
    <d v="2022-04-21T00:00:00"/>
    <x v="3"/>
    <s v="India"/>
    <s v="Tamil Nadu"/>
    <s v="Kochi"/>
    <x v="1"/>
    <s v="Table"/>
    <s v="Office Chair"/>
    <s v="Corporate"/>
    <n v="28660"/>
    <n v="0.04"/>
    <n v="1904"/>
    <n v="20"/>
    <s v="Net Banking"/>
    <s v="Medium"/>
    <x v="1"/>
    <x v="3"/>
    <n v="6"/>
    <n v="7"/>
    <n v="6.6434054431263087E-2"/>
  </r>
  <r>
    <n v="10470"/>
    <d v="2022-04-15T00:00:00"/>
    <d v="2022-04-19T00:00:00"/>
    <d v="2022-04-22T00:00:00"/>
    <x v="0"/>
    <s v="India"/>
    <s v="Delhi"/>
    <s v="Delhi"/>
    <x v="2"/>
    <s v="Printer"/>
    <s v="Spiral Notebook"/>
    <s v="Corporate"/>
    <n v="16900"/>
    <n v="0.2"/>
    <n v="1429"/>
    <n v="8"/>
    <s v="Credit Card"/>
    <s v="Critical"/>
    <x v="1"/>
    <x v="3"/>
    <n v="4"/>
    <n v="7"/>
    <n v="8.4556213017751486E-2"/>
  </r>
  <r>
    <n v="10471"/>
    <d v="2022-04-16T00:00:00"/>
    <d v="2022-04-23T00:00:00"/>
    <d v="2022-04-25T00:00:00"/>
    <x v="3"/>
    <s v="India"/>
    <s v="Karnataka"/>
    <s v="Bangalore"/>
    <x v="1"/>
    <s v="Mobile"/>
    <s v="Gel Pen"/>
    <s v="Consumer"/>
    <n v="49345"/>
    <n v="0.21"/>
    <n v="10220"/>
    <n v="21"/>
    <s v="Debit Card"/>
    <s v="Low"/>
    <x v="1"/>
    <x v="3"/>
    <n v="7"/>
    <n v="9"/>
    <n v="0.20711318269328199"/>
  </r>
  <r>
    <n v="10472"/>
    <d v="2022-04-17T00:00:00"/>
    <d v="2022-04-22T00:00:00"/>
    <d v="2022-04-24T00:00:00"/>
    <x v="2"/>
    <s v="India"/>
    <s v="Kerala"/>
    <s v="Delhi"/>
    <x v="0"/>
    <s v="Notebook"/>
    <s v="Laser Printer"/>
    <s v="Corporate"/>
    <n v="59722"/>
    <n v="0.08"/>
    <n v="5681"/>
    <n v="23"/>
    <s v="UPI"/>
    <s v="Medium"/>
    <x v="1"/>
    <x v="3"/>
    <n v="5"/>
    <n v="7"/>
    <n v="9.5124074880278631E-2"/>
  </r>
  <r>
    <n v="10473"/>
    <d v="2022-04-18T00:00:00"/>
    <d v="2022-04-24T00:00:00"/>
    <d v="2022-04-29T00:00:00"/>
    <x v="2"/>
    <s v="India"/>
    <s v="Maharashtra"/>
    <s v="Bangalore"/>
    <x v="0"/>
    <s v="Printer"/>
    <s v="Gaming Laptop"/>
    <s v="Home Office"/>
    <n v="17070"/>
    <n v="0.08"/>
    <n v="510"/>
    <n v="24"/>
    <s v="Debit Card"/>
    <s v="Medium"/>
    <x v="1"/>
    <x v="3"/>
    <n v="6"/>
    <n v="11"/>
    <n v="2.9876977152899824E-2"/>
  </r>
  <r>
    <n v="10474"/>
    <d v="2022-04-19T00:00:00"/>
    <d v="2022-04-21T00:00:00"/>
    <d v="2022-04-26T00:00:00"/>
    <x v="1"/>
    <s v="India"/>
    <s v="Tamil Nadu"/>
    <s v="Delhi"/>
    <x v="0"/>
    <s v="Chair"/>
    <s v="Gaming Laptop"/>
    <s v="Corporate"/>
    <n v="1874"/>
    <n v="0.39"/>
    <n v="11705"/>
    <n v="10"/>
    <s v="Credit Card"/>
    <s v="Low"/>
    <x v="1"/>
    <x v="3"/>
    <n v="2"/>
    <n v="7"/>
    <n v="6.245997865528282"/>
  </r>
  <r>
    <n v="10475"/>
    <d v="2022-04-20T00:00:00"/>
    <d v="2022-04-25T00:00:00"/>
    <d v="2022-04-26T00:00:00"/>
    <x v="1"/>
    <s v="India"/>
    <s v="Telangana"/>
    <s v="Hyderabad"/>
    <x v="0"/>
    <s v="Laptop"/>
    <s v="Gaming Laptop"/>
    <s v="Consumer"/>
    <n v="37421"/>
    <n v="0.03"/>
    <n v="11869"/>
    <n v="19"/>
    <s v="Cash"/>
    <s v="Medium"/>
    <x v="1"/>
    <x v="3"/>
    <n v="5"/>
    <n v="6"/>
    <n v="0.31717484834718473"/>
  </r>
  <r>
    <n v="10476"/>
    <d v="2022-04-21T00:00:00"/>
    <d v="2022-04-24T00:00:00"/>
    <d v="2022-04-25T00:00:00"/>
    <x v="0"/>
    <s v="India"/>
    <s v="Kerala"/>
    <s v="Bangalore"/>
    <x v="2"/>
    <s v="Pen"/>
    <s v="Gel Pen"/>
    <s v="Home Office"/>
    <n v="22610"/>
    <n v="0.02"/>
    <n v="7261"/>
    <n v="20"/>
    <s v="Credit Card"/>
    <s v="Low"/>
    <x v="1"/>
    <x v="3"/>
    <n v="3"/>
    <n v="4"/>
    <n v="0.32114108801415303"/>
  </r>
  <r>
    <n v="10477"/>
    <d v="2022-04-22T00:00:00"/>
    <d v="2022-04-26T00:00:00"/>
    <d v="2022-04-28T00:00:00"/>
    <x v="3"/>
    <s v="India"/>
    <s v="Maharashtra"/>
    <s v="Hyderabad"/>
    <x v="0"/>
    <s v="Printer"/>
    <s v="Spiral Notebook"/>
    <s v="Corporate"/>
    <n v="24976"/>
    <n v="0.34"/>
    <n v="17940"/>
    <n v="9"/>
    <s v="Debit Card"/>
    <s v="Medium"/>
    <x v="1"/>
    <x v="3"/>
    <n v="4"/>
    <n v="6"/>
    <n v="0.71828955797565663"/>
  </r>
  <r>
    <n v="10478"/>
    <d v="2022-04-23T00:00:00"/>
    <d v="2022-04-27T00:00:00"/>
    <d v="2022-04-28T00:00:00"/>
    <x v="3"/>
    <s v="India"/>
    <s v="Kerala"/>
    <s v="Delhi"/>
    <x v="0"/>
    <s v="Pen"/>
    <s v="Smartphone"/>
    <s v="Home Office"/>
    <n v="44064"/>
    <n v="0.34"/>
    <n v="14952"/>
    <n v="22"/>
    <s v="Net Banking"/>
    <s v="Low"/>
    <x v="1"/>
    <x v="3"/>
    <n v="4"/>
    <n v="5"/>
    <n v="0.33932461873638342"/>
  </r>
  <r>
    <n v="10479"/>
    <d v="2022-04-24T00:00:00"/>
    <d v="2022-05-01T00:00:00"/>
    <d v="2022-05-05T00:00:00"/>
    <x v="0"/>
    <s v="India"/>
    <s v="Karnataka"/>
    <s v="Chennai"/>
    <x v="1"/>
    <s v="Chair"/>
    <s v="Smartphone"/>
    <s v="Home Office"/>
    <n v="74840"/>
    <n v="0.37"/>
    <n v="2852"/>
    <n v="11"/>
    <s v="Debit Card"/>
    <s v="Low"/>
    <x v="1"/>
    <x v="3"/>
    <n v="7"/>
    <n v="11"/>
    <n v="3.8107963655799035E-2"/>
  </r>
  <r>
    <n v="10480"/>
    <d v="2022-04-25T00:00:00"/>
    <d v="2022-04-27T00:00:00"/>
    <d v="2022-04-30T00:00:00"/>
    <x v="0"/>
    <s v="India"/>
    <s v="Kerala"/>
    <s v="Chennai"/>
    <x v="1"/>
    <s v="Pen"/>
    <s v="Gaming Laptop"/>
    <s v="Consumer"/>
    <n v="63068"/>
    <n v="0.2"/>
    <n v="7242"/>
    <n v="4"/>
    <s v="Debit Card"/>
    <s v="High"/>
    <x v="1"/>
    <x v="3"/>
    <n v="2"/>
    <n v="5"/>
    <n v="0.11482843914504978"/>
  </r>
  <r>
    <n v="10481"/>
    <d v="2022-04-26T00:00:00"/>
    <d v="2022-04-29T00:00:00"/>
    <d v="2022-05-01T00:00:00"/>
    <x v="2"/>
    <s v="India"/>
    <s v="Kerala"/>
    <s v="Chennai"/>
    <x v="2"/>
    <s v="Mobile"/>
    <s v="Smartphone"/>
    <s v="Consumer"/>
    <n v="58788"/>
    <n v="0.39"/>
    <n v="16164"/>
    <n v="19"/>
    <s v="Debit Card"/>
    <s v="Low"/>
    <x v="1"/>
    <x v="3"/>
    <n v="3"/>
    <n v="5"/>
    <n v="0.2749540722596448"/>
  </r>
  <r>
    <n v="10482"/>
    <d v="2022-04-27T00:00:00"/>
    <d v="2022-05-03T00:00:00"/>
    <d v="2022-05-06T00:00:00"/>
    <x v="3"/>
    <s v="India"/>
    <s v="Maharashtra"/>
    <s v="Hyderabad"/>
    <x v="2"/>
    <s v="Chair"/>
    <s v="Office Chair"/>
    <s v="Consumer"/>
    <n v="17977"/>
    <n v="0.4"/>
    <n v="12170"/>
    <n v="10"/>
    <s v="UPI"/>
    <s v="Low"/>
    <x v="1"/>
    <x v="3"/>
    <n v="6"/>
    <n v="9"/>
    <n v="0.6769761361740001"/>
  </r>
  <r>
    <n v="10483"/>
    <d v="2022-04-28T00:00:00"/>
    <d v="2022-05-02T00:00:00"/>
    <d v="2022-05-07T00:00:00"/>
    <x v="0"/>
    <s v="India"/>
    <s v="Tamil Nadu"/>
    <s v="Hyderabad"/>
    <x v="0"/>
    <s v="Mobile"/>
    <s v="Dining Table"/>
    <s v="Consumer"/>
    <n v="17918"/>
    <n v="0.2"/>
    <n v="14531"/>
    <n v="4"/>
    <s v="Net Banking"/>
    <s v="Critical"/>
    <x v="1"/>
    <x v="3"/>
    <n v="4"/>
    <n v="9"/>
    <n v="0.81097220671949999"/>
  </r>
  <r>
    <n v="10484"/>
    <d v="2022-04-29T00:00:00"/>
    <d v="2022-05-06T00:00:00"/>
    <d v="2022-05-07T00:00:00"/>
    <x v="1"/>
    <s v="India"/>
    <s v="Delhi"/>
    <s v="Hyderabad"/>
    <x v="0"/>
    <s v="Laptop"/>
    <s v="Gaming Laptop"/>
    <s v="Corporate"/>
    <n v="41585"/>
    <n v="0.25"/>
    <n v="14313"/>
    <n v="20"/>
    <s v="Cash"/>
    <s v="Medium"/>
    <x v="1"/>
    <x v="3"/>
    <n v="7"/>
    <n v="8"/>
    <n v="0.34418660574726462"/>
  </r>
  <r>
    <n v="10485"/>
    <d v="2022-04-30T00:00:00"/>
    <d v="2022-05-07T00:00:00"/>
    <d v="2022-05-10T00:00:00"/>
    <x v="1"/>
    <s v="India"/>
    <s v="Delhi"/>
    <s v="Chennai"/>
    <x v="2"/>
    <s v="Notebook"/>
    <s v="Spiral Notebook"/>
    <s v="Corporate"/>
    <n v="17933"/>
    <n v="0.24"/>
    <n v="9578"/>
    <n v="3"/>
    <s v="Net Banking"/>
    <s v="Critical"/>
    <x v="1"/>
    <x v="3"/>
    <n v="7"/>
    <n v="10"/>
    <n v="0.53409914682429038"/>
  </r>
  <r>
    <n v="10486"/>
    <d v="2022-05-01T00:00:00"/>
    <d v="2022-05-05T00:00:00"/>
    <d v="2022-05-09T00:00:00"/>
    <x v="2"/>
    <s v="India"/>
    <s v="Karnataka"/>
    <s v="Kochi"/>
    <x v="1"/>
    <s v="Laptop"/>
    <s v="Office Chair"/>
    <s v="Corporate"/>
    <n v="52733"/>
    <n v="0.17"/>
    <n v="12092"/>
    <n v="24"/>
    <s v="Cash"/>
    <s v="Low"/>
    <x v="1"/>
    <x v="4"/>
    <n v="4"/>
    <n v="8"/>
    <n v="0.22930612709309162"/>
  </r>
  <r>
    <n v="10487"/>
    <d v="2022-05-02T00:00:00"/>
    <d v="2022-05-07T00:00:00"/>
    <d v="2022-05-11T00:00:00"/>
    <x v="1"/>
    <s v="India"/>
    <s v="Kerala"/>
    <s v="Kochi"/>
    <x v="2"/>
    <s v="Notebook"/>
    <s v="Office Chair"/>
    <s v="Home Office"/>
    <n v="47639"/>
    <n v="0.24"/>
    <n v="-1655"/>
    <n v="20"/>
    <s v="UPI"/>
    <s v="Critical"/>
    <x v="1"/>
    <x v="4"/>
    <n v="5"/>
    <n v="9"/>
    <n v="-3.4740443754067048E-2"/>
  </r>
  <r>
    <n v="10488"/>
    <d v="2022-05-03T00:00:00"/>
    <d v="2022-05-08T00:00:00"/>
    <d v="2022-05-13T00:00:00"/>
    <x v="1"/>
    <s v="India"/>
    <s v="Tamil Nadu"/>
    <s v="Hyderabad"/>
    <x v="0"/>
    <s v="Notebook"/>
    <s v="Gel Pen"/>
    <s v="Corporate"/>
    <n v="44824"/>
    <n v="0.35"/>
    <n v="9547"/>
    <n v="8"/>
    <s v="Credit Card"/>
    <s v="Critical"/>
    <x v="1"/>
    <x v="4"/>
    <n v="5"/>
    <n v="10"/>
    <n v="0.21298857754774228"/>
  </r>
  <r>
    <n v="10489"/>
    <d v="2022-05-04T00:00:00"/>
    <d v="2022-05-09T00:00:00"/>
    <d v="2022-05-14T00:00:00"/>
    <x v="2"/>
    <s v="India"/>
    <s v="Karnataka"/>
    <s v="Bangalore"/>
    <x v="0"/>
    <s v="Printer"/>
    <s v="Dining Table"/>
    <s v="Consumer"/>
    <n v="44528"/>
    <n v="0.09"/>
    <n v="12955"/>
    <n v="24"/>
    <s v="Debit Card"/>
    <s v="Medium"/>
    <x v="1"/>
    <x v="4"/>
    <n v="5"/>
    <n v="10"/>
    <n v="0.29094053180021562"/>
  </r>
  <r>
    <n v="10490"/>
    <d v="2022-05-05T00:00:00"/>
    <d v="2022-05-10T00:00:00"/>
    <d v="2022-05-12T00:00:00"/>
    <x v="3"/>
    <s v="India"/>
    <s v="Telangana"/>
    <s v="Bangalore"/>
    <x v="2"/>
    <s v="Chair"/>
    <s v="Office Chair"/>
    <s v="Corporate"/>
    <n v="52191"/>
    <n v="0.17"/>
    <n v="3206"/>
    <n v="18"/>
    <s v="UPI"/>
    <s v="High"/>
    <x v="1"/>
    <x v="4"/>
    <n v="5"/>
    <n v="7"/>
    <n v="6.1428215592726716E-2"/>
  </r>
  <r>
    <n v="10491"/>
    <d v="2022-05-06T00:00:00"/>
    <d v="2022-05-13T00:00:00"/>
    <d v="2022-05-18T00:00:00"/>
    <x v="0"/>
    <s v="India"/>
    <s v="Tamil Nadu"/>
    <s v="Hyderabad"/>
    <x v="0"/>
    <s v="Table"/>
    <s v="Spiral Notebook"/>
    <s v="Consumer"/>
    <n v="26255"/>
    <n v="0.36"/>
    <n v="-1678"/>
    <n v="8"/>
    <s v="UPI"/>
    <s v="Medium"/>
    <x v="1"/>
    <x v="4"/>
    <n v="7"/>
    <n v="12"/>
    <n v="-6.3911635878880213E-2"/>
  </r>
  <r>
    <n v="10492"/>
    <d v="2022-05-07T00:00:00"/>
    <d v="2022-05-11T00:00:00"/>
    <d v="2022-05-12T00:00:00"/>
    <x v="1"/>
    <s v="India"/>
    <s v="Tamil Nadu"/>
    <s v="Hyderabad"/>
    <x v="1"/>
    <s v="Table"/>
    <s v="Gaming Laptop"/>
    <s v="Consumer"/>
    <n v="51650"/>
    <n v="0.12"/>
    <n v="3763"/>
    <n v="17"/>
    <s v="Credit Card"/>
    <s v="High"/>
    <x v="1"/>
    <x v="4"/>
    <n v="4"/>
    <n v="5"/>
    <n v="7.2855759922555663E-2"/>
  </r>
  <r>
    <n v="10493"/>
    <d v="2022-05-08T00:00:00"/>
    <d v="2022-05-15T00:00:00"/>
    <d v="2022-05-20T00:00:00"/>
    <x v="1"/>
    <s v="India"/>
    <s v="Kerala"/>
    <s v="Chennai"/>
    <x v="1"/>
    <s v="Laptop"/>
    <s v="Laser Printer"/>
    <s v="Home Office"/>
    <n v="17228"/>
    <n v="0.09"/>
    <n v="15131"/>
    <n v="9"/>
    <s v="Cash"/>
    <s v="Medium"/>
    <x v="1"/>
    <x v="4"/>
    <n v="7"/>
    <n v="12"/>
    <n v="0.87827954492686322"/>
  </r>
  <r>
    <n v="10494"/>
    <d v="2022-05-09T00:00:00"/>
    <d v="2022-05-15T00:00:00"/>
    <d v="2022-05-18T00:00:00"/>
    <x v="3"/>
    <s v="India"/>
    <s v="Karnataka"/>
    <s v="Mumbai"/>
    <x v="1"/>
    <s v="Chair"/>
    <s v="Gaming Laptop"/>
    <s v="Consumer"/>
    <n v="56370"/>
    <n v="0.08"/>
    <n v="10875"/>
    <n v="5"/>
    <s v="Cash"/>
    <s v="Low"/>
    <x v="1"/>
    <x v="4"/>
    <n v="6"/>
    <n v="9"/>
    <n v="0.1929217668972858"/>
  </r>
  <r>
    <n v="10495"/>
    <d v="2022-05-10T00:00:00"/>
    <d v="2022-05-15T00:00:00"/>
    <d v="2022-05-18T00:00:00"/>
    <x v="2"/>
    <s v="India"/>
    <s v="Delhi"/>
    <s v="Hyderabad"/>
    <x v="0"/>
    <s v="Printer"/>
    <s v="Smartphone"/>
    <s v="Home Office"/>
    <n v="9376"/>
    <n v="0.32"/>
    <n v="7115"/>
    <n v="7"/>
    <s v="Debit Card"/>
    <s v="Critical"/>
    <x v="1"/>
    <x v="4"/>
    <n v="5"/>
    <n v="8"/>
    <n v="0.75885238907849828"/>
  </r>
  <r>
    <n v="10496"/>
    <d v="2022-05-11T00:00:00"/>
    <d v="2022-05-14T00:00:00"/>
    <d v="2022-05-17T00:00:00"/>
    <x v="0"/>
    <s v="India"/>
    <s v="Delhi"/>
    <s v="Hyderabad"/>
    <x v="0"/>
    <s v="Laptop"/>
    <s v="Spiral Notebook"/>
    <s v="Home Office"/>
    <n v="19166"/>
    <n v="0.06"/>
    <n v="10483"/>
    <n v="3"/>
    <s v="Net Banking"/>
    <s v="High"/>
    <x v="1"/>
    <x v="4"/>
    <n v="3"/>
    <n v="6"/>
    <n v="0.54695815506626322"/>
  </r>
  <r>
    <n v="10497"/>
    <d v="2022-05-12T00:00:00"/>
    <d v="2022-05-19T00:00:00"/>
    <d v="2022-05-21T00:00:00"/>
    <x v="2"/>
    <s v="India"/>
    <s v="Karnataka"/>
    <s v="Chennai"/>
    <x v="0"/>
    <s v="Table"/>
    <s v="Office Chair"/>
    <s v="Corporate"/>
    <n v="10816"/>
    <n v="0.01"/>
    <n v="3354"/>
    <n v="23"/>
    <s v="Net Banking"/>
    <s v="Low"/>
    <x v="1"/>
    <x v="4"/>
    <n v="7"/>
    <n v="9"/>
    <n v="0.31009615384615385"/>
  </r>
  <r>
    <n v="10498"/>
    <d v="2022-05-13T00:00:00"/>
    <d v="2022-05-20T00:00:00"/>
    <d v="2022-05-24T00:00:00"/>
    <x v="2"/>
    <s v="India"/>
    <s v="Karnataka"/>
    <s v="Mumbai"/>
    <x v="1"/>
    <s v="Table"/>
    <s v="Dining Table"/>
    <s v="Corporate"/>
    <n v="49295"/>
    <n v="0.05"/>
    <n v="8106"/>
    <n v="24"/>
    <s v="Net Banking"/>
    <s v="Medium"/>
    <x v="1"/>
    <x v="4"/>
    <n v="7"/>
    <n v="11"/>
    <n v="0.16443858403489198"/>
  </r>
  <r>
    <n v="10499"/>
    <d v="2022-05-14T00:00:00"/>
    <d v="2022-05-21T00:00:00"/>
    <d v="2022-05-23T00:00:00"/>
    <x v="2"/>
    <s v="India"/>
    <s v="Delhi"/>
    <s v="Hyderabad"/>
    <x v="2"/>
    <s v="Notebook"/>
    <s v="Office Chair"/>
    <s v="Consumer"/>
    <n v="31800"/>
    <n v="0.03"/>
    <n v="11093"/>
    <n v="11"/>
    <s v="Net Banking"/>
    <s v="High"/>
    <x v="1"/>
    <x v="4"/>
    <n v="7"/>
    <n v="9"/>
    <n v="0.3488364779874214"/>
  </r>
  <r>
    <n v="10500"/>
    <d v="2022-05-15T00:00:00"/>
    <d v="2022-05-21T00:00:00"/>
    <d v="2022-05-22T00:00:00"/>
    <x v="3"/>
    <s v="India"/>
    <s v="Delhi"/>
    <s v="Bangalore"/>
    <x v="1"/>
    <s v="Table"/>
    <s v="Gaming Laptop"/>
    <s v="Corporate"/>
    <n v="22694"/>
    <n v="0.09"/>
    <n v="-328"/>
    <n v="19"/>
    <s v="Debit Card"/>
    <s v="High"/>
    <x v="1"/>
    <x v="4"/>
    <n v="6"/>
    <n v="7"/>
    <n v="-1.4453159425398784E-2"/>
  </r>
  <r>
    <n v="10501"/>
    <d v="2022-05-16T00:00:00"/>
    <d v="2022-05-18T00:00:00"/>
    <d v="2022-05-20T00:00:00"/>
    <x v="1"/>
    <s v="India"/>
    <s v="Tamil Nadu"/>
    <s v="Delhi"/>
    <x v="0"/>
    <s v="Pen"/>
    <s v="Smartphone"/>
    <s v="Consumer"/>
    <n v="36597"/>
    <n v="0.33"/>
    <n v="19729"/>
    <n v="20"/>
    <s v="Credit Card"/>
    <s v="Medium"/>
    <x v="1"/>
    <x v="4"/>
    <n v="2"/>
    <n v="4"/>
    <n v="0.53908790338005852"/>
  </r>
  <r>
    <n v="10502"/>
    <d v="2022-05-17T00:00:00"/>
    <d v="2022-05-24T00:00:00"/>
    <d v="2022-05-28T00:00:00"/>
    <x v="2"/>
    <s v="India"/>
    <s v="Telangana"/>
    <s v="Chennai"/>
    <x v="2"/>
    <s v="Notebook"/>
    <s v="Spiral Notebook"/>
    <s v="Consumer"/>
    <n v="51053"/>
    <n v="0.11"/>
    <n v="6343"/>
    <n v="16"/>
    <s v="UPI"/>
    <s v="Medium"/>
    <x v="1"/>
    <x v="4"/>
    <n v="7"/>
    <n v="11"/>
    <n v="0.12424343329481127"/>
  </r>
  <r>
    <n v="10503"/>
    <d v="2022-05-18T00:00:00"/>
    <d v="2022-05-24T00:00:00"/>
    <d v="2022-05-26T00:00:00"/>
    <x v="0"/>
    <s v="India"/>
    <s v="Tamil Nadu"/>
    <s v="Hyderabad"/>
    <x v="1"/>
    <s v="Table"/>
    <s v="Laser Printer"/>
    <s v="Home Office"/>
    <n v="47538"/>
    <n v="0.27"/>
    <n v="5706"/>
    <n v="21"/>
    <s v="Cash"/>
    <s v="Low"/>
    <x v="1"/>
    <x v="4"/>
    <n v="6"/>
    <n v="8"/>
    <n v="0.1200302915562287"/>
  </r>
  <r>
    <n v="10504"/>
    <d v="2022-05-19T00:00:00"/>
    <d v="2022-05-22T00:00:00"/>
    <d v="2022-05-25T00:00:00"/>
    <x v="0"/>
    <s v="India"/>
    <s v="Kerala"/>
    <s v="Hyderabad"/>
    <x v="2"/>
    <s v="Printer"/>
    <s v="Laser Printer"/>
    <s v="Home Office"/>
    <n v="7357"/>
    <n v="0.36"/>
    <n v="10467"/>
    <n v="20"/>
    <s v="Debit Card"/>
    <s v="Medium"/>
    <x v="1"/>
    <x v="4"/>
    <n v="3"/>
    <n v="6"/>
    <n v="1.4227266548865027"/>
  </r>
  <r>
    <n v="10505"/>
    <d v="2022-05-20T00:00:00"/>
    <d v="2022-05-27T00:00:00"/>
    <d v="2022-06-01T00:00:00"/>
    <x v="0"/>
    <s v="India"/>
    <s v="Telangana"/>
    <s v="Delhi"/>
    <x v="1"/>
    <s v="Mobile"/>
    <s v="Gaming Laptop"/>
    <s v="Corporate"/>
    <n v="4994"/>
    <n v="0.32"/>
    <n v="8206"/>
    <n v="24"/>
    <s v="Cash"/>
    <s v="Critical"/>
    <x v="1"/>
    <x v="4"/>
    <n v="7"/>
    <n v="12"/>
    <n v="1.6431718061674008"/>
  </r>
  <r>
    <n v="10506"/>
    <d v="2022-05-21T00:00:00"/>
    <d v="2022-05-26T00:00:00"/>
    <d v="2022-05-29T00:00:00"/>
    <x v="3"/>
    <s v="India"/>
    <s v="Kerala"/>
    <s v="Hyderabad"/>
    <x v="0"/>
    <s v="Mobile"/>
    <s v="Gaming Laptop"/>
    <s v="Corporate"/>
    <n v="16216"/>
    <n v="0.3"/>
    <n v="15625"/>
    <n v="23"/>
    <s v="Credit Card"/>
    <s v="Critical"/>
    <x v="1"/>
    <x v="4"/>
    <n v="5"/>
    <n v="8"/>
    <n v="0.96355451406018744"/>
  </r>
  <r>
    <n v="10507"/>
    <d v="2022-05-22T00:00:00"/>
    <d v="2022-05-28T00:00:00"/>
    <d v="2022-05-29T00:00:00"/>
    <x v="1"/>
    <s v="India"/>
    <s v="Karnataka"/>
    <s v="Kochi"/>
    <x v="1"/>
    <s v="Printer"/>
    <s v="Gaming Laptop"/>
    <s v="Consumer"/>
    <n v="45599"/>
    <n v="0.39"/>
    <n v="17415"/>
    <n v="20"/>
    <s v="Credit Card"/>
    <s v="Critical"/>
    <x v="1"/>
    <x v="4"/>
    <n v="6"/>
    <n v="7"/>
    <n v="0.38191627009364243"/>
  </r>
  <r>
    <n v="10508"/>
    <d v="2022-05-23T00:00:00"/>
    <d v="2022-05-28T00:00:00"/>
    <d v="2022-05-29T00:00:00"/>
    <x v="3"/>
    <s v="India"/>
    <s v="Delhi"/>
    <s v="Bangalore"/>
    <x v="0"/>
    <s v="Pen"/>
    <s v="Gaming Laptop"/>
    <s v="Consumer"/>
    <n v="1134"/>
    <n v="0.3"/>
    <n v="10106"/>
    <n v="10"/>
    <s v="Credit Card"/>
    <s v="Low"/>
    <x v="1"/>
    <x v="4"/>
    <n v="5"/>
    <n v="6"/>
    <n v="8.9118165784832453"/>
  </r>
  <r>
    <n v="10509"/>
    <d v="2022-05-24T00:00:00"/>
    <d v="2022-05-29T00:00:00"/>
    <d v="2022-06-03T00:00:00"/>
    <x v="0"/>
    <s v="India"/>
    <s v="Delhi"/>
    <s v="Bangalore"/>
    <x v="2"/>
    <s v="Laptop"/>
    <s v="Smartphone"/>
    <s v="Consumer"/>
    <n v="52392"/>
    <n v="0.03"/>
    <n v="19113"/>
    <n v="4"/>
    <s v="Net Banking"/>
    <s v="Critical"/>
    <x v="1"/>
    <x v="4"/>
    <n v="5"/>
    <n v="10"/>
    <n v="0.36480760421438385"/>
  </r>
  <r>
    <n v="10510"/>
    <d v="2022-05-25T00:00:00"/>
    <d v="2022-05-30T00:00:00"/>
    <d v="2022-05-31T00:00:00"/>
    <x v="1"/>
    <s v="India"/>
    <s v="Maharashtra"/>
    <s v="Hyderabad"/>
    <x v="1"/>
    <s v="Laptop"/>
    <s v="Gaming Laptop"/>
    <s v="Corporate"/>
    <n v="14791"/>
    <n v="0.13"/>
    <n v="2265"/>
    <n v="6"/>
    <s v="Net Banking"/>
    <s v="Critical"/>
    <x v="1"/>
    <x v="4"/>
    <n v="5"/>
    <n v="6"/>
    <n v="0.15313366236224732"/>
  </r>
  <r>
    <n v="10511"/>
    <d v="2022-05-26T00:00:00"/>
    <d v="2022-05-31T00:00:00"/>
    <d v="2022-06-01T00:00:00"/>
    <x v="3"/>
    <s v="India"/>
    <s v="Telangana"/>
    <s v="Chennai"/>
    <x v="1"/>
    <s v="Notebook"/>
    <s v="Gel Pen"/>
    <s v="Corporate"/>
    <n v="60574"/>
    <n v="0.39"/>
    <n v="5133"/>
    <n v="21"/>
    <s v="Credit Card"/>
    <s v="High"/>
    <x v="1"/>
    <x v="4"/>
    <n v="5"/>
    <n v="6"/>
    <n v="8.4739327104038031E-2"/>
  </r>
  <r>
    <n v="10512"/>
    <d v="2022-05-27T00:00:00"/>
    <d v="2022-06-01T00:00:00"/>
    <d v="2022-06-04T00:00:00"/>
    <x v="3"/>
    <s v="India"/>
    <s v="Tamil Nadu"/>
    <s v="Bangalore"/>
    <x v="0"/>
    <s v="Notebook"/>
    <s v="Gel Pen"/>
    <s v="Corporate"/>
    <n v="24613"/>
    <n v="0.15"/>
    <n v="6238"/>
    <n v="12"/>
    <s v="Credit Card"/>
    <s v="Critical"/>
    <x v="1"/>
    <x v="4"/>
    <n v="5"/>
    <n v="8"/>
    <n v="0.25344330231991224"/>
  </r>
  <r>
    <n v="10513"/>
    <d v="2022-05-28T00:00:00"/>
    <d v="2022-05-30T00:00:00"/>
    <d v="2022-06-02T00:00:00"/>
    <x v="1"/>
    <s v="India"/>
    <s v="Karnataka"/>
    <s v="Bangalore"/>
    <x v="2"/>
    <s v="Pen"/>
    <s v="Office Chair"/>
    <s v="Home Office"/>
    <n v="70839"/>
    <n v="0.4"/>
    <n v="-415"/>
    <n v="1"/>
    <s v="Credit Card"/>
    <s v="Low"/>
    <x v="1"/>
    <x v="4"/>
    <n v="2"/>
    <n v="5"/>
    <n v="-5.8583548610228828E-3"/>
  </r>
  <r>
    <n v="10514"/>
    <d v="2022-05-29T00:00:00"/>
    <d v="2022-06-05T00:00:00"/>
    <d v="2022-06-08T00:00:00"/>
    <x v="2"/>
    <s v="India"/>
    <s v="Telangana"/>
    <s v="Kochi"/>
    <x v="2"/>
    <s v="Pen"/>
    <s v="Laser Printer"/>
    <s v="Consumer"/>
    <n v="66581"/>
    <n v="0.28000000000000003"/>
    <n v="18752"/>
    <n v="13"/>
    <s v="UPI"/>
    <s v="Medium"/>
    <x v="1"/>
    <x v="4"/>
    <n v="7"/>
    <n v="10"/>
    <n v="0.2816419098541626"/>
  </r>
  <r>
    <n v="10515"/>
    <d v="2022-05-30T00:00:00"/>
    <d v="2022-06-04T00:00:00"/>
    <d v="2022-06-06T00:00:00"/>
    <x v="0"/>
    <s v="India"/>
    <s v="Tamil Nadu"/>
    <s v="Chennai"/>
    <x v="2"/>
    <s v="Mobile"/>
    <s v="Laser Printer"/>
    <s v="Corporate"/>
    <n v="53483"/>
    <n v="0.05"/>
    <n v="7436"/>
    <n v="22"/>
    <s v="Net Banking"/>
    <s v="Low"/>
    <x v="1"/>
    <x v="4"/>
    <n v="5"/>
    <n v="7"/>
    <n v="0.13903483349849485"/>
  </r>
  <r>
    <n v="10516"/>
    <d v="2022-05-31T00:00:00"/>
    <d v="2022-06-02T00:00:00"/>
    <d v="2022-06-03T00:00:00"/>
    <x v="1"/>
    <s v="India"/>
    <s v="Maharashtra"/>
    <s v="Mumbai"/>
    <x v="2"/>
    <s v="Mobile"/>
    <s v="Dining Table"/>
    <s v="Consumer"/>
    <n v="28890"/>
    <n v="0.32"/>
    <n v="5804"/>
    <n v="5"/>
    <s v="Debit Card"/>
    <s v="Low"/>
    <x v="1"/>
    <x v="4"/>
    <n v="2"/>
    <n v="3"/>
    <n v="0.2008999653859467"/>
  </r>
  <r>
    <n v="10517"/>
    <d v="2022-06-01T00:00:00"/>
    <d v="2022-06-08T00:00:00"/>
    <d v="2022-06-11T00:00:00"/>
    <x v="3"/>
    <s v="India"/>
    <s v="Tamil Nadu"/>
    <s v="Hyderabad"/>
    <x v="2"/>
    <s v="Pen"/>
    <s v="Gaming Laptop"/>
    <s v="Home Office"/>
    <n v="14371"/>
    <n v="0.08"/>
    <n v="17957"/>
    <n v="12"/>
    <s v="Cash"/>
    <s v="High"/>
    <x v="1"/>
    <x v="5"/>
    <n v="7"/>
    <n v="10"/>
    <n v="1.2495303040846149"/>
  </r>
  <r>
    <n v="10518"/>
    <d v="2022-06-02T00:00:00"/>
    <d v="2022-06-09T00:00:00"/>
    <d v="2022-06-13T00:00:00"/>
    <x v="1"/>
    <s v="India"/>
    <s v="Delhi"/>
    <s v="Bangalore"/>
    <x v="0"/>
    <s v="Laptop"/>
    <s v="Laser Printer"/>
    <s v="Home Office"/>
    <n v="65307"/>
    <n v="0.13"/>
    <n v="313"/>
    <n v="4"/>
    <s v="Cash"/>
    <s v="Critical"/>
    <x v="1"/>
    <x v="5"/>
    <n v="7"/>
    <n v="11"/>
    <n v="4.7927480974474402E-3"/>
  </r>
  <r>
    <n v="10519"/>
    <d v="2022-06-03T00:00:00"/>
    <d v="2022-06-05T00:00:00"/>
    <d v="2022-06-06T00:00:00"/>
    <x v="3"/>
    <s v="India"/>
    <s v="Telangana"/>
    <s v="Delhi"/>
    <x v="2"/>
    <s v="Laptop"/>
    <s v="Laser Printer"/>
    <s v="Corporate"/>
    <n v="27318"/>
    <n v="0.15"/>
    <n v="14971"/>
    <n v="1"/>
    <s v="Credit Card"/>
    <s v="Low"/>
    <x v="1"/>
    <x v="5"/>
    <n v="2"/>
    <n v="3"/>
    <n v="0.54802694194304125"/>
  </r>
  <r>
    <n v="10520"/>
    <d v="2022-06-04T00:00:00"/>
    <d v="2022-06-10T00:00:00"/>
    <d v="2022-06-13T00:00:00"/>
    <x v="3"/>
    <s v="India"/>
    <s v="Maharashtra"/>
    <s v="Delhi"/>
    <x v="0"/>
    <s v="Chair"/>
    <s v="Gel Pen"/>
    <s v="Home Office"/>
    <n v="62326"/>
    <n v="0.3"/>
    <n v="8864"/>
    <n v="13"/>
    <s v="Credit Card"/>
    <s v="High"/>
    <x v="1"/>
    <x v="5"/>
    <n v="6"/>
    <n v="9"/>
    <n v="0.14221994031383373"/>
  </r>
  <r>
    <n v="10521"/>
    <d v="2022-06-05T00:00:00"/>
    <d v="2022-06-08T00:00:00"/>
    <d v="2022-06-10T00:00:00"/>
    <x v="2"/>
    <s v="India"/>
    <s v="Maharashtra"/>
    <s v="Kochi"/>
    <x v="2"/>
    <s v="Laptop"/>
    <s v="Dining Table"/>
    <s v="Home Office"/>
    <n v="72849"/>
    <n v="0.04"/>
    <n v="16358"/>
    <n v="9"/>
    <s v="Debit Card"/>
    <s v="Low"/>
    <x v="1"/>
    <x v="5"/>
    <n v="3"/>
    <n v="5"/>
    <n v="0.22454666501942375"/>
  </r>
  <r>
    <n v="10522"/>
    <d v="2022-06-06T00:00:00"/>
    <d v="2022-06-13T00:00:00"/>
    <d v="2022-06-15T00:00:00"/>
    <x v="3"/>
    <s v="India"/>
    <s v="Delhi"/>
    <s v="Chennai"/>
    <x v="0"/>
    <s v="Laptop"/>
    <s v="Smartphone"/>
    <s v="Home Office"/>
    <n v="41614"/>
    <n v="0.26"/>
    <n v="7820"/>
    <n v="20"/>
    <s v="Cash"/>
    <s v="Low"/>
    <x v="1"/>
    <x v="5"/>
    <n v="7"/>
    <n v="9"/>
    <n v="0.18791752775508241"/>
  </r>
  <r>
    <n v="10523"/>
    <d v="2022-06-07T00:00:00"/>
    <d v="2022-06-12T00:00:00"/>
    <d v="2022-06-15T00:00:00"/>
    <x v="3"/>
    <s v="India"/>
    <s v="Tamil Nadu"/>
    <s v="Bangalore"/>
    <x v="0"/>
    <s v="Mobile"/>
    <s v="Gel Pen"/>
    <s v="Home Office"/>
    <n v="60749"/>
    <n v="0.34"/>
    <n v="19068"/>
    <n v="16"/>
    <s v="Credit Card"/>
    <s v="Medium"/>
    <x v="1"/>
    <x v="5"/>
    <n v="5"/>
    <n v="8"/>
    <n v="0.31388170998699566"/>
  </r>
  <r>
    <n v="10524"/>
    <d v="2022-06-08T00:00:00"/>
    <d v="2022-06-15T00:00:00"/>
    <d v="2022-06-17T00:00:00"/>
    <x v="1"/>
    <s v="India"/>
    <s v="Maharashtra"/>
    <s v="Bangalore"/>
    <x v="1"/>
    <s v="Laptop"/>
    <s v="Smartphone"/>
    <s v="Home Office"/>
    <n v="31457"/>
    <n v="0.11"/>
    <n v="2796"/>
    <n v="13"/>
    <s v="Net Banking"/>
    <s v="Low"/>
    <x v="1"/>
    <x v="5"/>
    <n v="7"/>
    <n v="9"/>
    <n v="8.8883237435229037E-2"/>
  </r>
  <r>
    <n v="10525"/>
    <d v="2022-06-09T00:00:00"/>
    <d v="2022-06-11T00:00:00"/>
    <d v="2022-06-16T00:00:00"/>
    <x v="0"/>
    <s v="India"/>
    <s v="Tamil Nadu"/>
    <s v="Chennai"/>
    <x v="0"/>
    <s v="Mobile"/>
    <s v="Gaming Laptop"/>
    <s v="Consumer"/>
    <n v="29642"/>
    <n v="0.34"/>
    <n v="391"/>
    <n v="21"/>
    <s v="Debit Card"/>
    <s v="Low"/>
    <x v="1"/>
    <x v="5"/>
    <n v="2"/>
    <n v="7"/>
    <n v="1.3190742864853923E-2"/>
  </r>
  <r>
    <n v="10526"/>
    <d v="2022-06-10T00:00:00"/>
    <d v="2022-06-14T00:00:00"/>
    <d v="2022-06-17T00:00:00"/>
    <x v="2"/>
    <s v="India"/>
    <s v="Delhi"/>
    <s v="Mumbai"/>
    <x v="1"/>
    <s v="Notebook"/>
    <s v="Office Chair"/>
    <s v="Consumer"/>
    <n v="48754"/>
    <n v="0.31"/>
    <n v="19105"/>
    <n v="11"/>
    <s v="Cash"/>
    <s v="Low"/>
    <x v="1"/>
    <x v="5"/>
    <n v="4"/>
    <n v="7"/>
    <n v="0.39186528284858679"/>
  </r>
  <r>
    <n v="10527"/>
    <d v="2022-06-11T00:00:00"/>
    <d v="2022-06-18T00:00:00"/>
    <d v="2022-06-19T00:00:00"/>
    <x v="1"/>
    <s v="India"/>
    <s v="Tamil Nadu"/>
    <s v="Bangalore"/>
    <x v="0"/>
    <s v="Printer"/>
    <s v="Spiral Notebook"/>
    <s v="Consumer"/>
    <n v="9913"/>
    <n v="0.11"/>
    <n v="11032"/>
    <n v="17"/>
    <s v="Debit Card"/>
    <s v="Critical"/>
    <x v="1"/>
    <x v="5"/>
    <n v="7"/>
    <n v="8"/>
    <n v="1.1128820740441845"/>
  </r>
  <r>
    <n v="10528"/>
    <d v="2022-06-12T00:00:00"/>
    <d v="2022-06-18T00:00:00"/>
    <d v="2022-06-23T00:00:00"/>
    <x v="2"/>
    <s v="India"/>
    <s v="Delhi"/>
    <s v="Kochi"/>
    <x v="1"/>
    <s v="Printer"/>
    <s v="Spiral Notebook"/>
    <s v="Consumer"/>
    <n v="62661"/>
    <n v="0.1"/>
    <n v="-1666"/>
    <n v="7"/>
    <s v="Credit Card"/>
    <s v="Medium"/>
    <x v="1"/>
    <x v="5"/>
    <n v="6"/>
    <n v="11"/>
    <n v="-2.658751057276456E-2"/>
  </r>
  <r>
    <n v="10529"/>
    <d v="2022-06-13T00:00:00"/>
    <d v="2022-06-16T00:00:00"/>
    <d v="2022-06-20T00:00:00"/>
    <x v="0"/>
    <s v="India"/>
    <s v="Delhi"/>
    <s v="Bangalore"/>
    <x v="2"/>
    <s v="Notebook"/>
    <s v="Gel Pen"/>
    <s v="Corporate"/>
    <n v="56430"/>
    <n v="0.05"/>
    <n v="19609"/>
    <n v="22"/>
    <s v="Cash"/>
    <s v="Low"/>
    <x v="1"/>
    <x v="5"/>
    <n v="3"/>
    <n v="7"/>
    <n v="0.34749246854510013"/>
  </r>
  <r>
    <n v="10530"/>
    <d v="2022-06-14T00:00:00"/>
    <d v="2022-06-17T00:00:00"/>
    <d v="2022-06-20T00:00:00"/>
    <x v="1"/>
    <s v="India"/>
    <s v="Maharashtra"/>
    <s v="Mumbai"/>
    <x v="1"/>
    <s v="Mobile"/>
    <s v="Dining Table"/>
    <s v="Home Office"/>
    <n v="61206"/>
    <n v="0.14000000000000001"/>
    <n v="3649"/>
    <n v="4"/>
    <s v="Net Banking"/>
    <s v="Low"/>
    <x v="1"/>
    <x v="5"/>
    <n v="3"/>
    <n v="6"/>
    <n v="5.9618338071430903E-2"/>
  </r>
  <r>
    <n v="10531"/>
    <d v="2022-06-15T00:00:00"/>
    <d v="2022-06-17T00:00:00"/>
    <d v="2022-06-18T00:00:00"/>
    <x v="2"/>
    <s v="India"/>
    <s v="Tamil Nadu"/>
    <s v="Hyderabad"/>
    <x v="0"/>
    <s v="Laptop"/>
    <s v="Gel Pen"/>
    <s v="Consumer"/>
    <n v="54717"/>
    <n v="0.19"/>
    <n v="4"/>
    <n v="21"/>
    <s v="Credit Card"/>
    <s v="Medium"/>
    <x v="1"/>
    <x v="5"/>
    <n v="2"/>
    <n v="3"/>
    <n v="7.3103423067785145E-5"/>
  </r>
  <r>
    <n v="10532"/>
    <d v="2022-06-16T00:00:00"/>
    <d v="2022-06-18T00:00:00"/>
    <d v="2022-06-22T00:00:00"/>
    <x v="3"/>
    <s v="India"/>
    <s v="Telangana"/>
    <s v="Bangalore"/>
    <x v="1"/>
    <s v="Table"/>
    <s v="Office Chair"/>
    <s v="Corporate"/>
    <n v="8248"/>
    <n v="0.31"/>
    <n v="8186"/>
    <n v="12"/>
    <s v="Debit Card"/>
    <s v="Medium"/>
    <x v="1"/>
    <x v="5"/>
    <n v="2"/>
    <n v="6"/>
    <n v="0.99248302618816686"/>
  </r>
  <r>
    <n v="10533"/>
    <d v="2022-06-17T00:00:00"/>
    <d v="2022-06-23T00:00:00"/>
    <d v="2022-06-28T00:00:00"/>
    <x v="2"/>
    <s v="India"/>
    <s v="Delhi"/>
    <s v="Kochi"/>
    <x v="0"/>
    <s v="Pen"/>
    <s v="Gel Pen"/>
    <s v="Corporate"/>
    <n v="18396"/>
    <n v="0.32"/>
    <n v="14494"/>
    <n v="16"/>
    <s v="Cash"/>
    <s v="Medium"/>
    <x v="1"/>
    <x v="5"/>
    <n v="6"/>
    <n v="11"/>
    <n v="0.78788867145031527"/>
  </r>
  <r>
    <n v="10534"/>
    <d v="2022-06-18T00:00:00"/>
    <d v="2022-06-23T00:00:00"/>
    <d v="2022-06-27T00:00:00"/>
    <x v="2"/>
    <s v="India"/>
    <s v="Karnataka"/>
    <s v="Hyderabad"/>
    <x v="2"/>
    <s v="Pen"/>
    <s v="Gel Pen"/>
    <s v="Consumer"/>
    <n v="6201"/>
    <n v="0.02"/>
    <n v="10358"/>
    <n v="4"/>
    <s v="UPI"/>
    <s v="High"/>
    <x v="1"/>
    <x v="5"/>
    <n v="5"/>
    <n v="9"/>
    <n v="1.670375745847444"/>
  </r>
  <r>
    <n v="10535"/>
    <d v="2022-06-19T00:00:00"/>
    <d v="2022-06-22T00:00:00"/>
    <d v="2022-06-24T00:00:00"/>
    <x v="2"/>
    <s v="India"/>
    <s v="Tamil Nadu"/>
    <s v="Bangalore"/>
    <x v="0"/>
    <s v="Chair"/>
    <s v="Gaming Laptop"/>
    <s v="Home Office"/>
    <n v="21560"/>
    <n v="0.31"/>
    <n v="8513"/>
    <n v="11"/>
    <s v="Credit Card"/>
    <s v="High"/>
    <x v="1"/>
    <x v="5"/>
    <n v="3"/>
    <n v="5"/>
    <n v="0.39485157699443413"/>
  </r>
  <r>
    <n v="10536"/>
    <d v="2022-06-20T00:00:00"/>
    <d v="2022-06-26T00:00:00"/>
    <d v="2022-06-27T00:00:00"/>
    <x v="1"/>
    <s v="India"/>
    <s v="Delhi"/>
    <s v="Hyderabad"/>
    <x v="2"/>
    <s v="Table"/>
    <s v="Office Chair"/>
    <s v="Consumer"/>
    <n v="4362"/>
    <n v="0.26"/>
    <n v="7691"/>
    <n v="6"/>
    <s v="Cash"/>
    <s v="Low"/>
    <x v="1"/>
    <x v="5"/>
    <n v="6"/>
    <n v="7"/>
    <n v="1.7631820265933058"/>
  </r>
  <r>
    <n v="10537"/>
    <d v="2022-06-21T00:00:00"/>
    <d v="2022-06-23T00:00:00"/>
    <d v="2022-06-26T00:00:00"/>
    <x v="1"/>
    <s v="India"/>
    <s v="Karnataka"/>
    <s v="Kochi"/>
    <x v="0"/>
    <s v="Mobile"/>
    <s v="Smartphone"/>
    <s v="Home Office"/>
    <n v="46965"/>
    <n v="0.23"/>
    <n v="14027"/>
    <n v="6"/>
    <s v="Debit Card"/>
    <s v="High"/>
    <x v="1"/>
    <x v="5"/>
    <n v="2"/>
    <n v="5"/>
    <n v="0.29866922176088578"/>
  </r>
  <r>
    <n v="10538"/>
    <d v="2022-06-22T00:00:00"/>
    <d v="2022-06-24T00:00:00"/>
    <d v="2022-06-28T00:00:00"/>
    <x v="1"/>
    <s v="India"/>
    <s v="Kerala"/>
    <s v="Bangalore"/>
    <x v="1"/>
    <s v="Chair"/>
    <s v="Laser Printer"/>
    <s v="Consumer"/>
    <n v="21779"/>
    <n v="0.39"/>
    <n v="16096"/>
    <n v="2"/>
    <s v="Net Banking"/>
    <s v="Critical"/>
    <x v="1"/>
    <x v="5"/>
    <n v="2"/>
    <n v="6"/>
    <n v="0.73906056292759081"/>
  </r>
  <r>
    <n v="10539"/>
    <d v="2022-06-23T00:00:00"/>
    <d v="2022-06-28T00:00:00"/>
    <d v="2022-07-02T00:00:00"/>
    <x v="3"/>
    <s v="India"/>
    <s v="Telangana"/>
    <s v="Bangalore"/>
    <x v="0"/>
    <s v="Mobile"/>
    <s v="Smartphone"/>
    <s v="Home Office"/>
    <n v="25728"/>
    <n v="0.17"/>
    <n v="2706"/>
    <n v="20"/>
    <s v="UPI"/>
    <s v="Medium"/>
    <x v="1"/>
    <x v="5"/>
    <n v="5"/>
    <n v="9"/>
    <n v="0.10517723880597014"/>
  </r>
  <r>
    <n v="10540"/>
    <d v="2022-06-24T00:00:00"/>
    <d v="2022-07-01T00:00:00"/>
    <d v="2022-07-03T00:00:00"/>
    <x v="1"/>
    <s v="India"/>
    <s v="Delhi"/>
    <s v="Mumbai"/>
    <x v="1"/>
    <s v="Chair"/>
    <s v="Dining Table"/>
    <s v="Consumer"/>
    <n v="51420"/>
    <n v="0.01"/>
    <n v="19392"/>
    <n v="1"/>
    <s v="Cash"/>
    <s v="High"/>
    <x v="1"/>
    <x v="5"/>
    <n v="7"/>
    <n v="9"/>
    <n v="0.37712952158693114"/>
  </r>
  <r>
    <n v="10541"/>
    <d v="2022-06-25T00:00:00"/>
    <d v="2022-07-01T00:00:00"/>
    <d v="2022-07-02T00:00:00"/>
    <x v="3"/>
    <s v="India"/>
    <s v="Karnataka"/>
    <s v="Hyderabad"/>
    <x v="1"/>
    <s v="Mobile"/>
    <s v="Spiral Notebook"/>
    <s v="Consumer"/>
    <n v="12478"/>
    <n v="0.14000000000000001"/>
    <n v="12136"/>
    <n v="22"/>
    <s v="Debit Card"/>
    <s v="Medium"/>
    <x v="1"/>
    <x v="5"/>
    <n v="6"/>
    <n v="7"/>
    <n v="0.9725917615002404"/>
  </r>
  <r>
    <n v="10542"/>
    <d v="2022-06-26T00:00:00"/>
    <d v="2022-06-29T00:00:00"/>
    <d v="2022-07-03T00:00:00"/>
    <x v="2"/>
    <s v="India"/>
    <s v="Maharashtra"/>
    <s v="Bangalore"/>
    <x v="2"/>
    <s v="Table"/>
    <s v="Smartphone"/>
    <s v="Corporate"/>
    <n v="41870"/>
    <n v="0.32"/>
    <n v="14036"/>
    <n v="21"/>
    <s v="UPI"/>
    <s v="Critical"/>
    <x v="1"/>
    <x v="5"/>
    <n v="3"/>
    <n v="7"/>
    <n v="0.33522808693575351"/>
  </r>
  <r>
    <n v="10543"/>
    <d v="2022-06-27T00:00:00"/>
    <d v="2022-07-02T00:00:00"/>
    <d v="2022-07-05T00:00:00"/>
    <x v="0"/>
    <s v="India"/>
    <s v="Tamil Nadu"/>
    <s v="Mumbai"/>
    <x v="0"/>
    <s v="Table"/>
    <s v="Smartphone"/>
    <s v="Consumer"/>
    <n v="63044"/>
    <n v="0.24"/>
    <n v="12815"/>
    <n v="18"/>
    <s v="UPI"/>
    <s v="High"/>
    <x v="1"/>
    <x v="5"/>
    <n v="5"/>
    <n v="8"/>
    <n v="0.20327073155256647"/>
  </r>
  <r>
    <n v="10544"/>
    <d v="2022-06-28T00:00:00"/>
    <d v="2022-07-02T00:00:00"/>
    <d v="2022-07-05T00:00:00"/>
    <x v="0"/>
    <s v="India"/>
    <s v="Maharashtra"/>
    <s v="Delhi"/>
    <x v="2"/>
    <s v="Notebook"/>
    <s v="Smartphone"/>
    <s v="Consumer"/>
    <n v="18482"/>
    <n v="0.12"/>
    <n v="6280"/>
    <n v="8"/>
    <s v="Net Banking"/>
    <s v="Medium"/>
    <x v="1"/>
    <x v="5"/>
    <n v="4"/>
    <n v="7"/>
    <n v="0.33979006601017203"/>
  </r>
  <r>
    <n v="10545"/>
    <d v="2022-06-29T00:00:00"/>
    <d v="2022-07-05T00:00:00"/>
    <d v="2022-07-09T00:00:00"/>
    <x v="0"/>
    <s v="India"/>
    <s v="Telangana"/>
    <s v="Mumbai"/>
    <x v="2"/>
    <s v="Notebook"/>
    <s v="Spiral Notebook"/>
    <s v="Home Office"/>
    <n v="51910"/>
    <n v="0.09"/>
    <n v="4946"/>
    <n v="5"/>
    <s v="UPI"/>
    <s v="High"/>
    <x v="1"/>
    <x v="5"/>
    <n v="6"/>
    <n v="10"/>
    <n v="9.5280292814486606E-2"/>
  </r>
  <r>
    <n v="10546"/>
    <d v="2022-06-30T00:00:00"/>
    <d v="2022-07-06T00:00:00"/>
    <d v="2022-07-09T00:00:00"/>
    <x v="2"/>
    <s v="India"/>
    <s v="Kerala"/>
    <s v="Kochi"/>
    <x v="0"/>
    <s v="Printer"/>
    <s v="Gaming Laptop"/>
    <s v="Corporate"/>
    <n v="54738"/>
    <n v="0.04"/>
    <n v="14457"/>
    <n v="7"/>
    <s v="UPI"/>
    <s v="Low"/>
    <x v="1"/>
    <x v="5"/>
    <n v="6"/>
    <n v="9"/>
    <n v="0.26411268223172202"/>
  </r>
  <r>
    <n v="10547"/>
    <d v="2022-07-01T00:00:00"/>
    <d v="2022-07-08T00:00:00"/>
    <d v="2022-07-09T00:00:00"/>
    <x v="3"/>
    <s v="India"/>
    <s v="Karnataka"/>
    <s v="Delhi"/>
    <x v="2"/>
    <s v="Mobile"/>
    <s v="Smartphone"/>
    <s v="Corporate"/>
    <n v="72396"/>
    <n v="0.39"/>
    <n v="3510"/>
    <n v="12"/>
    <s v="Debit Card"/>
    <s v="Low"/>
    <x v="1"/>
    <x v="6"/>
    <n v="7"/>
    <n v="8"/>
    <n v="4.8483341621084038E-2"/>
  </r>
  <r>
    <n v="10548"/>
    <d v="2022-07-02T00:00:00"/>
    <d v="2022-07-09T00:00:00"/>
    <d v="2022-07-14T00:00:00"/>
    <x v="3"/>
    <s v="India"/>
    <s v="Kerala"/>
    <s v="Kochi"/>
    <x v="0"/>
    <s v="Pen"/>
    <s v="Dining Table"/>
    <s v="Corporate"/>
    <n v="8564"/>
    <n v="0.4"/>
    <n v="5485"/>
    <n v="2"/>
    <s v="Credit Card"/>
    <s v="High"/>
    <x v="1"/>
    <x v="6"/>
    <n v="7"/>
    <n v="12"/>
    <n v="0.640471742176553"/>
  </r>
  <r>
    <n v="10549"/>
    <d v="2022-07-03T00:00:00"/>
    <d v="2022-07-06T00:00:00"/>
    <d v="2022-07-08T00:00:00"/>
    <x v="3"/>
    <s v="India"/>
    <s v="Maharashtra"/>
    <s v="Delhi"/>
    <x v="0"/>
    <s v="Notebook"/>
    <s v="Office Chair"/>
    <s v="Corporate"/>
    <n v="57046"/>
    <n v="0.12"/>
    <n v="14998"/>
    <n v="15"/>
    <s v="UPI"/>
    <s v="Medium"/>
    <x v="1"/>
    <x v="6"/>
    <n v="3"/>
    <n v="5"/>
    <n v="0.26291063352382288"/>
  </r>
  <r>
    <n v="10550"/>
    <d v="2022-07-04T00:00:00"/>
    <d v="2022-07-11T00:00:00"/>
    <d v="2022-07-16T00:00:00"/>
    <x v="3"/>
    <s v="India"/>
    <s v="Maharashtra"/>
    <s v="Delhi"/>
    <x v="0"/>
    <s v="Laptop"/>
    <s v="Office Chair"/>
    <s v="Home Office"/>
    <n v="35206"/>
    <n v="0.04"/>
    <n v="6910"/>
    <n v="7"/>
    <s v="Debit Card"/>
    <s v="Critical"/>
    <x v="1"/>
    <x v="6"/>
    <n v="7"/>
    <n v="12"/>
    <n v="0.19627336249502925"/>
  </r>
  <r>
    <n v="10551"/>
    <d v="2022-07-05T00:00:00"/>
    <d v="2022-07-11T00:00:00"/>
    <d v="2022-07-14T00:00:00"/>
    <x v="1"/>
    <s v="India"/>
    <s v="Maharashtra"/>
    <s v="Kochi"/>
    <x v="2"/>
    <s v="Mobile"/>
    <s v="Dining Table"/>
    <s v="Corporate"/>
    <n v="37646"/>
    <n v="0.33"/>
    <n v="7903"/>
    <n v="20"/>
    <s v="Credit Card"/>
    <s v="Medium"/>
    <x v="1"/>
    <x v="6"/>
    <n v="6"/>
    <n v="9"/>
    <n v="0.20992934176273709"/>
  </r>
  <r>
    <n v="10552"/>
    <d v="2022-07-06T00:00:00"/>
    <d v="2022-07-13T00:00:00"/>
    <d v="2022-07-16T00:00:00"/>
    <x v="0"/>
    <s v="India"/>
    <s v="Delhi"/>
    <s v="Delhi"/>
    <x v="2"/>
    <s v="Laptop"/>
    <s v="Dining Table"/>
    <s v="Corporate"/>
    <n v="51784"/>
    <n v="0.11"/>
    <n v="16892"/>
    <n v="12"/>
    <s v="Debit Card"/>
    <s v="High"/>
    <x v="1"/>
    <x v="6"/>
    <n v="7"/>
    <n v="10"/>
    <n v="0.326201143210258"/>
  </r>
  <r>
    <n v="10553"/>
    <d v="2022-07-07T00:00:00"/>
    <d v="2022-07-11T00:00:00"/>
    <d v="2022-07-13T00:00:00"/>
    <x v="3"/>
    <s v="India"/>
    <s v="Maharashtra"/>
    <s v="Delhi"/>
    <x v="0"/>
    <s v="Laptop"/>
    <s v="Dining Table"/>
    <s v="Corporate"/>
    <n v="20016"/>
    <n v="0.25"/>
    <n v="-177"/>
    <n v="12"/>
    <s v="Credit Card"/>
    <s v="Medium"/>
    <x v="1"/>
    <x v="6"/>
    <n v="4"/>
    <n v="6"/>
    <n v="-8.8429256594724226E-3"/>
  </r>
  <r>
    <n v="10554"/>
    <d v="2022-07-08T00:00:00"/>
    <d v="2022-07-12T00:00:00"/>
    <d v="2022-07-14T00:00:00"/>
    <x v="1"/>
    <s v="India"/>
    <s v="Tamil Nadu"/>
    <s v="Hyderabad"/>
    <x v="1"/>
    <s v="Chair"/>
    <s v="Gel Pen"/>
    <s v="Home Office"/>
    <n v="50860"/>
    <n v="0.02"/>
    <n v="18851"/>
    <n v="3"/>
    <s v="Cash"/>
    <s v="Critical"/>
    <x v="1"/>
    <x v="6"/>
    <n v="4"/>
    <n v="6"/>
    <n v="0.37064490758946128"/>
  </r>
  <r>
    <n v="10555"/>
    <d v="2022-07-09T00:00:00"/>
    <d v="2022-07-14T00:00:00"/>
    <d v="2022-07-16T00:00:00"/>
    <x v="2"/>
    <s v="India"/>
    <s v="Telangana"/>
    <s v="Mumbai"/>
    <x v="2"/>
    <s v="Chair"/>
    <s v="Gel Pen"/>
    <s v="Home Office"/>
    <n v="48076"/>
    <n v="0.14000000000000001"/>
    <n v="10643"/>
    <n v="7"/>
    <s v="Net Banking"/>
    <s v="Medium"/>
    <x v="1"/>
    <x v="6"/>
    <n v="5"/>
    <n v="7"/>
    <n v="0.22137865047008903"/>
  </r>
  <r>
    <n v="10556"/>
    <d v="2022-07-10T00:00:00"/>
    <d v="2022-07-17T00:00:00"/>
    <d v="2022-07-18T00:00:00"/>
    <x v="2"/>
    <s v="India"/>
    <s v="Karnataka"/>
    <s v="Bangalore"/>
    <x v="0"/>
    <s v="Pen"/>
    <s v="Office Chair"/>
    <s v="Home Office"/>
    <n v="12196"/>
    <n v="0.04"/>
    <n v="865"/>
    <n v="22"/>
    <s v="Net Banking"/>
    <s v="Medium"/>
    <x v="1"/>
    <x v="6"/>
    <n v="7"/>
    <n v="8"/>
    <n v="7.0924893407674647E-2"/>
  </r>
  <r>
    <n v="10557"/>
    <d v="2022-07-11T00:00:00"/>
    <d v="2022-07-14T00:00:00"/>
    <d v="2022-07-15T00:00:00"/>
    <x v="3"/>
    <s v="India"/>
    <s v="Telangana"/>
    <s v="Kochi"/>
    <x v="0"/>
    <s v="Printer"/>
    <s v="Office Chair"/>
    <s v="Home Office"/>
    <n v="14964"/>
    <n v="0"/>
    <n v="16470"/>
    <n v="1"/>
    <s v="Credit Card"/>
    <s v="Critical"/>
    <x v="1"/>
    <x v="6"/>
    <n v="3"/>
    <n v="4"/>
    <n v="1.1006415396952687"/>
  </r>
  <r>
    <n v="10558"/>
    <d v="2022-07-12T00:00:00"/>
    <d v="2022-07-19T00:00:00"/>
    <d v="2022-07-24T00:00:00"/>
    <x v="0"/>
    <s v="India"/>
    <s v="Kerala"/>
    <s v="Mumbai"/>
    <x v="1"/>
    <s v="Laptop"/>
    <s v="Dining Table"/>
    <s v="Home Office"/>
    <n v="7500"/>
    <n v="0.31"/>
    <n v="1712"/>
    <n v="15"/>
    <s v="Net Banking"/>
    <s v="Low"/>
    <x v="1"/>
    <x v="6"/>
    <n v="7"/>
    <n v="12"/>
    <n v="0.22826666666666667"/>
  </r>
  <r>
    <n v="10559"/>
    <d v="2022-07-13T00:00:00"/>
    <d v="2022-07-15T00:00:00"/>
    <d v="2022-07-16T00:00:00"/>
    <x v="2"/>
    <s v="India"/>
    <s v="Tamil Nadu"/>
    <s v="Mumbai"/>
    <x v="1"/>
    <s v="Chair"/>
    <s v="Smartphone"/>
    <s v="Consumer"/>
    <n v="3881"/>
    <n v="0.05"/>
    <n v="16259"/>
    <n v="4"/>
    <s v="Cash"/>
    <s v="Critical"/>
    <x v="1"/>
    <x v="6"/>
    <n v="2"/>
    <n v="3"/>
    <n v="4.1893841793352227"/>
  </r>
  <r>
    <n v="10560"/>
    <d v="2022-07-14T00:00:00"/>
    <d v="2022-07-17T00:00:00"/>
    <d v="2022-07-18T00:00:00"/>
    <x v="1"/>
    <s v="India"/>
    <s v="Karnataka"/>
    <s v="Bangalore"/>
    <x v="0"/>
    <s v="Printer"/>
    <s v="Spiral Notebook"/>
    <s v="Home Office"/>
    <n v="15846"/>
    <n v="0"/>
    <n v="15122"/>
    <n v="4"/>
    <s v="Cash"/>
    <s v="Low"/>
    <x v="1"/>
    <x v="6"/>
    <n v="3"/>
    <n v="4"/>
    <n v="0.95431023602170895"/>
  </r>
  <r>
    <n v="10561"/>
    <d v="2022-07-15T00:00:00"/>
    <d v="2022-07-22T00:00:00"/>
    <d v="2022-07-23T00:00:00"/>
    <x v="0"/>
    <s v="India"/>
    <s v="Kerala"/>
    <s v="Hyderabad"/>
    <x v="2"/>
    <s v="Table"/>
    <s v="Laser Printer"/>
    <s v="Home Office"/>
    <n v="43828"/>
    <n v="0.35"/>
    <n v="-1652"/>
    <n v="20"/>
    <s v="Net Banking"/>
    <s v="High"/>
    <x v="1"/>
    <x v="6"/>
    <n v="7"/>
    <n v="8"/>
    <n v="-3.7692799123847771E-2"/>
  </r>
  <r>
    <n v="10562"/>
    <d v="2022-07-16T00:00:00"/>
    <d v="2022-07-19T00:00:00"/>
    <d v="2022-07-24T00:00:00"/>
    <x v="3"/>
    <s v="India"/>
    <s v="Delhi"/>
    <s v="Hyderabad"/>
    <x v="0"/>
    <s v="Mobile"/>
    <s v="Gaming Laptop"/>
    <s v="Home Office"/>
    <n v="63946"/>
    <n v="0"/>
    <n v="18590"/>
    <n v="11"/>
    <s v="Cash"/>
    <s v="High"/>
    <x v="1"/>
    <x v="6"/>
    <n v="3"/>
    <n v="8"/>
    <n v="0.29071403997122575"/>
  </r>
  <r>
    <n v="10563"/>
    <d v="2022-07-17T00:00:00"/>
    <d v="2022-07-19T00:00:00"/>
    <d v="2022-07-20T00:00:00"/>
    <x v="2"/>
    <s v="India"/>
    <s v="Tamil Nadu"/>
    <s v="Mumbai"/>
    <x v="0"/>
    <s v="Laptop"/>
    <s v="Spiral Notebook"/>
    <s v="Consumer"/>
    <n v="24759"/>
    <n v="0.12"/>
    <n v="15216"/>
    <n v="9"/>
    <s v="Debit Card"/>
    <s v="Critical"/>
    <x v="1"/>
    <x v="6"/>
    <n v="2"/>
    <n v="3"/>
    <n v="0.61456440082394281"/>
  </r>
  <r>
    <n v="10564"/>
    <d v="2022-07-18T00:00:00"/>
    <d v="2022-07-24T00:00:00"/>
    <d v="2022-07-25T00:00:00"/>
    <x v="3"/>
    <s v="India"/>
    <s v="Tamil Nadu"/>
    <s v="Hyderabad"/>
    <x v="1"/>
    <s v="Chair"/>
    <s v="Gel Pen"/>
    <s v="Corporate"/>
    <n v="4409"/>
    <n v="0.16"/>
    <n v="19396"/>
    <n v="16"/>
    <s v="Net Banking"/>
    <s v="High"/>
    <x v="1"/>
    <x v="6"/>
    <n v="6"/>
    <n v="7"/>
    <n v="4.3991834883193466"/>
  </r>
  <r>
    <n v="10565"/>
    <d v="2022-07-19T00:00:00"/>
    <d v="2022-07-22T00:00:00"/>
    <d v="2022-07-27T00:00:00"/>
    <x v="1"/>
    <s v="India"/>
    <s v="Maharashtra"/>
    <s v="Bangalore"/>
    <x v="2"/>
    <s v="Laptop"/>
    <s v="Office Chair"/>
    <s v="Consumer"/>
    <n v="10013"/>
    <n v="0.37"/>
    <n v="-1682"/>
    <n v="1"/>
    <s v="Cash"/>
    <s v="Critical"/>
    <x v="1"/>
    <x v="6"/>
    <n v="3"/>
    <n v="8"/>
    <n v="-0.16798162388894436"/>
  </r>
  <r>
    <n v="10566"/>
    <d v="2022-07-20T00:00:00"/>
    <d v="2022-07-27T00:00:00"/>
    <d v="2022-07-30T00:00:00"/>
    <x v="2"/>
    <s v="India"/>
    <s v="Maharashtra"/>
    <s v="Hyderabad"/>
    <x v="0"/>
    <s v="Printer"/>
    <s v="Laser Printer"/>
    <s v="Home Office"/>
    <n v="10635"/>
    <n v="0.39"/>
    <n v="2449"/>
    <n v="20"/>
    <s v="UPI"/>
    <s v="High"/>
    <x v="1"/>
    <x v="6"/>
    <n v="7"/>
    <n v="10"/>
    <n v="0.2302773859896568"/>
  </r>
  <r>
    <n v="10567"/>
    <d v="2022-07-21T00:00:00"/>
    <d v="2022-07-28T00:00:00"/>
    <d v="2022-07-30T00:00:00"/>
    <x v="0"/>
    <s v="India"/>
    <s v="Telangana"/>
    <s v="Delhi"/>
    <x v="1"/>
    <s v="Table"/>
    <s v="Laser Printer"/>
    <s v="Home Office"/>
    <n v="63478"/>
    <n v="0.38"/>
    <n v="7577"/>
    <n v="19"/>
    <s v="Net Banking"/>
    <s v="High"/>
    <x v="1"/>
    <x v="6"/>
    <n v="7"/>
    <n v="9"/>
    <n v="0.11936418916790069"/>
  </r>
  <r>
    <n v="10568"/>
    <d v="2022-07-22T00:00:00"/>
    <d v="2022-07-29T00:00:00"/>
    <d v="2022-07-31T00:00:00"/>
    <x v="3"/>
    <s v="India"/>
    <s v="Kerala"/>
    <s v="Chennai"/>
    <x v="1"/>
    <s v="Laptop"/>
    <s v="Smartphone"/>
    <s v="Consumer"/>
    <n v="8679"/>
    <n v="0.32"/>
    <n v="1211"/>
    <n v="17"/>
    <s v="UPI"/>
    <s v="Critical"/>
    <x v="1"/>
    <x v="6"/>
    <n v="7"/>
    <n v="9"/>
    <n v="0.13953220417098744"/>
  </r>
  <r>
    <n v="10569"/>
    <d v="2022-07-23T00:00:00"/>
    <d v="2022-07-27T00:00:00"/>
    <d v="2022-07-28T00:00:00"/>
    <x v="0"/>
    <s v="India"/>
    <s v="Kerala"/>
    <s v="Hyderabad"/>
    <x v="1"/>
    <s v="Printer"/>
    <s v="Spiral Notebook"/>
    <s v="Home Office"/>
    <n v="55546"/>
    <n v="0.28999999999999998"/>
    <n v="17085"/>
    <n v="4"/>
    <s v="Net Banking"/>
    <s v="Medium"/>
    <x v="1"/>
    <x v="6"/>
    <n v="4"/>
    <n v="5"/>
    <n v="0.30758290425953266"/>
  </r>
  <r>
    <n v="10570"/>
    <d v="2022-07-24T00:00:00"/>
    <d v="2022-07-29T00:00:00"/>
    <d v="2022-08-01T00:00:00"/>
    <x v="3"/>
    <s v="India"/>
    <s v="Kerala"/>
    <s v="Mumbai"/>
    <x v="2"/>
    <s v="Pen"/>
    <s v="Laser Printer"/>
    <s v="Corporate"/>
    <n v="14905"/>
    <n v="0.4"/>
    <n v="-942"/>
    <n v="1"/>
    <s v="UPI"/>
    <s v="High"/>
    <x v="1"/>
    <x v="6"/>
    <n v="5"/>
    <n v="8"/>
    <n v="-6.3200268366320034E-2"/>
  </r>
  <r>
    <n v="10571"/>
    <d v="2022-07-25T00:00:00"/>
    <d v="2022-07-29T00:00:00"/>
    <d v="2022-08-03T00:00:00"/>
    <x v="3"/>
    <s v="India"/>
    <s v="Kerala"/>
    <s v="Kochi"/>
    <x v="0"/>
    <s v="Chair"/>
    <s v="Spiral Notebook"/>
    <s v="Corporate"/>
    <n v="44794"/>
    <n v="0.15"/>
    <n v="11025"/>
    <n v="22"/>
    <s v="Net Banking"/>
    <s v="Low"/>
    <x v="1"/>
    <x v="6"/>
    <n v="4"/>
    <n v="9"/>
    <n v="0.24612671339911596"/>
  </r>
  <r>
    <n v="10572"/>
    <d v="2022-07-26T00:00:00"/>
    <d v="2022-07-31T00:00:00"/>
    <d v="2022-08-03T00:00:00"/>
    <x v="1"/>
    <s v="India"/>
    <s v="Karnataka"/>
    <s v="Chennai"/>
    <x v="1"/>
    <s v="Laptop"/>
    <s v="Laser Printer"/>
    <s v="Home Office"/>
    <n v="36548"/>
    <n v="0.03"/>
    <n v="17150"/>
    <n v="21"/>
    <s v="Debit Card"/>
    <s v="High"/>
    <x v="1"/>
    <x v="6"/>
    <n v="5"/>
    <n v="8"/>
    <n v="0.46924592316953045"/>
  </r>
  <r>
    <n v="10573"/>
    <d v="2022-07-27T00:00:00"/>
    <d v="2022-08-03T00:00:00"/>
    <d v="2022-08-08T00:00:00"/>
    <x v="0"/>
    <s v="India"/>
    <s v="Delhi"/>
    <s v="Delhi"/>
    <x v="1"/>
    <s v="Laptop"/>
    <s v="Spiral Notebook"/>
    <s v="Corporate"/>
    <n v="621"/>
    <n v="0.16"/>
    <n v="2828"/>
    <n v="6"/>
    <s v="Net Banking"/>
    <s v="Medium"/>
    <x v="1"/>
    <x v="6"/>
    <n v="7"/>
    <n v="12"/>
    <n v="4.5539452495974233"/>
  </r>
  <r>
    <n v="10574"/>
    <d v="2022-07-28T00:00:00"/>
    <d v="2022-08-04T00:00:00"/>
    <d v="2022-08-07T00:00:00"/>
    <x v="1"/>
    <s v="India"/>
    <s v="Maharashtra"/>
    <s v="Hyderabad"/>
    <x v="2"/>
    <s v="Printer"/>
    <s v="Laser Printer"/>
    <s v="Consumer"/>
    <n v="3300"/>
    <n v="0"/>
    <n v="1550"/>
    <n v="6"/>
    <s v="UPI"/>
    <s v="Medium"/>
    <x v="1"/>
    <x v="6"/>
    <n v="7"/>
    <n v="10"/>
    <n v="0.46969696969696972"/>
  </r>
  <r>
    <n v="10575"/>
    <d v="2022-07-29T00:00:00"/>
    <d v="2022-08-02T00:00:00"/>
    <d v="2022-08-05T00:00:00"/>
    <x v="1"/>
    <s v="India"/>
    <s v="Kerala"/>
    <s v="Hyderabad"/>
    <x v="1"/>
    <s v="Table"/>
    <s v="Spiral Notebook"/>
    <s v="Home Office"/>
    <n v="22174"/>
    <n v="0.14000000000000001"/>
    <n v="12486"/>
    <n v="16"/>
    <s v="UPI"/>
    <s v="Medium"/>
    <x v="1"/>
    <x v="6"/>
    <n v="4"/>
    <n v="7"/>
    <n v="0.56309190944349241"/>
  </r>
  <r>
    <n v="10576"/>
    <d v="2022-07-30T00:00:00"/>
    <d v="2022-08-04T00:00:00"/>
    <d v="2022-08-08T00:00:00"/>
    <x v="0"/>
    <s v="India"/>
    <s v="Tamil Nadu"/>
    <s v="Hyderabad"/>
    <x v="0"/>
    <s v="Pen"/>
    <s v="Gaming Laptop"/>
    <s v="Home Office"/>
    <n v="56347"/>
    <n v="0.16"/>
    <n v="-141"/>
    <n v="23"/>
    <s v="UPI"/>
    <s v="High"/>
    <x v="1"/>
    <x v="6"/>
    <n v="5"/>
    <n v="9"/>
    <n v="-2.5023515005235418E-3"/>
  </r>
  <r>
    <n v="10577"/>
    <d v="2022-07-31T00:00:00"/>
    <d v="2022-08-02T00:00:00"/>
    <d v="2022-08-06T00:00:00"/>
    <x v="3"/>
    <s v="India"/>
    <s v="Kerala"/>
    <s v="Mumbai"/>
    <x v="2"/>
    <s v="Mobile"/>
    <s v="Spiral Notebook"/>
    <s v="Corporate"/>
    <n v="74559"/>
    <n v="0.12"/>
    <n v="3515"/>
    <n v="11"/>
    <s v="UPI"/>
    <s v="High"/>
    <x v="1"/>
    <x v="6"/>
    <n v="2"/>
    <n v="6"/>
    <n v="4.7143872637776793E-2"/>
  </r>
  <r>
    <n v="10578"/>
    <d v="2022-08-01T00:00:00"/>
    <d v="2022-08-05T00:00:00"/>
    <d v="2022-08-07T00:00:00"/>
    <x v="3"/>
    <s v="India"/>
    <s v="Kerala"/>
    <s v="Kochi"/>
    <x v="0"/>
    <s v="Chair"/>
    <s v="Gaming Laptop"/>
    <s v="Consumer"/>
    <n v="41436"/>
    <n v="0.24"/>
    <n v="5522"/>
    <n v="10"/>
    <s v="Net Banking"/>
    <s v="Critical"/>
    <x v="1"/>
    <x v="7"/>
    <n v="4"/>
    <n v="6"/>
    <n v="0.13326575924317019"/>
  </r>
  <r>
    <n v="10579"/>
    <d v="2022-08-02T00:00:00"/>
    <d v="2022-08-08T00:00:00"/>
    <d v="2022-08-10T00:00:00"/>
    <x v="1"/>
    <s v="India"/>
    <s v="Telangana"/>
    <s v="Mumbai"/>
    <x v="0"/>
    <s v="Mobile"/>
    <s v="Spiral Notebook"/>
    <s v="Corporate"/>
    <n v="68284"/>
    <n v="0.2"/>
    <n v="4171"/>
    <n v="13"/>
    <s v="UPI"/>
    <s v="Medium"/>
    <x v="1"/>
    <x v="7"/>
    <n v="6"/>
    <n v="8"/>
    <n v="6.1083123425692692E-2"/>
  </r>
  <r>
    <n v="10580"/>
    <d v="2022-08-03T00:00:00"/>
    <d v="2022-08-08T00:00:00"/>
    <d v="2022-08-13T00:00:00"/>
    <x v="3"/>
    <s v="India"/>
    <s v="Telangana"/>
    <s v="Delhi"/>
    <x v="2"/>
    <s v="Pen"/>
    <s v="Dining Table"/>
    <s v="Corporate"/>
    <n v="68695"/>
    <n v="0.26"/>
    <n v="15309"/>
    <n v="22"/>
    <s v="Debit Card"/>
    <s v="Medium"/>
    <x v="1"/>
    <x v="7"/>
    <n v="5"/>
    <n v="10"/>
    <n v="0.22285464735424704"/>
  </r>
  <r>
    <n v="10581"/>
    <d v="2022-08-04T00:00:00"/>
    <d v="2022-08-07T00:00:00"/>
    <d v="2022-08-10T00:00:00"/>
    <x v="0"/>
    <s v="India"/>
    <s v="Delhi"/>
    <s v="Delhi"/>
    <x v="0"/>
    <s v="Notebook"/>
    <s v="Laser Printer"/>
    <s v="Consumer"/>
    <n v="71491"/>
    <n v="0.15"/>
    <n v="17086"/>
    <n v="12"/>
    <s v="Credit Card"/>
    <s v="Critical"/>
    <x v="1"/>
    <x v="7"/>
    <n v="3"/>
    <n v="6"/>
    <n v="0.23899511826663497"/>
  </r>
  <r>
    <n v="10582"/>
    <d v="2022-08-05T00:00:00"/>
    <d v="2022-08-11T00:00:00"/>
    <d v="2022-08-15T00:00:00"/>
    <x v="1"/>
    <s v="India"/>
    <s v="Delhi"/>
    <s v="Chennai"/>
    <x v="2"/>
    <s v="Notebook"/>
    <s v="Office Chair"/>
    <s v="Consumer"/>
    <n v="43040"/>
    <n v="0.33"/>
    <n v="17735"/>
    <n v="10"/>
    <s v="Cash"/>
    <s v="High"/>
    <x v="1"/>
    <x v="7"/>
    <n v="6"/>
    <n v="10"/>
    <n v="0.41205855018587362"/>
  </r>
  <r>
    <n v="10583"/>
    <d v="2022-08-06T00:00:00"/>
    <d v="2022-08-12T00:00:00"/>
    <d v="2022-08-15T00:00:00"/>
    <x v="3"/>
    <s v="India"/>
    <s v="Tamil Nadu"/>
    <s v="Chennai"/>
    <x v="1"/>
    <s v="Notebook"/>
    <s v="Dining Table"/>
    <s v="Corporate"/>
    <n v="34876"/>
    <n v="0.17"/>
    <n v="19259"/>
    <n v="13"/>
    <s v="UPI"/>
    <s v="Low"/>
    <x v="1"/>
    <x v="7"/>
    <n v="6"/>
    <n v="9"/>
    <n v="0.55221355660052762"/>
  </r>
  <r>
    <n v="10584"/>
    <d v="2022-08-07T00:00:00"/>
    <d v="2022-08-13T00:00:00"/>
    <d v="2022-08-16T00:00:00"/>
    <x v="1"/>
    <s v="India"/>
    <s v="Telangana"/>
    <s v="Delhi"/>
    <x v="1"/>
    <s v="Mobile"/>
    <s v="Smartphone"/>
    <s v="Home Office"/>
    <n v="62343"/>
    <n v="0.01"/>
    <n v="9507"/>
    <n v="14"/>
    <s v="Debit Card"/>
    <s v="Medium"/>
    <x v="1"/>
    <x v="7"/>
    <n v="6"/>
    <n v="9"/>
    <n v="0.15249506760983592"/>
  </r>
  <r>
    <n v="10585"/>
    <d v="2022-08-08T00:00:00"/>
    <d v="2022-08-12T00:00:00"/>
    <d v="2022-08-13T00:00:00"/>
    <x v="2"/>
    <s v="India"/>
    <s v="Telangana"/>
    <s v="Bangalore"/>
    <x v="2"/>
    <s v="Laptop"/>
    <s v="Laser Printer"/>
    <s v="Corporate"/>
    <n v="24063"/>
    <n v="0.08"/>
    <n v="5467"/>
    <n v="19"/>
    <s v="Net Banking"/>
    <s v="Critical"/>
    <x v="1"/>
    <x v="7"/>
    <n v="4"/>
    <n v="5"/>
    <n v="0.22719527905913645"/>
  </r>
  <r>
    <n v="10586"/>
    <d v="2022-08-09T00:00:00"/>
    <d v="2022-08-11T00:00:00"/>
    <d v="2022-08-13T00:00:00"/>
    <x v="1"/>
    <s v="India"/>
    <s v="Tamil Nadu"/>
    <s v="Chennai"/>
    <x v="1"/>
    <s v="Printer"/>
    <s v="Spiral Notebook"/>
    <s v="Home Office"/>
    <n v="14172"/>
    <n v="0.21"/>
    <n v="18812"/>
    <n v="13"/>
    <s v="Debit Card"/>
    <s v="High"/>
    <x v="1"/>
    <x v="7"/>
    <n v="2"/>
    <n v="4"/>
    <n v="1.3274061529777026"/>
  </r>
  <r>
    <n v="10587"/>
    <d v="2022-08-10T00:00:00"/>
    <d v="2022-08-13T00:00:00"/>
    <d v="2022-08-14T00:00:00"/>
    <x v="1"/>
    <s v="India"/>
    <s v="Karnataka"/>
    <s v="Kochi"/>
    <x v="2"/>
    <s v="Mobile"/>
    <s v="Office Chair"/>
    <s v="Consumer"/>
    <n v="2478"/>
    <n v="0.27"/>
    <n v="13427"/>
    <n v="7"/>
    <s v="Cash"/>
    <s v="Critical"/>
    <x v="1"/>
    <x v="7"/>
    <n v="3"/>
    <n v="4"/>
    <n v="5.4184826472962069"/>
  </r>
  <r>
    <n v="10588"/>
    <d v="2022-08-11T00:00:00"/>
    <d v="2022-08-18T00:00:00"/>
    <d v="2022-08-20T00:00:00"/>
    <x v="1"/>
    <s v="India"/>
    <s v="Maharashtra"/>
    <s v="Mumbai"/>
    <x v="1"/>
    <s v="Table"/>
    <s v="Dining Table"/>
    <s v="Corporate"/>
    <n v="63207"/>
    <n v="0.25"/>
    <n v="7754"/>
    <n v="3"/>
    <s v="Credit Card"/>
    <s v="High"/>
    <x v="1"/>
    <x v="7"/>
    <n v="7"/>
    <n v="9"/>
    <n v="0.12267628585441485"/>
  </r>
  <r>
    <n v="10589"/>
    <d v="2022-08-12T00:00:00"/>
    <d v="2022-08-15T00:00:00"/>
    <d v="2022-08-19T00:00:00"/>
    <x v="2"/>
    <s v="India"/>
    <s v="Telangana"/>
    <s v="Chennai"/>
    <x v="0"/>
    <s v="Mobile"/>
    <s v="Smartphone"/>
    <s v="Corporate"/>
    <n v="70939"/>
    <n v="0.18"/>
    <n v="16118"/>
    <n v="7"/>
    <s v="Debit Card"/>
    <s v="Critical"/>
    <x v="1"/>
    <x v="7"/>
    <n v="3"/>
    <n v="7"/>
    <n v="0.22720929249073146"/>
  </r>
  <r>
    <n v="10590"/>
    <d v="2022-08-13T00:00:00"/>
    <d v="2022-08-20T00:00:00"/>
    <d v="2022-08-25T00:00:00"/>
    <x v="0"/>
    <s v="India"/>
    <s v="Karnataka"/>
    <s v="Chennai"/>
    <x v="1"/>
    <s v="Laptop"/>
    <s v="Spiral Notebook"/>
    <s v="Corporate"/>
    <n v="32730"/>
    <n v="0.35"/>
    <n v="4000"/>
    <n v="22"/>
    <s v="UPI"/>
    <s v="High"/>
    <x v="1"/>
    <x v="7"/>
    <n v="7"/>
    <n v="12"/>
    <n v="0.12221203788573175"/>
  </r>
  <r>
    <n v="10591"/>
    <d v="2022-08-14T00:00:00"/>
    <d v="2022-08-19T00:00:00"/>
    <d v="2022-08-22T00:00:00"/>
    <x v="1"/>
    <s v="India"/>
    <s v="Karnataka"/>
    <s v="Hyderabad"/>
    <x v="1"/>
    <s v="Notebook"/>
    <s v="Spiral Notebook"/>
    <s v="Corporate"/>
    <n v="39306"/>
    <n v="0.1"/>
    <n v="19591"/>
    <n v="24"/>
    <s v="Debit Card"/>
    <s v="High"/>
    <x v="1"/>
    <x v="7"/>
    <n v="5"/>
    <n v="8"/>
    <n v="0.49842263267694498"/>
  </r>
  <r>
    <n v="10592"/>
    <d v="2022-08-15T00:00:00"/>
    <d v="2022-08-20T00:00:00"/>
    <d v="2022-08-21T00:00:00"/>
    <x v="1"/>
    <s v="India"/>
    <s v="Maharashtra"/>
    <s v="Mumbai"/>
    <x v="0"/>
    <s v="Printer"/>
    <s v="Office Chair"/>
    <s v="Home Office"/>
    <n v="44844"/>
    <n v="0.16"/>
    <n v="2596"/>
    <n v="19"/>
    <s v="Cash"/>
    <s v="High"/>
    <x v="1"/>
    <x v="7"/>
    <n v="5"/>
    <n v="6"/>
    <n v="5.7889572741057889E-2"/>
  </r>
  <r>
    <n v="10593"/>
    <d v="2022-08-16T00:00:00"/>
    <d v="2022-08-20T00:00:00"/>
    <d v="2022-08-24T00:00:00"/>
    <x v="2"/>
    <s v="India"/>
    <s v="Karnataka"/>
    <s v="Hyderabad"/>
    <x v="1"/>
    <s v="Notebook"/>
    <s v="Spiral Notebook"/>
    <s v="Home Office"/>
    <n v="42851"/>
    <n v="0.09"/>
    <n v="5960"/>
    <n v="6"/>
    <s v="Cash"/>
    <s v="Medium"/>
    <x v="1"/>
    <x v="7"/>
    <n v="4"/>
    <n v="8"/>
    <n v="0.13908660241301254"/>
  </r>
  <r>
    <n v="10594"/>
    <d v="2022-08-17T00:00:00"/>
    <d v="2022-08-23T00:00:00"/>
    <d v="2022-08-26T00:00:00"/>
    <x v="2"/>
    <s v="India"/>
    <s v="Kerala"/>
    <s v="Kochi"/>
    <x v="1"/>
    <s v="Laptop"/>
    <s v="Spiral Notebook"/>
    <s v="Consumer"/>
    <n v="65468"/>
    <n v="0.31"/>
    <n v="11243"/>
    <n v="18"/>
    <s v="Credit Card"/>
    <s v="High"/>
    <x v="1"/>
    <x v="7"/>
    <n v="6"/>
    <n v="9"/>
    <n v="0.17173275493370807"/>
  </r>
  <r>
    <n v="10595"/>
    <d v="2022-08-18T00:00:00"/>
    <d v="2022-08-21T00:00:00"/>
    <d v="2022-08-22T00:00:00"/>
    <x v="0"/>
    <s v="India"/>
    <s v="Telangana"/>
    <s v="Hyderabad"/>
    <x v="0"/>
    <s v="Notebook"/>
    <s v="Spiral Notebook"/>
    <s v="Corporate"/>
    <n v="71067"/>
    <n v="0.26"/>
    <n v="7079"/>
    <n v="23"/>
    <s v="Credit Card"/>
    <s v="High"/>
    <x v="1"/>
    <x v="7"/>
    <n v="3"/>
    <n v="4"/>
    <n v="9.9610226968916651E-2"/>
  </r>
  <r>
    <n v="10596"/>
    <d v="2022-08-19T00:00:00"/>
    <d v="2022-08-24T00:00:00"/>
    <d v="2022-08-26T00:00:00"/>
    <x v="1"/>
    <s v="India"/>
    <s v="Telangana"/>
    <s v="Kochi"/>
    <x v="0"/>
    <s v="Printer"/>
    <s v="Spiral Notebook"/>
    <s v="Corporate"/>
    <n v="2691"/>
    <n v="0.17"/>
    <n v="3359"/>
    <n v="20"/>
    <s v="Cash"/>
    <s v="High"/>
    <x v="1"/>
    <x v="7"/>
    <n v="5"/>
    <n v="7"/>
    <n v="1.2482348569305091"/>
  </r>
  <r>
    <n v="10597"/>
    <d v="2022-08-20T00:00:00"/>
    <d v="2022-08-24T00:00:00"/>
    <d v="2022-08-26T00:00:00"/>
    <x v="2"/>
    <s v="India"/>
    <s v="Telangana"/>
    <s v="Hyderabad"/>
    <x v="1"/>
    <s v="Printer"/>
    <s v="Spiral Notebook"/>
    <s v="Consumer"/>
    <n v="30389"/>
    <n v="0.11"/>
    <n v="10020"/>
    <n v="7"/>
    <s v="UPI"/>
    <s v="Critical"/>
    <x v="1"/>
    <x v="7"/>
    <n v="4"/>
    <n v="6"/>
    <n v="0.32972457139096384"/>
  </r>
  <r>
    <n v="10598"/>
    <d v="2022-08-21T00:00:00"/>
    <d v="2022-08-24T00:00:00"/>
    <d v="2022-08-26T00:00:00"/>
    <x v="1"/>
    <s v="India"/>
    <s v="Karnataka"/>
    <s v="Hyderabad"/>
    <x v="1"/>
    <s v="Notebook"/>
    <s v="Smartphone"/>
    <s v="Home Office"/>
    <n v="25609"/>
    <n v="0.28000000000000003"/>
    <n v="12029"/>
    <n v="1"/>
    <s v="UPI"/>
    <s v="Medium"/>
    <x v="1"/>
    <x v="7"/>
    <n v="3"/>
    <n v="5"/>
    <n v="0.46971767737904641"/>
  </r>
  <r>
    <n v="10599"/>
    <d v="2022-08-22T00:00:00"/>
    <d v="2022-08-25T00:00:00"/>
    <d v="2022-08-29T00:00:00"/>
    <x v="3"/>
    <s v="India"/>
    <s v="Kerala"/>
    <s v="Kochi"/>
    <x v="1"/>
    <s v="Laptop"/>
    <s v="Office Chair"/>
    <s v="Corporate"/>
    <n v="22534"/>
    <n v="0.38"/>
    <n v="830"/>
    <n v="17"/>
    <s v="Cash"/>
    <s v="Low"/>
    <x v="1"/>
    <x v="7"/>
    <n v="3"/>
    <n v="7"/>
    <n v="3.6833229786101006E-2"/>
  </r>
  <r>
    <n v="10600"/>
    <d v="2022-08-23T00:00:00"/>
    <d v="2022-08-29T00:00:00"/>
    <d v="2022-09-03T00:00:00"/>
    <x v="3"/>
    <s v="India"/>
    <s v="Karnataka"/>
    <s v="Delhi"/>
    <x v="1"/>
    <s v="Printer"/>
    <s v="Spiral Notebook"/>
    <s v="Home Office"/>
    <n v="24892"/>
    <n v="0.35"/>
    <n v="6540"/>
    <n v="2"/>
    <s v="Debit Card"/>
    <s v="High"/>
    <x v="1"/>
    <x v="7"/>
    <n v="6"/>
    <n v="11"/>
    <n v="0.26273501526594889"/>
  </r>
  <r>
    <n v="10601"/>
    <d v="2022-08-24T00:00:00"/>
    <d v="2022-08-30T00:00:00"/>
    <d v="2022-09-03T00:00:00"/>
    <x v="3"/>
    <s v="India"/>
    <s v="Telangana"/>
    <s v="Mumbai"/>
    <x v="0"/>
    <s v="Chair"/>
    <s v="Laser Printer"/>
    <s v="Consumer"/>
    <n v="66243"/>
    <n v="0.11"/>
    <n v="3428"/>
    <n v="20"/>
    <s v="Cash"/>
    <s v="High"/>
    <x v="1"/>
    <x v="7"/>
    <n v="6"/>
    <n v="10"/>
    <n v="5.1748864030916476E-2"/>
  </r>
  <r>
    <n v="10602"/>
    <d v="2022-08-25T00:00:00"/>
    <d v="2022-09-01T00:00:00"/>
    <d v="2022-09-04T00:00:00"/>
    <x v="3"/>
    <s v="India"/>
    <s v="Telangana"/>
    <s v="Mumbai"/>
    <x v="0"/>
    <s v="Laptop"/>
    <s v="Spiral Notebook"/>
    <s v="Corporate"/>
    <n v="583"/>
    <n v="0.05"/>
    <n v="17600"/>
    <n v="24"/>
    <s v="UPI"/>
    <s v="Low"/>
    <x v="1"/>
    <x v="7"/>
    <n v="7"/>
    <n v="10"/>
    <n v="30.188679245283019"/>
  </r>
  <r>
    <n v="10603"/>
    <d v="2022-08-26T00:00:00"/>
    <d v="2022-08-30T00:00:00"/>
    <d v="2022-09-04T00:00:00"/>
    <x v="1"/>
    <s v="India"/>
    <s v="Telangana"/>
    <s v="Kochi"/>
    <x v="1"/>
    <s v="Table"/>
    <s v="Laser Printer"/>
    <s v="Corporate"/>
    <n v="73981"/>
    <n v="0.01"/>
    <n v="7116"/>
    <n v="17"/>
    <s v="UPI"/>
    <s v="High"/>
    <x v="1"/>
    <x v="7"/>
    <n v="4"/>
    <n v="9"/>
    <n v="9.6186858788067209E-2"/>
  </r>
  <r>
    <n v="10604"/>
    <d v="2022-08-27T00:00:00"/>
    <d v="2022-09-01T00:00:00"/>
    <d v="2022-09-05T00:00:00"/>
    <x v="3"/>
    <s v="India"/>
    <s v="Tamil Nadu"/>
    <s v="Hyderabad"/>
    <x v="1"/>
    <s v="Table"/>
    <s v="Dining Table"/>
    <s v="Home Office"/>
    <n v="31472"/>
    <n v="0.14000000000000001"/>
    <n v="2691"/>
    <n v="14"/>
    <s v="Debit Card"/>
    <s v="High"/>
    <x v="1"/>
    <x v="7"/>
    <n v="5"/>
    <n v="9"/>
    <n v="8.5504575495678692E-2"/>
  </r>
  <r>
    <n v="10605"/>
    <d v="2022-08-28T00:00:00"/>
    <d v="2022-09-03T00:00:00"/>
    <d v="2022-09-07T00:00:00"/>
    <x v="1"/>
    <s v="India"/>
    <s v="Tamil Nadu"/>
    <s v="Chennai"/>
    <x v="0"/>
    <s v="Laptop"/>
    <s v="Spiral Notebook"/>
    <s v="Consumer"/>
    <n v="19661"/>
    <n v="0.36"/>
    <n v="-1987"/>
    <n v="8"/>
    <s v="Debit Card"/>
    <s v="High"/>
    <x v="1"/>
    <x v="7"/>
    <n v="6"/>
    <n v="10"/>
    <n v="-0.10106301815777427"/>
  </r>
  <r>
    <n v="10606"/>
    <d v="2022-08-29T00:00:00"/>
    <d v="2022-08-31T00:00:00"/>
    <d v="2022-09-02T00:00:00"/>
    <x v="0"/>
    <s v="India"/>
    <s v="Telangana"/>
    <s v="Delhi"/>
    <x v="2"/>
    <s v="Notebook"/>
    <s v="Gaming Laptop"/>
    <s v="Corporate"/>
    <n v="40576"/>
    <n v="0.37"/>
    <n v="10995"/>
    <n v="14"/>
    <s v="Credit Card"/>
    <s v="Critical"/>
    <x v="1"/>
    <x v="7"/>
    <n v="2"/>
    <n v="4"/>
    <n v="0.27097298895899052"/>
  </r>
  <r>
    <n v="10607"/>
    <d v="2022-08-30T00:00:00"/>
    <d v="2022-09-02T00:00:00"/>
    <d v="2022-09-07T00:00:00"/>
    <x v="1"/>
    <s v="India"/>
    <s v="Telangana"/>
    <s v="Bangalore"/>
    <x v="2"/>
    <s v="Laptop"/>
    <s v="Dining Table"/>
    <s v="Consumer"/>
    <n v="4407"/>
    <n v="0.35"/>
    <n v="9864"/>
    <n v="1"/>
    <s v="Net Banking"/>
    <s v="Low"/>
    <x v="1"/>
    <x v="7"/>
    <n v="3"/>
    <n v="8"/>
    <n v="2.2382573179033356"/>
  </r>
  <r>
    <n v="10608"/>
    <d v="2022-08-31T00:00:00"/>
    <d v="2022-09-03T00:00:00"/>
    <d v="2022-09-04T00:00:00"/>
    <x v="2"/>
    <s v="India"/>
    <s v="Tamil Nadu"/>
    <s v="Bangalore"/>
    <x v="2"/>
    <s v="Chair"/>
    <s v="Office Chair"/>
    <s v="Corporate"/>
    <n v="19621"/>
    <n v="0.06"/>
    <n v="3808"/>
    <n v="19"/>
    <s v="Debit Card"/>
    <s v="Critical"/>
    <x v="1"/>
    <x v="7"/>
    <n v="3"/>
    <n v="4"/>
    <n v="0.19407777381377095"/>
  </r>
  <r>
    <n v="10609"/>
    <d v="2022-09-01T00:00:00"/>
    <d v="2022-09-08T00:00:00"/>
    <d v="2022-09-12T00:00:00"/>
    <x v="3"/>
    <s v="India"/>
    <s v="Delhi"/>
    <s v="Kochi"/>
    <x v="0"/>
    <s v="Chair"/>
    <s v="Dining Table"/>
    <s v="Home Office"/>
    <n v="3868"/>
    <n v="0.13"/>
    <n v="5596"/>
    <n v="22"/>
    <s v="Credit Card"/>
    <s v="High"/>
    <x v="1"/>
    <x v="8"/>
    <n v="7"/>
    <n v="11"/>
    <n v="1.4467425025853153"/>
  </r>
  <r>
    <n v="10610"/>
    <d v="2022-09-02T00:00:00"/>
    <d v="2022-09-05T00:00:00"/>
    <d v="2022-09-08T00:00:00"/>
    <x v="1"/>
    <s v="India"/>
    <s v="Karnataka"/>
    <s v="Hyderabad"/>
    <x v="0"/>
    <s v="Mobile"/>
    <s v="Smartphone"/>
    <s v="Home Office"/>
    <n v="52969"/>
    <n v="0.04"/>
    <n v="17857"/>
    <n v="15"/>
    <s v="Debit Card"/>
    <s v="Low"/>
    <x v="1"/>
    <x v="8"/>
    <n v="3"/>
    <n v="6"/>
    <n v="0.33712171269988106"/>
  </r>
  <r>
    <n v="10611"/>
    <d v="2022-09-03T00:00:00"/>
    <d v="2022-09-06T00:00:00"/>
    <d v="2022-09-08T00:00:00"/>
    <x v="1"/>
    <s v="India"/>
    <s v="Telangana"/>
    <s v="Chennai"/>
    <x v="1"/>
    <s v="Pen"/>
    <s v="Gel Pen"/>
    <s v="Corporate"/>
    <n v="13846"/>
    <n v="0.37"/>
    <n v="4427"/>
    <n v="13"/>
    <s v="Credit Card"/>
    <s v="Low"/>
    <x v="1"/>
    <x v="8"/>
    <n v="3"/>
    <n v="5"/>
    <n v="0.31973133034811496"/>
  </r>
  <r>
    <n v="10612"/>
    <d v="2022-09-04T00:00:00"/>
    <d v="2022-09-07T00:00:00"/>
    <d v="2022-09-11T00:00:00"/>
    <x v="3"/>
    <s v="India"/>
    <s v="Maharashtra"/>
    <s v="Hyderabad"/>
    <x v="0"/>
    <s v="Laptop"/>
    <s v="Office Chair"/>
    <s v="Consumer"/>
    <n v="22031"/>
    <n v="0.28000000000000003"/>
    <n v="7061"/>
    <n v="17"/>
    <s v="Cash"/>
    <s v="Medium"/>
    <x v="1"/>
    <x v="8"/>
    <n v="3"/>
    <n v="7"/>
    <n v="0.32050292769279654"/>
  </r>
  <r>
    <n v="10613"/>
    <d v="2022-09-05T00:00:00"/>
    <d v="2022-09-08T00:00:00"/>
    <d v="2022-09-10T00:00:00"/>
    <x v="0"/>
    <s v="India"/>
    <s v="Karnataka"/>
    <s v="Chennai"/>
    <x v="0"/>
    <s v="Mobile"/>
    <s v="Office Chair"/>
    <s v="Consumer"/>
    <n v="31503"/>
    <n v="0.23"/>
    <n v="3117"/>
    <n v="9"/>
    <s v="Cash"/>
    <s v="Critical"/>
    <x v="1"/>
    <x v="8"/>
    <n v="3"/>
    <n v="5"/>
    <n v="9.8942957813541565E-2"/>
  </r>
  <r>
    <n v="10614"/>
    <d v="2022-09-06T00:00:00"/>
    <d v="2022-09-13T00:00:00"/>
    <d v="2022-09-15T00:00:00"/>
    <x v="0"/>
    <s v="India"/>
    <s v="Karnataka"/>
    <s v="Delhi"/>
    <x v="2"/>
    <s v="Notebook"/>
    <s v="Spiral Notebook"/>
    <s v="Consumer"/>
    <n v="60595"/>
    <n v="0.27"/>
    <n v="-605"/>
    <n v="7"/>
    <s v="Credit Card"/>
    <s v="Medium"/>
    <x v="1"/>
    <x v="8"/>
    <n v="7"/>
    <n v="9"/>
    <n v="-9.9843221387903285E-3"/>
  </r>
  <r>
    <n v="10615"/>
    <d v="2022-09-07T00:00:00"/>
    <d v="2022-09-13T00:00:00"/>
    <d v="2022-09-18T00:00:00"/>
    <x v="3"/>
    <s v="India"/>
    <s v="Karnataka"/>
    <s v="Delhi"/>
    <x v="1"/>
    <s v="Laptop"/>
    <s v="Laser Printer"/>
    <s v="Home Office"/>
    <n v="28683"/>
    <n v="0.04"/>
    <n v="-1376"/>
    <n v="14"/>
    <s v="Net Banking"/>
    <s v="High"/>
    <x v="1"/>
    <x v="8"/>
    <n v="6"/>
    <n v="11"/>
    <n v="-4.797266673639438E-2"/>
  </r>
  <r>
    <n v="10616"/>
    <d v="2022-09-08T00:00:00"/>
    <d v="2022-09-15T00:00:00"/>
    <d v="2022-09-18T00:00:00"/>
    <x v="1"/>
    <s v="India"/>
    <s v="Tamil Nadu"/>
    <s v="Delhi"/>
    <x v="2"/>
    <s v="Chair"/>
    <s v="Smartphone"/>
    <s v="Corporate"/>
    <n v="43858"/>
    <n v="0.03"/>
    <n v="14134"/>
    <n v="24"/>
    <s v="Cash"/>
    <s v="High"/>
    <x v="1"/>
    <x v="8"/>
    <n v="7"/>
    <n v="10"/>
    <n v="0.32226731725112862"/>
  </r>
  <r>
    <n v="10617"/>
    <d v="2022-09-09T00:00:00"/>
    <d v="2022-09-14T00:00:00"/>
    <d v="2022-09-19T00:00:00"/>
    <x v="2"/>
    <s v="India"/>
    <s v="Tamil Nadu"/>
    <s v="Kochi"/>
    <x v="1"/>
    <s v="Pen"/>
    <s v="Dining Table"/>
    <s v="Corporate"/>
    <n v="61133"/>
    <n v="0.27"/>
    <n v="6901"/>
    <n v="9"/>
    <s v="Net Banking"/>
    <s v="High"/>
    <x v="1"/>
    <x v="8"/>
    <n v="5"/>
    <n v="10"/>
    <n v="0.11288502118332161"/>
  </r>
  <r>
    <n v="10618"/>
    <d v="2022-09-10T00:00:00"/>
    <d v="2022-09-15T00:00:00"/>
    <d v="2022-09-19T00:00:00"/>
    <x v="0"/>
    <s v="India"/>
    <s v="Maharashtra"/>
    <s v="Bangalore"/>
    <x v="2"/>
    <s v="Chair"/>
    <s v="Dining Table"/>
    <s v="Home Office"/>
    <n v="66135"/>
    <n v="0.05"/>
    <n v="12717"/>
    <n v="6"/>
    <s v="UPI"/>
    <s v="Critical"/>
    <x v="1"/>
    <x v="8"/>
    <n v="5"/>
    <n v="9"/>
    <n v="0.19228850079383081"/>
  </r>
  <r>
    <n v="10619"/>
    <d v="2022-09-11T00:00:00"/>
    <d v="2022-09-13T00:00:00"/>
    <d v="2022-09-15T00:00:00"/>
    <x v="2"/>
    <s v="India"/>
    <s v="Karnataka"/>
    <s v="Mumbai"/>
    <x v="1"/>
    <s v="Chair"/>
    <s v="Gel Pen"/>
    <s v="Corporate"/>
    <n v="68999"/>
    <n v="0.11"/>
    <n v="-146"/>
    <n v="11"/>
    <s v="Cash"/>
    <s v="Low"/>
    <x v="1"/>
    <x v="8"/>
    <n v="2"/>
    <n v="4"/>
    <n v="-2.1159726952564529E-3"/>
  </r>
  <r>
    <n v="10620"/>
    <d v="2022-09-12T00:00:00"/>
    <d v="2022-09-16T00:00:00"/>
    <d v="2022-09-21T00:00:00"/>
    <x v="3"/>
    <s v="India"/>
    <s v="Karnataka"/>
    <s v="Kochi"/>
    <x v="1"/>
    <s v="Laptop"/>
    <s v="Gel Pen"/>
    <s v="Consumer"/>
    <n v="53801"/>
    <n v="0.18"/>
    <n v="657"/>
    <n v="24"/>
    <s v="Debit Card"/>
    <s v="High"/>
    <x v="1"/>
    <x v="8"/>
    <n v="4"/>
    <n v="9"/>
    <n v="1.2211668928086838E-2"/>
  </r>
  <r>
    <n v="10621"/>
    <d v="2022-09-13T00:00:00"/>
    <d v="2022-09-19T00:00:00"/>
    <d v="2022-09-24T00:00:00"/>
    <x v="2"/>
    <s v="India"/>
    <s v="Tamil Nadu"/>
    <s v="Hyderabad"/>
    <x v="0"/>
    <s v="Laptop"/>
    <s v="Gel Pen"/>
    <s v="Corporate"/>
    <n v="28325"/>
    <n v="0.27"/>
    <n v="2557"/>
    <n v="15"/>
    <s v="Net Banking"/>
    <s v="High"/>
    <x v="1"/>
    <x v="8"/>
    <n v="6"/>
    <n v="11"/>
    <n v="9.027360988526037E-2"/>
  </r>
  <r>
    <n v="10622"/>
    <d v="2022-09-14T00:00:00"/>
    <d v="2022-09-21T00:00:00"/>
    <d v="2022-09-24T00:00:00"/>
    <x v="1"/>
    <s v="India"/>
    <s v="Kerala"/>
    <s v="Chennai"/>
    <x v="1"/>
    <s v="Printer"/>
    <s v="Gaming Laptop"/>
    <s v="Consumer"/>
    <n v="18828"/>
    <n v="0.28000000000000003"/>
    <n v="-366"/>
    <n v="1"/>
    <s v="Debit Card"/>
    <s v="Medium"/>
    <x v="1"/>
    <x v="8"/>
    <n v="7"/>
    <n v="10"/>
    <n v="-1.9439133205863608E-2"/>
  </r>
  <r>
    <n v="10623"/>
    <d v="2022-09-15T00:00:00"/>
    <d v="2022-09-18T00:00:00"/>
    <d v="2022-09-23T00:00:00"/>
    <x v="1"/>
    <s v="India"/>
    <s v="Karnataka"/>
    <s v="Kochi"/>
    <x v="0"/>
    <s v="Mobile"/>
    <s v="Dining Table"/>
    <s v="Home Office"/>
    <n v="50078"/>
    <n v="0.1"/>
    <n v="14517"/>
    <n v="8"/>
    <s v="Cash"/>
    <s v="Critical"/>
    <x v="1"/>
    <x v="8"/>
    <n v="3"/>
    <n v="8"/>
    <n v="0.28988777507088942"/>
  </r>
  <r>
    <n v="10624"/>
    <d v="2022-09-16T00:00:00"/>
    <d v="2022-09-19T00:00:00"/>
    <d v="2022-09-23T00:00:00"/>
    <x v="3"/>
    <s v="India"/>
    <s v="Telangana"/>
    <s v="Hyderabad"/>
    <x v="1"/>
    <s v="Printer"/>
    <s v="Gaming Laptop"/>
    <s v="Consumer"/>
    <n v="22365"/>
    <n v="0.35"/>
    <n v="15303"/>
    <n v="12"/>
    <s v="UPI"/>
    <s v="Medium"/>
    <x v="1"/>
    <x v="8"/>
    <n v="3"/>
    <n v="7"/>
    <n v="0.68423876592890676"/>
  </r>
  <r>
    <n v="10625"/>
    <d v="2022-09-17T00:00:00"/>
    <d v="2022-09-21T00:00:00"/>
    <d v="2022-09-22T00:00:00"/>
    <x v="0"/>
    <s v="India"/>
    <s v="Tamil Nadu"/>
    <s v="Hyderabad"/>
    <x v="1"/>
    <s v="Printer"/>
    <s v="Smartphone"/>
    <s v="Consumer"/>
    <n v="29755"/>
    <n v="0.18"/>
    <n v="2246"/>
    <n v="11"/>
    <s v="Credit Card"/>
    <s v="Critical"/>
    <x v="1"/>
    <x v="8"/>
    <n v="4"/>
    <n v="5"/>
    <n v="7.548311208200302E-2"/>
  </r>
  <r>
    <n v="10626"/>
    <d v="2022-09-18T00:00:00"/>
    <d v="2022-09-24T00:00:00"/>
    <d v="2022-09-25T00:00:00"/>
    <x v="1"/>
    <s v="India"/>
    <s v="Telangana"/>
    <s v="Bangalore"/>
    <x v="1"/>
    <s v="Mobile"/>
    <s v="Office Chair"/>
    <s v="Consumer"/>
    <n v="73750"/>
    <n v="0.16"/>
    <n v="12993"/>
    <n v="22"/>
    <s v="UPI"/>
    <s v="High"/>
    <x v="1"/>
    <x v="8"/>
    <n v="6"/>
    <n v="7"/>
    <n v="0.17617627118644069"/>
  </r>
  <r>
    <n v="10627"/>
    <d v="2022-09-19T00:00:00"/>
    <d v="2022-09-24T00:00:00"/>
    <d v="2022-09-28T00:00:00"/>
    <x v="0"/>
    <s v="India"/>
    <s v="Karnataka"/>
    <s v="Delhi"/>
    <x v="0"/>
    <s v="Laptop"/>
    <s v="Dining Table"/>
    <s v="Home Office"/>
    <n v="24368"/>
    <n v="0.1"/>
    <n v="3968"/>
    <n v="6"/>
    <s v="Cash"/>
    <s v="Low"/>
    <x v="1"/>
    <x v="8"/>
    <n v="5"/>
    <n v="9"/>
    <n v="0.16283650689428758"/>
  </r>
  <r>
    <n v="10628"/>
    <d v="2022-09-20T00:00:00"/>
    <d v="2022-09-23T00:00:00"/>
    <d v="2022-09-28T00:00:00"/>
    <x v="0"/>
    <s v="India"/>
    <s v="Kerala"/>
    <s v="Chennai"/>
    <x v="2"/>
    <s v="Laptop"/>
    <s v="Gel Pen"/>
    <s v="Consumer"/>
    <n v="63149"/>
    <n v="0.13"/>
    <n v="1866"/>
    <n v="15"/>
    <s v="Net Banking"/>
    <s v="High"/>
    <x v="1"/>
    <x v="8"/>
    <n v="3"/>
    <n v="8"/>
    <n v="2.9549161506912225E-2"/>
  </r>
  <r>
    <n v="10629"/>
    <d v="2022-09-21T00:00:00"/>
    <d v="2022-09-25T00:00:00"/>
    <d v="2022-09-30T00:00:00"/>
    <x v="1"/>
    <s v="India"/>
    <s v="Karnataka"/>
    <s v="Delhi"/>
    <x v="2"/>
    <s v="Chair"/>
    <s v="Smartphone"/>
    <s v="Home Office"/>
    <n v="58632"/>
    <n v="0.21"/>
    <n v="778"/>
    <n v="5"/>
    <s v="Net Banking"/>
    <s v="Medium"/>
    <x v="1"/>
    <x v="8"/>
    <n v="4"/>
    <n v="9"/>
    <n v="1.3269204529949516E-2"/>
  </r>
  <r>
    <n v="10630"/>
    <d v="2022-09-22T00:00:00"/>
    <d v="2022-09-29T00:00:00"/>
    <d v="2022-09-30T00:00:00"/>
    <x v="0"/>
    <s v="India"/>
    <s v="Tamil Nadu"/>
    <s v="Mumbai"/>
    <x v="1"/>
    <s v="Chair"/>
    <s v="Gel Pen"/>
    <s v="Consumer"/>
    <n v="34448"/>
    <n v="0.08"/>
    <n v="4475"/>
    <n v="16"/>
    <s v="Credit Card"/>
    <s v="Critical"/>
    <x v="1"/>
    <x v="8"/>
    <n v="7"/>
    <n v="8"/>
    <n v="0.12990594519275431"/>
  </r>
  <r>
    <n v="10631"/>
    <d v="2022-09-23T00:00:00"/>
    <d v="2022-09-28T00:00:00"/>
    <d v="2022-10-01T00:00:00"/>
    <x v="2"/>
    <s v="India"/>
    <s v="Maharashtra"/>
    <s v="Delhi"/>
    <x v="0"/>
    <s v="Pen"/>
    <s v="Laser Printer"/>
    <s v="Corporate"/>
    <n v="4838"/>
    <n v="0.25"/>
    <n v="10274"/>
    <n v="10"/>
    <s v="Debit Card"/>
    <s v="High"/>
    <x v="1"/>
    <x v="8"/>
    <n v="5"/>
    <n v="8"/>
    <n v="2.1236047953699875"/>
  </r>
  <r>
    <n v="10632"/>
    <d v="2022-09-24T00:00:00"/>
    <d v="2022-10-01T00:00:00"/>
    <d v="2022-10-04T00:00:00"/>
    <x v="3"/>
    <s v="India"/>
    <s v="Delhi"/>
    <s v="Hyderabad"/>
    <x v="1"/>
    <s v="Printer"/>
    <s v="Smartphone"/>
    <s v="Home Office"/>
    <n v="3780"/>
    <n v="0.17"/>
    <n v="13445"/>
    <n v="23"/>
    <s v="Credit Card"/>
    <s v="High"/>
    <x v="1"/>
    <x v="8"/>
    <n v="7"/>
    <n v="10"/>
    <n v="3.556878306878307"/>
  </r>
  <r>
    <n v="10633"/>
    <d v="2022-09-25T00:00:00"/>
    <d v="2022-09-27T00:00:00"/>
    <d v="2022-09-29T00:00:00"/>
    <x v="1"/>
    <s v="India"/>
    <s v="Delhi"/>
    <s v="Delhi"/>
    <x v="2"/>
    <s v="Notebook"/>
    <s v="Gaming Laptop"/>
    <s v="Home Office"/>
    <n v="53415"/>
    <n v="0.27"/>
    <n v="2053"/>
    <n v="24"/>
    <s v="Debit Card"/>
    <s v="Low"/>
    <x v="1"/>
    <x v="8"/>
    <n v="2"/>
    <n v="4"/>
    <n v="3.8434896564635404E-2"/>
  </r>
  <r>
    <n v="10634"/>
    <d v="2022-09-26T00:00:00"/>
    <d v="2022-09-30T00:00:00"/>
    <d v="2022-10-04T00:00:00"/>
    <x v="1"/>
    <s v="India"/>
    <s v="Karnataka"/>
    <s v="Bangalore"/>
    <x v="1"/>
    <s v="Table"/>
    <s v="Spiral Notebook"/>
    <s v="Home Office"/>
    <n v="68627"/>
    <n v="0.39"/>
    <n v="19310"/>
    <n v="21"/>
    <s v="Net Banking"/>
    <s v="Medium"/>
    <x v="1"/>
    <x v="8"/>
    <n v="4"/>
    <n v="8"/>
    <n v="0.28137613475745699"/>
  </r>
  <r>
    <n v="10635"/>
    <d v="2022-09-27T00:00:00"/>
    <d v="2022-10-03T00:00:00"/>
    <d v="2022-10-06T00:00:00"/>
    <x v="3"/>
    <s v="India"/>
    <s v="Kerala"/>
    <s v="Delhi"/>
    <x v="1"/>
    <s v="Chair"/>
    <s v="Smartphone"/>
    <s v="Home Office"/>
    <n v="57034"/>
    <n v="0.34"/>
    <n v="561"/>
    <n v="7"/>
    <s v="Credit Card"/>
    <s v="Low"/>
    <x v="1"/>
    <x v="8"/>
    <n v="6"/>
    <n v="9"/>
    <n v="9.83623803345373E-3"/>
  </r>
  <r>
    <n v="10636"/>
    <d v="2022-09-28T00:00:00"/>
    <d v="2022-10-02T00:00:00"/>
    <d v="2022-10-03T00:00:00"/>
    <x v="2"/>
    <s v="India"/>
    <s v="Tamil Nadu"/>
    <s v="Hyderabad"/>
    <x v="2"/>
    <s v="Laptop"/>
    <s v="Dining Table"/>
    <s v="Home Office"/>
    <n v="6185"/>
    <n v="0.25"/>
    <n v="14453"/>
    <n v="8"/>
    <s v="UPI"/>
    <s v="Low"/>
    <x v="1"/>
    <x v="8"/>
    <n v="4"/>
    <n v="5"/>
    <n v="2.3367825383993535"/>
  </r>
  <r>
    <n v="10637"/>
    <d v="2022-09-29T00:00:00"/>
    <d v="2022-10-02T00:00:00"/>
    <d v="2022-10-06T00:00:00"/>
    <x v="0"/>
    <s v="India"/>
    <s v="Delhi"/>
    <s v="Mumbai"/>
    <x v="2"/>
    <s v="Printer"/>
    <s v="Gaming Laptop"/>
    <s v="Home Office"/>
    <n v="24717"/>
    <n v="0.39"/>
    <n v="-252"/>
    <n v="19"/>
    <s v="Cash"/>
    <s v="Critical"/>
    <x v="1"/>
    <x v="8"/>
    <n v="3"/>
    <n v="7"/>
    <n v="-1.0195412064570943E-2"/>
  </r>
  <r>
    <n v="10638"/>
    <d v="2022-09-30T00:00:00"/>
    <d v="2022-10-05T00:00:00"/>
    <d v="2022-10-08T00:00:00"/>
    <x v="2"/>
    <s v="India"/>
    <s v="Kerala"/>
    <s v="Bangalore"/>
    <x v="0"/>
    <s v="Mobile"/>
    <s v="Laser Printer"/>
    <s v="Corporate"/>
    <n v="9351"/>
    <n v="0.04"/>
    <n v="17447"/>
    <n v="8"/>
    <s v="Credit Card"/>
    <s v="Low"/>
    <x v="1"/>
    <x v="8"/>
    <n v="5"/>
    <n v="8"/>
    <n v="1.8657897551064058"/>
  </r>
  <r>
    <n v="10639"/>
    <d v="2022-10-01T00:00:00"/>
    <d v="2022-10-03T00:00:00"/>
    <d v="2022-10-06T00:00:00"/>
    <x v="3"/>
    <s v="India"/>
    <s v="Kerala"/>
    <s v="Hyderabad"/>
    <x v="2"/>
    <s v="Table"/>
    <s v="Laser Printer"/>
    <s v="Home Office"/>
    <n v="19421"/>
    <n v="0.03"/>
    <n v="4095"/>
    <n v="24"/>
    <s v="Credit Card"/>
    <s v="Critical"/>
    <x v="1"/>
    <x v="9"/>
    <n v="2"/>
    <n v="5"/>
    <n v="0.21085422995726275"/>
  </r>
  <r>
    <n v="10640"/>
    <d v="2022-10-02T00:00:00"/>
    <d v="2022-10-06T00:00:00"/>
    <d v="2022-10-11T00:00:00"/>
    <x v="3"/>
    <s v="India"/>
    <s v="Maharashtra"/>
    <s v="Mumbai"/>
    <x v="0"/>
    <s v="Mobile"/>
    <s v="Dining Table"/>
    <s v="Home Office"/>
    <n v="1204"/>
    <n v="0.27"/>
    <n v="5098"/>
    <n v="22"/>
    <s v="Net Banking"/>
    <s v="Critical"/>
    <x v="1"/>
    <x v="9"/>
    <n v="4"/>
    <n v="9"/>
    <n v="4.2342192691029901"/>
  </r>
  <r>
    <n v="10641"/>
    <d v="2022-10-03T00:00:00"/>
    <d v="2022-10-08T00:00:00"/>
    <d v="2022-10-10T00:00:00"/>
    <x v="3"/>
    <s v="India"/>
    <s v="Karnataka"/>
    <s v="Chennai"/>
    <x v="0"/>
    <s v="Table"/>
    <s v="Office Chair"/>
    <s v="Home Office"/>
    <n v="45281"/>
    <n v="0.24"/>
    <n v="2689"/>
    <n v="3"/>
    <s v="Net Banking"/>
    <s v="Critical"/>
    <x v="1"/>
    <x v="9"/>
    <n v="5"/>
    <n v="7"/>
    <n v="5.9384730902586072E-2"/>
  </r>
  <r>
    <n v="10642"/>
    <d v="2022-10-04T00:00:00"/>
    <d v="2022-10-07T00:00:00"/>
    <d v="2022-10-08T00:00:00"/>
    <x v="1"/>
    <s v="India"/>
    <s v="Karnataka"/>
    <s v="Mumbai"/>
    <x v="2"/>
    <s v="Chair"/>
    <s v="Gaming Laptop"/>
    <s v="Home Office"/>
    <n v="57196"/>
    <n v="0.1"/>
    <n v="-1154"/>
    <n v="10"/>
    <s v="Cash"/>
    <s v="Low"/>
    <x v="1"/>
    <x v="9"/>
    <n v="3"/>
    <n v="4"/>
    <n v="-2.0176236100426605E-2"/>
  </r>
  <r>
    <n v="10643"/>
    <d v="2022-10-05T00:00:00"/>
    <d v="2022-10-08T00:00:00"/>
    <d v="2022-10-12T00:00:00"/>
    <x v="3"/>
    <s v="India"/>
    <s v="Telangana"/>
    <s v="Hyderabad"/>
    <x v="1"/>
    <s v="Notebook"/>
    <s v="Dining Table"/>
    <s v="Home Office"/>
    <n v="36141"/>
    <n v="0.37"/>
    <n v="13230"/>
    <n v="11"/>
    <s v="Debit Card"/>
    <s v="High"/>
    <x v="1"/>
    <x v="9"/>
    <n v="3"/>
    <n v="7"/>
    <n v="0.36606624055781523"/>
  </r>
  <r>
    <n v="10644"/>
    <d v="2022-10-06T00:00:00"/>
    <d v="2022-10-13T00:00:00"/>
    <d v="2022-10-17T00:00:00"/>
    <x v="3"/>
    <s v="India"/>
    <s v="Tamil Nadu"/>
    <s v="Chennai"/>
    <x v="0"/>
    <s v="Laptop"/>
    <s v="Laser Printer"/>
    <s v="Corporate"/>
    <n v="42119"/>
    <n v="0.09"/>
    <n v="8137"/>
    <n v="19"/>
    <s v="Cash"/>
    <s v="High"/>
    <x v="1"/>
    <x v="9"/>
    <n v="7"/>
    <n v="11"/>
    <n v="0.19319072152710179"/>
  </r>
  <r>
    <n v="10645"/>
    <d v="2022-10-07T00:00:00"/>
    <d v="2022-10-11T00:00:00"/>
    <d v="2022-10-15T00:00:00"/>
    <x v="2"/>
    <s v="India"/>
    <s v="Kerala"/>
    <s v="Kochi"/>
    <x v="2"/>
    <s v="Pen"/>
    <s v="Office Chair"/>
    <s v="Home Office"/>
    <n v="64702"/>
    <n v="0.28000000000000003"/>
    <n v="10866"/>
    <n v="18"/>
    <s v="UPI"/>
    <s v="Medium"/>
    <x v="1"/>
    <x v="9"/>
    <n v="4"/>
    <n v="8"/>
    <n v="0.16793916725912644"/>
  </r>
  <r>
    <n v="10646"/>
    <d v="2022-10-08T00:00:00"/>
    <d v="2022-10-14T00:00:00"/>
    <d v="2022-10-17T00:00:00"/>
    <x v="1"/>
    <s v="India"/>
    <s v="Delhi"/>
    <s v="Bangalore"/>
    <x v="1"/>
    <s v="Printer"/>
    <s v="Smartphone"/>
    <s v="Home Office"/>
    <n v="21165"/>
    <n v="0.24"/>
    <n v="13170"/>
    <n v="6"/>
    <s v="UPI"/>
    <s v="Low"/>
    <x v="1"/>
    <x v="9"/>
    <n v="6"/>
    <n v="9"/>
    <n v="0.62225372076541463"/>
  </r>
  <r>
    <n v="10647"/>
    <d v="2022-10-09T00:00:00"/>
    <d v="2022-10-13T00:00:00"/>
    <d v="2022-10-17T00:00:00"/>
    <x v="0"/>
    <s v="India"/>
    <s v="Telangana"/>
    <s v="Kochi"/>
    <x v="2"/>
    <s v="Printer"/>
    <s v="Dining Table"/>
    <s v="Consumer"/>
    <n v="61118"/>
    <n v="0.03"/>
    <n v="18260"/>
    <n v="1"/>
    <s v="Debit Card"/>
    <s v="Low"/>
    <x v="1"/>
    <x v="9"/>
    <n v="4"/>
    <n v="8"/>
    <n v="0.29876632088746358"/>
  </r>
  <r>
    <n v="10648"/>
    <d v="2022-10-10T00:00:00"/>
    <d v="2022-10-16T00:00:00"/>
    <d v="2022-10-21T00:00:00"/>
    <x v="3"/>
    <s v="India"/>
    <s v="Tamil Nadu"/>
    <s v="Kochi"/>
    <x v="0"/>
    <s v="Notebook"/>
    <s v="Gaming Laptop"/>
    <s v="Corporate"/>
    <n v="4045"/>
    <n v="0.3"/>
    <n v="13915"/>
    <n v="21"/>
    <s v="Debit Card"/>
    <s v="Critical"/>
    <x v="1"/>
    <x v="9"/>
    <n v="6"/>
    <n v="11"/>
    <n v="3.4400494437577254"/>
  </r>
  <r>
    <n v="10649"/>
    <d v="2022-10-11T00:00:00"/>
    <d v="2022-10-15T00:00:00"/>
    <d v="2022-10-20T00:00:00"/>
    <x v="1"/>
    <s v="India"/>
    <s v="Tamil Nadu"/>
    <s v="Mumbai"/>
    <x v="0"/>
    <s v="Notebook"/>
    <s v="Laser Printer"/>
    <s v="Consumer"/>
    <n v="41991"/>
    <n v="0.28999999999999998"/>
    <n v="9971"/>
    <n v="4"/>
    <s v="Cash"/>
    <s v="Low"/>
    <x v="1"/>
    <x v="9"/>
    <n v="4"/>
    <n v="9"/>
    <n v="0.23745564525731705"/>
  </r>
  <r>
    <n v="10650"/>
    <d v="2022-10-12T00:00:00"/>
    <d v="2022-10-19T00:00:00"/>
    <d v="2022-10-22T00:00:00"/>
    <x v="2"/>
    <s v="India"/>
    <s v="Tamil Nadu"/>
    <s v="Chennai"/>
    <x v="2"/>
    <s v="Mobile"/>
    <s v="Laser Printer"/>
    <s v="Corporate"/>
    <n v="25039"/>
    <n v="0.09"/>
    <n v="13052"/>
    <n v="5"/>
    <s v="Credit Card"/>
    <s v="High"/>
    <x v="1"/>
    <x v="9"/>
    <n v="7"/>
    <n v="10"/>
    <n v="0.52126682375494227"/>
  </r>
  <r>
    <n v="10651"/>
    <d v="2022-10-13T00:00:00"/>
    <d v="2022-10-18T00:00:00"/>
    <d v="2022-10-19T00:00:00"/>
    <x v="1"/>
    <s v="India"/>
    <s v="Delhi"/>
    <s v="Hyderabad"/>
    <x v="1"/>
    <s v="Table"/>
    <s v="Office Chair"/>
    <s v="Corporate"/>
    <n v="50362"/>
    <n v="0.08"/>
    <n v="3553"/>
    <n v="8"/>
    <s v="Credit Card"/>
    <s v="Critical"/>
    <x v="1"/>
    <x v="9"/>
    <n v="5"/>
    <n v="6"/>
    <n v="7.0549223620984078E-2"/>
  </r>
  <r>
    <n v="10652"/>
    <d v="2022-10-14T00:00:00"/>
    <d v="2022-10-20T00:00:00"/>
    <d v="2022-10-21T00:00:00"/>
    <x v="3"/>
    <s v="India"/>
    <s v="Tamil Nadu"/>
    <s v="Delhi"/>
    <x v="0"/>
    <s v="Mobile"/>
    <s v="Laser Printer"/>
    <s v="Consumer"/>
    <n v="59453"/>
    <n v="0.2"/>
    <n v="13288"/>
    <n v="23"/>
    <s v="UPI"/>
    <s v="High"/>
    <x v="1"/>
    <x v="9"/>
    <n v="6"/>
    <n v="7"/>
    <n v="0.22350428069231157"/>
  </r>
  <r>
    <n v="10653"/>
    <d v="2022-10-15T00:00:00"/>
    <d v="2022-10-17T00:00:00"/>
    <d v="2022-10-18T00:00:00"/>
    <x v="3"/>
    <s v="India"/>
    <s v="Telangana"/>
    <s v="Kochi"/>
    <x v="0"/>
    <s v="Printer"/>
    <s v="Smartphone"/>
    <s v="Consumer"/>
    <n v="57583"/>
    <n v="0.13"/>
    <n v="5375"/>
    <n v="22"/>
    <s v="UPI"/>
    <s v="Low"/>
    <x v="1"/>
    <x v="9"/>
    <n v="2"/>
    <n v="3"/>
    <n v="9.3343521525450224E-2"/>
  </r>
  <r>
    <n v="10654"/>
    <d v="2022-10-16T00:00:00"/>
    <d v="2022-10-21T00:00:00"/>
    <d v="2022-10-22T00:00:00"/>
    <x v="0"/>
    <s v="India"/>
    <s v="Maharashtra"/>
    <s v="Bangalore"/>
    <x v="0"/>
    <s v="Laptop"/>
    <s v="Spiral Notebook"/>
    <s v="Corporate"/>
    <n v="48130"/>
    <n v="0.26"/>
    <n v="9164"/>
    <n v="8"/>
    <s v="UPI"/>
    <s v="Critical"/>
    <x v="1"/>
    <x v="9"/>
    <n v="5"/>
    <n v="6"/>
    <n v="0.19040099729898191"/>
  </r>
  <r>
    <n v="10655"/>
    <d v="2022-10-17T00:00:00"/>
    <d v="2022-10-22T00:00:00"/>
    <d v="2022-10-27T00:00:00"/>
    <x v="1"/>
    <s v="India"/>
    <s v="Delhi"/>
    <s v="Chennai"/>
    <x v="0"/>
    <s v="Printer"/>
    <s v="Gel Pen"/>
    <s v="Home Office"/>
    <n v="44900"/>
    <n v="0.01"/>
    <n v="7949"/>
    <n v="21"/>
    <s v="Cash"/>
    <s v="Medium"/>
    <x v="1"/>
    <x v="9"/>
    <n v="5"/>
    <n v="10"/>
    <n v="0.17703786191536749"/>
  </r>
  <r>
    <n v="10656"/>
    <d v="2022-10-18T00:00:00"/>
    <d v="2022-10-25T00:00:00"/>
    <d v="2022-10-28T00:00:00"/>
    <x v="0"/>
    <s v="India"/>
    <s v="Kerala"/>
    <s v="Kochi"/>
    <x v="0"/>
    <s v="Table"/>
    <s v="Gaming Laptop"/>
    <s v="Corporate"/>
    <n v="59243"/>
    <n v="0.03"/>
    <n v="-619"/>
    <n v="10"/>
    <s v="Cash"/>
    <s v="Critical"/>
    <x v="1"/>
    <x v="9"/>
    <n v="7"/>
    <n v="10"/>
    <n v="-1.0448491804938981E-2"/>
  </r>
  <r>
    <n v="10657"/>
    <d v="2022-10-19T00:00:00"/>
    <d v="2022-10-24T00:00:00"/>
    <d v="2022-10-28T00:00:00"/>
    <x v="3"/>
    <s v="India"/>
    <s v="Delhi"/>
    <s v="Delhi"/>
    <x v="1"/>
    <s v="Laptop"/>
    <s v="Laser Printer"/>
    <s v="Home Office"/>
    <n v="53453"/>
    <n v="0.03"/>
    <n v="10630"/>
    <n v="5"/>
    <s v="Cash"/>
    <s v="Medium"/>
    <x v="1"/>
    <x v="9"/>
    <n v="5"/>
    <n v="9"/>
    <n v="0.19886629375339082"/>
  </r>
  <r>
    <n v="10658"/>
    <d v="2022-10-20T00:00:00"/>
    <d v="2022-10-25T00:00:00"/>
    <d v="2022-10-29T00:00:00"/>
    <x v="1"/>
    <s v="India"/>
    <s v="Karnataka"/>
    <s v="Bangalore"/>
    <x v="2"/>
    <s v="Chair"/>
    <s v="Dining Table"/>
    <s v="Consumer"/>
    <n v="68651"/>
    <n v="0.11"/>
    <n v="1921"/>
    <n v="22"/>
    <s v="UPI"/>
    <s v="Medium"/>
    <x v="1"/>
    <x v="9"/>
    <n v="5"/>
    <n v="9"/>
    <n v="2.7982112423708322E-2"/>
  </r>
  <r>
    <n v="10659"/>
    <d v="2022-10-21T00:00:00"/>
    <d v="2022-10-24T00:00:00"/>
    <d v="2022-10-25T00:00:00"/>
    <x v="1"/>
    <s v="India"/>
    <s v="Karnataka"/>
    <s v="Bangalore"/>
    <x v="1"/>
    <s v="Mobile"/>
    <s v="Smartphone"/>
    <s v="Consumer"/>
    <n v="8749"/>
    <n v="0.23"/>
    <n v="16031"/>
    <n v="9"/>
    <s v="UPI"/>
    <s v="Medium"/>
    <x v="1"/>
    <x v="9"/>
    <n v="3"/>
    <n v="4"/>
    <n v="1.8323236941364727"/>
  </r>
  <r>
    <n v="10660"/>
    <d v="2022-10-22T00:00:00"/>
    <d v="2022-10-28T00:00:00"/>
    <d v="2022-10-29T00:00:00"/>
    <x v="1"/>
    <s v="India"/>
    <s v="Kerala"/>
    <s v="Delhi"/>
    <x v="1"/>
    <s v="Table"/>
    <s v="Smartphone"/>
    <s v="Consumer"/>
    <n v="5823"/>
    <n v="0.39"/>
    <n v="19636"/>
    <n v="11"/>
    <s v="Cash"/>
    <s v="Medium"/>
    <x v="1"/>
    <x v="9"/>
    <n v="6"/>
    <n v="7"/>
    <n v="3.3721449424695176"/>
  </r>
  <r>
    <n v="10661"/>
    <d v="2022-10-23T00:00:00"/>
    <d v="2022-10-30T00:00:00"/>
    <d v="2022-11-02T00:00:00"/>
    <x v="0"/>
    <s v="India"/>
    <s v="Kerala"/>
    <s v="Chennai"/>
    <x v="1"/>
    <s v="Printer"/>
    <s v="Gaming Laptop"/>
    <s v="Corporate"/>
    <n v="68692"/>
    <n v="0.05"/>
    <n v="11706"/>
    <n v="11"/>
    <s v="UPI"/>
    <s v="Critical"/>
    <x v="1"/>
    <x v="9"/>
    <n v="7"/>
    <n v="10"/>
    <n v="0.17041285739241832"/>
  </r>
  <r>
    <n v="10662"/>
    <d v="2022-10-24T00:00:00"/>
    <d v="2022-10-26T00:00:00"/>
    <d v="2022-10-30T00:00:00"/>
    <x v="1"/>
    <s v="India"/>
    <s v="Karnataka"/>
    <s v="Kochi"/>
    <x v="1"/>
    <s v="Table"/>
    <s v="Office Chair"/>
    <s v="Consumer"/>
    <n v="71876"/>
    <n v="0.31"/>
    <n v="12573"/>
    <n v="4"/>
    <s v="UPI"/>
    <s v="High"/>
    <x v="1"/>
    <x v="9"/>
    <n v="2"/>
    <n v="6"/>
    <n v="0.17492626189548668"/>
  </r>
  <r>
    <n v="10663"/>
    <d v="2022-10-25T00:00:00"/>
    <d v="2022-10-30T00:00:00"/>
    <d v="2022-11-03T00:00:00"/>
    <x v="1"/>
    <s v="India"/>
    <s v="Tamil Nadu"/>
    <s v="Delhi"/>
    <x v="1"/>
    <s v="Table"/>
    <s v="Gel Pen"/>
    <s v="Consumer"/>
    <n v="38971"/>
    <n v="0.05"/>
    <n v="-1110"/>
    <n v="18"/>
    <s v="Debit Card"/>
    <s v="Medium"/>
    <x v="1"/>
    <x v="9"/>
    <n v="5"/>
    <n v="9"/>
    <n v="-2.8482717918452184E-2"/>
  </r>
  <r>
    <n v="10664"/>
    <d v="2022-10-26T00:00:00"/>
    <d v="2022-10-31T00:00:00"/>
    <d v="2022-11-03T00:00:00"/>
    <x v="3"/>
    <s v="India"/>
    <s v="Delhi"/>
    <s v="Bangalore"/>
    <x v="1"/>
    <s v="Table"/>
    <s v="Dining Table"/>
    <s v="Home Office"/>
    <n v="56858"/>
    <n v="0.32"/>
    <n v="-1446"/>
    <n v="15"/>
    <s v="UPI"/>
    <s v="Critical"/>
    <x v="1"/>
    <x v="9"/>
    <n v="5"/>
    <n v="8"/>
    <n v="-2.5431777410390797E-2"/>
  </r>
  <r>
    <n v="10665"/>
    <d v="2022-10-27T00:00:00"/>
    <d v="2022-10-29T00:00:00"/>
    <d v="2022-10-30T00:00:00"/>
    <x v="2"/>
    <s v="India"/>
    <s v="Delhi"/>
    <s v="Hyderabad"/>
    <x v="0"/>
    <s v="Chair"/>
    <s v="Office Chair"/>
    <s v="Corporate"/>
    <n v="52441"/>
    <n v="7.0000000000000007E-2"/>
    <n v="14375"/>
    <n v="23"/>
    <s v="Debit Card"/>
    <s v="Critical"/>
    <x v="1"/>
    <x v="9"/>
    <n v="2"/>
    <n v="3"/>
    <n v="0.27411757975629758"/>
  </r>
  <r>
    <n v="10666"/>
    <d v="2022-10-28T00:00:00"/>
    <d v="2022-11-01T00:00:00"/>
    <d v="2022-11-02T00:00:00"/>
    <x v="0"/>
    <s v="India"/>
    <s v="Maharashtra"/>
    <s v="Mumbai"/>
    <x v="0"/>
    <s v="Printer"/>
    <s v="Laser Printer"/>
    <s v="Consumer"/>
    <n v="42403"/>
    <n v="0.04"/>
    <n v="6974"/>
    <n v="16"/>
    <s v="Net Banking"/>
    <s v="High"/>
    <x v="1"/>
    <x v="9"/>
    <n v="4"/>
    <n v="5"/>
    <n v="0.16446949508289507"/>
  </r>
  <r>
    <n v="10667"/>
    <d v="2022-10-29T00:00:00"/>
    <d v="2022-11-01T00:00:00"/>
    <d v="2022-11-04T00:00:00"/>
    <x v="0"/>
    <s v="India"/>
    <s v="Tamil Nadu"/>
    <s v="Delhi"/>
    <x v="0"/>
    <s v="Printer"/>
    <s v="Dining Table"/>
    <s v="Consumer"/>
    <n v="43218"/>
    <n v="0.03"/>
    <n v="-1986"/>
    <n v="1"/>
    <s v="Cash"/>
    <s v="Low"/>
    <x v="1"/>
    <x v="9"/>
    <n v="3"/>
    <n v="6"/>
    <n v="-4.5953075107594055E-2"/>
  </r>
  <r>
    <n v="10668"/>
    <d v="2022-10-30T00:00:00"/>
    <d v="2022-11-02T00:00:00"/>
    <d v="2022-11-03T00:00:00"/>
    <x v="1"/>
    <s v="India"/>
    <s v="Karnataka"/>
    <s v="Delhi"/>
    <x v="1"/>
    <s v="Pen"/>
    <s v="Gel Pen"/>
    <s v="Corporate"/>
    <n v="37168"/>
    <n v="0.23"/>
    <n v="5917"/>
    <n v="17"/>
    <s v="Credit Card"/>
    <s v="High"/>
    <x v="1"/>
    <x v="9"/>
    <n v="3"/>
    <n v="4"/>
    <n v="0.15919608265174343"/>
  </r>
  <r>
    <n v="10669"/>
    <d v="2022-10-31T00:00:00"/>
    <d v="2022-11-06T00:00:00"/>
    <d v="2022-11-10T00:00:00"/>
    <x v="1"/>
    <s v="India"/>
    <s v="Tamil Nadu"/>
    <s v="Chennai"/>
    <x v="2"/>
    <s v="Notebook"/>
    <s v="Laser Printer"/>
    <s v="Corporate"/>
    <n v="20147"/>
    <n v="0.16"/>
    <n v="14256"/>
    <n v="12"/>
    <s v="Credit Card"/>
    <s v="Low"/>
    <x v="1"/>
    <x v="9"/>
    <n v="6"/>
    <n v="10"/>
    <n v="0.70759914627487963"/>
  </r>
  <r>
    <n v="10670"/>
    <d v="2022-11-01T00:00:00"/>
    <d v="2022-11-04T00:00:00"/>
    <d v="2022-11-06T00:00:00"/>
    <x v="0"/>
    <s v="India"/>
    <s v="Telangana"/>
    <s v="Mumbai"/>
    <x v="2"/>
    <s v="Mobile"/>
    <s v="Smartphone"/>
    <s v="Consumer"/>
    <n v="55662"/>
    <n v="0.09"/>
    <n v="-929"/>
    <n v="15"/>
    <s v="Cash"/>
    <s v="Critical"/>
    <x v="1"/>
    <x v="10"/>
    <n v="3"/>
    <n v="5"/>
    <n v="-1.6690021918005102E-2"/>
  </r>
  <r>
    <n v="10671"/>
    <d v="2022-11-02T00:00:00"/>
    <d v="2022-11-08T00:00:00"/>
    <d v="2022-11-12T00:00:00"/>
    <x v="0"/>
    <s v="India"/>
    <s v="Tamil Nadu"/>
    <s v="Delhi"/>
    <x v="1"/>
    <s v="Mobile"/>
    <s v="Laser Printer"/>
    <s v="Corporate"/>
    <n v="24061"/>
    <n v="0.32"/>
    <n v="3844"/>
    <n v="9"/>
    <s v="Cash"/>
    <s v="High"/>
    <x v="1"/>
    <x v="10"/>
    <n v="6"/>
    <n v="10"/>
    <n v="0.15976060845351397"/>
  </r>
  <r>
    <n v="10672"/>
    <d v="2022-11-03T00:00:00"/>
    <d v="2022-11-10T00:00:00"/>
    <d v="2022-11-11T00:00:00"/>
    <x v="3"/>
    <s v="India"/>
    <s v="Maharashtra"/>
    <s v="Delhi"/>
    <x v="0"/>
    <s v="Table"/>
    <s v="Office Chair"/>
    <s v="Corporate"/>
    <n v="19639"/>
    <n v="0.16"/>
    <n v="17309"/>
    <n v="5"/>
    <s v="Credit Card"/>
    <s v="Critical"/>
    <x v="1"/>
    <x v="10"/>
    <n v="7"/>
    <n v="8"/>
    <n v="0.88135852130963899"/>
  </r>
  <r>
    <n v="10673"/>
    <d v="2022-11-04T00:00:00"/>
    <d v="2022-11-07T00:00:00"/>
    <d v="2022-11-10T00:00:00"/>
    <x v="2"/>
    <s v="India"/>
    <s v="Kerala"/>
    <s v="Kochi"/>
    <x v="0"/>
    <s v="Chair"/>
    <s v="Gel Pen"/>
    <s v="Corporate"/>
    <n v="25766"/>
    <n v="0.14000000000000001"/>
    <n v="6751"/>
    <n v="12"/>
    <s v="Net Banking"/>
    <s v="High"/>
    <x v="1"/>
    <x v="10"/>
    <n v="3"/>
    <n v="6"/>
    <n v="0.26201195373748348"/>
  </r>
  <r>
    <n v="10674"/>
    <d v="2022-11-05T00:00:00"/>
    <d v="2022-11-09T00:00:00"/>
    <d v="2022-11-12T00:00:00"/>
    <x v="1"/>
    <s v="India"/>
    <s v="Maharashtra"/>
    <s v="Kochi"/>
    <x v="2"/>
    <s v="Notebook"/>
    <s v="Gaming Laptop"/>
    <s v="Consumer"/>
    <n v="57694"/>
    <n v="0.23"/>
    <n v="12247"/>
    <n v="7"/>
    <s v="Cash"/>
    <s v="Critical"/>
    <x v="1"/>
    <x v="10"/>
    <n v="4"/>
    <n v="7"/>
    <n v="0.21227510659687315"/>
  </r>
  <r>
    <n v="10675"/>
    <d v="2022-11-06T00:00:00"/>
    <d v="2022-11-11T00:00:00"/>
    <d v="2022-11-15T00:00:00"/>
    <x v="2"/>
    <s v="India"/>
    <s v="Kerala"/>
    <s v="Bangalore"/>
    <x v="0"/>
    <s v="Notebook"/>
    <s v="Gaming Laptop"/>
    <s v="Corporate"/>
    <n v="26999"/>
    <n v="0.35"/>
    <n v="18602"/>
    <n v="3"/>
    <s v="Credit Card"/>
    <s v="Low"/>
    <x v="1"/>
    <x v="10"/>
    <n v="5"/>
    <n v="9"/>
    <n v="0.68898848105485389"/>
  </r>
  <r>
    <n v="10676"/>
    <d v="2022-11-07T00:00:00"/>
    <d v="2022-11-12T00:00:00"/>
    <d v="2022-11-16T00:00:00"/>
    <x v="2"/>
    <s v="India"/>
    <s v="Kerala"/>
    <s v="Mumbai"/>
    <x v="1"/>
    <s v="Mobile"/>
    <s v="Gaming Laptop"/>
    <s v="Corporate"/>
    <n v="43860"/>
    <n v="0.08"/>
    <n v="-396"/>
    <n v="8"/>
    <s v="Net Banking"/>
    <s v="High"/>
    <x v="1"/>
    <x v="10"/>
    <n v="5"/>
    <n v="9"/>
    <n v="-9.0287277701778385E-3"/>
  </r>
  <r>
    <n v="10677"/>
    <d v="2022-11-08T00:00:00"/>
    <d v="2022-11-15T00:00:00"/>
    <d v="2022-11-20T00:00:00"/>
    <x v="2"/>
    <s v="India"/>
    <s v="Karnataka"/>
    <s v="Chennai"/>
    <x v="1"/>
    <s v="Laptop"/>
    <s v="Spiral Notebook"/>
    <s v="Home Office"/>
    <n v="15651"/>
    <n v="0.28000000000000003"/>
    <n v="16866"/>
    <n v="3"/>
    <s v="Debit Card"/>
    <s v="Critical"/>
    <x v="1"/>
    <x v="10"/>
    <n v="7"/>
    <n v="12"/>
    <n v="1.0776308223116733"/>
  </r>
  <r>
    <n v="10678"/>
    <d v="2022-11-09T00:00:00"/>
    <d v="2022-11-16T00:00:00"/>
    <d v="2022-11-17T00:00:00"/>
    <x v="1"/>
    <s v="India"/>
    <s v="Telangana"/>
    <s v="Mumbai"/>
    <x v="2"/>
    <s v="Table"/>
    <s v="Office Chair"/>
    <s v="Corporate"/>
    <n v="14662"/>
    <n v="0.2"/>
    <n v="15871"/>
    <n v="18"/>
    <s v="Net Banking"/>
    <s v="Low"/>
    <x v="1"/>
    <x v="10"/>
    <n v="7"/>
    <n v="8"/>
    <n v="1.0824580548356295"/>
  </r>
  <r>
    <n v="10679"/>
    <d v="2022-11-10T00:00:00"/>
    <d v="2022-11-15T00:00:00"/>
    <d v="2022-11-18T00:00:00"/>
    <x v="2"/>
    <s v="India"/>
    <s v="Kerala"/>
    <s v="Kochi"/>
    <x v="1"/>
    <s v="Printer"/>
    <s v="Gaming Laptop"/>
    <s v="Corporate"/>
    <n v="24667"/>
    <n v="0.18"/>
    <n v="7992"/>
    <n v="4"/>
    <s v="Net Banking"/>
    <s v="High"/>
    <x v="1"/>
    <x v="10"/>
    <n v="5"/>
    <n v="8"/>
    <n v="0.3239956216807881"/>
  </r>
  <r>
    <n v="10680"/>
    <d v="2022-11-11T00:00:00"/>
    <d v="2022-11-16T00:00:00"/>
    <d v="2022-11-19T00:00:00"/>
    <x v="2"/>
    <s v="India"/>
    <s v="Delhi"/>
    <s v="Delhi"/>
    <x v="1"/>
    <s v="Chair"/>
    <s v="Gel Pen"/>
    <s v="Consumer"/>
    <n v="36215"/>
    <n v="0.35"/>
    <n v="7908"/>
    <n v="19"/>
    <s v="Cash"/>
    <s v="High"/>
    <x v="1"/>
    <x v="10"/>
    <n v="5"/>
    <n v="8"/>
    <n v="0.21836255695153942"/>
  </r>
  <r>
    <n v="10681"/>
    <d v="2022-11-12T00:00:00"/>
    <d v="2022-11-15T00:00:00"/>
    <d v="2022-11-16T00:00:00"/>
    <x v="3"/>
    <s v="India"/>
    <s v="Telangana"/>
    <s v="Mumbai"/>
    <x v="0"/>
    <s v="Pen"/>
    <s v="Smartphone"/>
    <s v="Consumer"/>
    <n v="6249"/>
    <n v="0.21"/>
    <n v="5749"/>
    <n v="8"/>
    <s v="Debit Card"/>
    <s v="Low"/>
    <x v="1"/>
    <x v="10"/>
    <n v="3"/>
    <n v="4"/>
    <n v="0.91998719795167228"/>
  </r>
  <r>
    <n v="10682"/>
    <d v="2022-11-13T00:00:00"/>
    <d v="2022-11-18T00:00:00"/>
    <d v="2022-11-21T00:00:00"/>
    <x v="3"/>
    <s v="India"/>
    <s v="Tamil Nadu"/>
    <s v="Bangalore"/>
    <x v="0"/>
    <s v="Printer"/>
    <s v="Gel Pen"/>
    <s v="Consumer"/>
    <n v="35167"/>
    <n v="0.1"/>
    <n v="1403"/>
    <n v="16"/>
    <s v="UPI"/>
    <s v="High"/>
    <x v="1"/>
    <x v="10"/>
    <n v="5"/>
    <n v="8"/>
    <n v="3.9895356442119029E-2"/>
  </r>
  <r>
    <n v="10683"/>
    <d v="2022-11-14T00:00:00"/>
    <d v="2022-11-21T00:00:00"/>
    <d v="2022-11-25T00:00:00"/>
    <x v="2"/>
    <s v="India"/>
    <s v="Telangana"/>
    <s v="Chennai"/>
    <x v="0"/>
    <s v="Mobile"/>
    <s v="Spiral Notebook"/>
    <s v="Corporate"/>
    <n v="71967"/>
    <n v="0.01"/>
    <n v="9820"/>
    <n v="18"/>
    <s v="Credit Card"/>
    <s v="Critical"/>
    <x v="1"/>
    <x v="10"/>
    <n v="7"/>
    <n v="11"/>
    <n v="0.13645142912723887"/>
  </r>
  <r>
    <n v="10684"/>
    <d v="2022-11-15T00:00:00"/>
    <d v="2022-11-19T00:00:00"/>
    <d v="2022-11-24T00:00:00"/>
    <x v="3"/>
    <s v="India"/>
    <s v="Delhi"/>
    <s v="Hyderabad"/>
    <x v="0"/>
    <s v="Notebook"/>
    <s v="Gaming Laptop"/>
    <s v="Home Office"/>
    <n v="10939"/>
    <n v="0.27"/>
    <n v="6352"/>
    <n v="3"/>
    <s v="UPI"/>
    <s v="Medium"/>
    <x v="1"/>
    <x v="10"/>
    <n v="4"/>
    <n v="9"/>
    <n v="0.5806746503336685"/>
  </r>
  <r>
    <n v="10685"/>
    <d v="2022-11-16T00:00:00"/>
    <d v="2022-11-23T00:00:00"/>
    <d v="2022-11-28T00:00:00"/>
    <x v="0"/>
    <s v="India"/>
    <s v="Kerala"/>
    <s v="Delhi"/>
    <x v="2"/>
    <s v="Printer"/>
    <s v="Spiral Notebook"/>
    <s v="Consumer"/>
    <n v="49616"/>
    <n v="0.11"/>
    <n v="6387"/>
    <n v="14"/>
    <s v="Debit Card"/>
    <s v="High"/>
    <x v="1"/>
    <x v="10"/>
    <n v="7"/>
    <n v="12"/>
    <n v="0.12872863592389552"/>
  </r>
  <r>
    <n v="10686"/>
    <d v="2022-11-17T00:00:00"/>
    <d v="2022-11-20T00:00:00"/>
    <d v="2022-11-24T00:00:00"/>
    <x v="1"/>
    <s v="India"/>
    <s v="Maharashtra"/>
    <s v="Kochi"/>
    <x v="2"/>
    <s v="Laptop"/>
    <s v="Office Chair"/>
    <s v="Consumer"/>
    <n v="38523"/>
    <n v="0.23"/>
    <n v="8070"/>
    <n v="3"/>
    <s v="Debit Card"/>
    <s v="Critical"/>
    <x v="1"/>
    <x v="10"/>
    <n v="3"/>
    <n v="7"/>
    <n v="0.2094852425823534"/>
  </r>
  <r>
    <n v="10687"/>
    <d v="2022-11-18T00:00:00"/>
    <d v="2022-11-22T00:00:00"/>
    <d v="2022-11-26T00:00:00"/>
    <x v="2"/>
    <s v="India"/>
    <s v="Maharashtra"/>
    <s v="Mumbai"/>
    <x v="0"/>
    <s v="Mobile"/>
    <s v="Gel Pen"/>
    <s v="Home Office"/>
    <n v="7458"/>
    <n v="0.15"/>
    <n v="14314"/>
    <n v="11"/>
    <s v="Net Banking"/>
    <s v="Low"/>
    <x v="1"/>
    <x v="10"/>
    <n v="4"/>
    <n v="8"/>
    <n v="1.9192813086618397"/>
  </r>
  <r>
    <n v="10688"/>
    <d v="2022-11-19T00:00:00"/>
    <d v="2022-11-21T00:00:00"/>
    <d v="2022-11-22T00:00:00"/>
    <x v="2"/>
    <s v="India"/>
    <s v="Maharashtra"/>
    <s v="Chennai"/>
    <x v="2"/>
    <s v="Mobile"/>
    <s v="Gaming Laptop"/>
    <s v="Home Office"/>
    <n v="73087"/>
    <n v="0.1"/>
    <n v="3326"/>
    <n v="17"/>
    <s v="Debit Card"/>
    <s v="High"/>
    <x v="1"/>
    <x v="10"/>
    <n v="2"/>
    <n v="3"/>
    <n v="4.550740897834088E-2"/>
  </r>
  <r>
    <n v="10689"/>
    <d v="2022-11-20T00:00:00"/>
    <d v="2022-11-23T00:00:00"/>
    <d v="2022-11-28T00:00:00"/>
    <x v="3"/>
    <s v="India"/>
    <s v="Tamil Nadu"/>
    <s v="Mumbai"/>
    <x v="1"/>
    <s v="Notebook"/>
    <s v="Gaming Laptop"/>
    <s v="Corporate"/>
    <n v="20849"/>
    <n v="0.05"/>
    <n v="5170"/>
    <n v="19"/>
    <s v="Cash"/>
    <s v="Medium"/>
    <x v="1"/>
    <x v="10"/>
    <n v="3"/>
    <n v="8"/>
    <n v="0.24797352391001967"/>
  </r>
  <r>
    <n v="10690"/>
    <d v="2022-11-21T00:00:00"/>
    <d v="2022-11-28T00:00:00"/>
    <d v="2022-11-29T00:00:00"/>
    <x v="1"/>
    <s v="India"/>
    <s v="Kerala"/>
    <s v="Bangalore"/>
    <x v="2"/>
    <s v="Laptop"/>
    <s v="Gel Pen"/>
    <s v="Home Office"/>
    <n v="46161"/>
    <n v="0.16"/>
    <n v="2823"/>
    <n v="1"/>
    <s v="Credit Card"/>
    <s v="Low"/>
    <x v="1"/>
    <x v="10"/>
    <n v="7"/>
    <n v="8"/>
    <n v="6.1155520894261392E-2"/>
  </r>
  <r>
    <n v="10691"/>
    <d v="2022-11-22T00:00:00"/>
    <d v="2022-11-25T00:00:00"/>
    <d v="2022-11-26T00:00:00"/>
    <x v="2"/>
    <s v="India"/>
    <s v="Karnataka"/>
    <s v="Hyderabad"/>
    <x v="1"/>
    <s v="Pen"/>
    <s v="Office Chair"/>
    <s v="Consumer"/>
    <n v="69639"/>
    <n v="0.26"/>
    <n v="6352"/>
    <n v="11"/>
    <s v="UPI"/>
    <s v="Medium"/>
    <x v="1"/>
    <x v="10"/>
    <n v="3"/>
    <n v="4"/>
    <n v="9.1213256939358694E-2"/>
  </r>
  <r>
    <n v="10692"/>
    <d v="2022-11-23T00:00:00"/>
    <d v="2022-11-29T00:00:00"/>
    <d v="2022-12-02T00:00:00"/>
    <x v="3"/>
    <s v="India"/>
    <s v="Karnataka"/>
    <s v="Hyderabad"/>
    <x v="1"/>
    <s v="Printer"/>
    <s v="Smartphone"/>
    <s v="Corporate"/>
    <n v="40112"/>
    <n v="0.4"/>
    <n v="4851"/>
    <n v="12"/>
    <s v="Cash"/>
    <s v="Critical"/>
    <x v="1"/>
    <x v="10"/>
    <n v="6"/>
    <n v="9"/>
    <n v="0.12093637814120463"/>
  </r>
  <r>
    <n v="10693"/>
    <d v="2022-11-24T00:00:00"/>
    <d v="2022-11-27T00:00:00"/>
    <d v="2022-11-29T00:00:00"/>
    <x v="1"/>
    <s v="India"/>
    <s v="Maharashtra"/>
    <s v="Kochi"/>
    <x v="0"/>
    <s v="Pen"/>
    <s v="Smartphone"/>
    <s v="Home Office"/>
    <n v="8534"/>
    <n v="0.2"/>
    <n v="5802"/>
    <n v="20"/>
    <s v="Cash"/>
    <s v="Medium"/>
    <x v="1"/>
    <x v="10"/>
    <n v="3"/>
    <n v="5"/>
    <n v="0.67986876025310528"/>
  </r>
  <r>
    <n v="10694"/>
    <d v="2022-11-25T00:00:00"/>
    <d v="2022-11-29T00:00:00"/>
    <d v="2022-12-01T00:00:00"/>
    <x v="0"/>
    <s v="India"/>
    <s v="Delhi"/>
    <s v="Mumbai"/>
    <x v="2"/>
    <s v="Pen"/>
    <s v="Smartphone"/>
    <s v="Corporate"/>
    <n v="57109"/>
    <n v="0.36"/>
    <n v="6044"/>
    <n v="13"/>
    <s v="UPI"/>
    <s v="High"/>
    <x v="1"/>
    <x v="10"/>
    <n v="4"/>
    <n v="6"/>
    <n v="0.10583270587823285"/>
  </r>
  <r>
    <n v="10695"/>
    <d v="2022-11-26T00:00:00"/>
    <d v="2022-12-01T00:00:00"/>
    <d v="2022-12-06T00:00:00"/>
    <x v="3"/>
    <s v="India"/>
    <s v="Maharashtra"/>
    <s v="Hyderabad"/>
    <x v="2"/>
    <s v="Printer"/>
    <s v="Laser Printer"/>
    <s v="Consumer"/>
    <n v="61887"/>
    <n v="0.15"/>
    <n v="19471"/>
    <n v="22"/>
    <s v="Debit Card"/>
    <s v="High"/>
    <x v="1"/>
    <x v="10"/>
    <n v="5"/>
    <n v="10"/>
    <n v="0.31462181071953721"/>
  </r>
  <r>
    <n v="10696"/>
    <d v="2022-11-27T00:00:00"/>
    <d v="2022-12-01T00:00:00"/>
    <d v="2022-12-03T00:00:00"/>
    <x v="3"/>
    <s v="India"/>
    <s v="Delhi"/>
    <s v="Bangalore"/>
    <x v="0"/>
    <s v="Pen"/>
    <s v="Gel Pen"/>
    <s v="Consumer"/>
    <n v="46159"/>
    <n v="0.3"/>
    <n v="-213"/>
    <n v="7"/>
    <s v="UPI"/>
    <s v="Low"/>
    <x v="1"/>
    <x v="10"/>
    <n v="4"/>
    <n v="6"/>
    <n v="-4.6144847158733938E-3"/>
  </r>
  <r>
    <n v="10697"/>
    <d v="2022-11-28T00:00:00"/>
    <d v="2022-11-30T00:00:00"/>
    <d v="2022-12-04T00:00:00"/>
    <x v="3"/>
    <s v="India"/>
    <s v="Tamil Nadu"/>
    <s v="Chennai"/>
    <x v="2"/>
    <s v="Laptop"/>
    <s v="Spiral Notebook"/>
    <s v="Corporate"/>
    <n v="40725"/>
    <n v="0.13"/>
    <n v="10524"/>
    <n v="4"/>
    <s v="UPI"/>
    <s v="Critical"/>
    <x v="1"/>
    <x v="10"/>
    <n v="2"/>
    <n v="6"/>
    <n v="0.25841620626151013"/>
  </r>
  <r>
    <n v="10698"/>
    <d v="2022-11-29T00:00:00"/>
    <d v="2022-12-01T00:00:00"/>
    <d v="2022-12-02T00:00:00"/>
    <x v="2"/>
    <s v="India"/>
    <s v="Karnataka"/>
    <s v="Kochi"/>
    <x v="1"/>
    <s v="Printer"/>
    <s v="Gel Pen"/>
    <s v="Home Office"/>
    <n v="62090"/>
    <n v="0.16"/>
    <n v="-1156"/>
    <n v="23"/>
    <s v="Debit Card"/>
    <s v="Critical"/>
    <x v="1"/>
    <x v="10"/>
    <n v="2"/>
    <n v="3"/>
    <n v="-1.8618134965372846E-2"/>
  </r>
  <r>
    <n v="10699"/>
    <d v="2022-11-30T00:00:00"/>
    <d v="2022-12-05T00:00:00"/>
    <d v="2022-12-06T00:00:00"/>
    <x v="0"/>
    <s v="India"/>
    <s v="Telangana"/>
    <s v="Chennai"/>
    <x v="1"/>
    <s v="Mobile"/>
    <s v="Smartphone"/>
    <s v="Home Office"/>
    <n v="72224"/>
    <n v="0.25"/>
    <n v="18931"/>
    <n v="4"/>
    <s v="UPI"/>
    <s v="High"/>
    <x v="1"/>
    <x v="10"/>
    <n v="5"/>
    <n v="6"/>
    <n v="0.26211508639787329"/>
  </r>
  <r>
    <n v="10700"/>
    <d v="2022-12-01T00:00:00"/>
    <d v="2022-12-07T00:00:00"/>
    <d v="2022-12-10T00:00:00"/>
    <x v="2"/>
    <s v="India"/>
    <s v="Tamil Nadu"/>
    <s v="Hyderabad"/>
    <x v="0"/>
    <s v="Notebook"/>
    <s v="Gel Pen"/>
    <s v="Consumer"/>
    <n v="74123"/>
    <n v="0.25"/>
    <n v="2506"/>
    <n v="12"/>
    <s v="Cash"/>
    <s v="Medium"/>
    <x v="1"/>
    <x v="11"/>
    <n v="6"/>
    <n v="9"/>
    <n v="3.3808669373878553E-2"/>
  </r>
  <r>
    <n v="10701"/>
    <d v="2022-12-02T00:00:00"/>
    <d v="2022-12-09T00:00:00"/>
    <d v="2022-12-14T00:00:00"/>
    <x v="3"/>
    <s v="India"/>
    <s v="Delhi"/>
    <s v="Hyderabad"/>
    <x v="0"/>
    <s v="Notebook"/>
    <s v="Office Chair"/>
    <s v="Corporate"/>
    <n v="9026"/>
    <n v="0.33"/>
    <n v="499"/>
    <n v="5"/>
    <s v="Cash"/>
    <s v="High"/>
    <x v="1"/>
    <x v="11"/>
    <n v="7"/>
    <n v="12"/>
    <n v="5.5284732993574122E-2"/>
  </r>
  <r>
    <n v="10702"/>
    <d v="2022-12-03T00:00:00"/>
    <d v="2022-12-08T00:00:00"/>
    <d v="2022-12-11T00:00:00"/>
    <x v="0"/>
    <s v="India"/>
    <s v="Maharashtra"/>
    <s v="Bangalore"/>
    <x v="2"/>
    <s v="Table"/>
    <s v="Gel Pen"/>
    <s v="Consumer"/>
    <n v="24170"/>
    <n v="0.18"/>
    <n v="14048"/>
    <n v="8"/>
    <s v="UPI"/>
    <s v="High"/>
    <x v="1"/>
    <x v="11"/>
    <n v="5"/>
    <n v="8"/>
    <n v="0.58121638394704178"/>
  </r>
  <r>
    <n v="10703"/>
    <d v="2022-12-04T00:00:00"/>
    <d v="2022-12-10T00:00:00"/>
    <d v="2022-12-15T00:00:00"/>
    <x v="1"/>
    <s v="India"/>
    <s v="Telangana"/>
    <s v="Hyderabad"/>
    <x v="1"/>
    <s v="Mobile"/>
    <s v="Office Chair"/>
    <s v="Home Office"/>
    <n v="58074"/>
    <n v="0.06"/>
    <n v="5194"/>
    <n v="10"/>
    <s v="Debit Card"/>
    <s v="Critical"/>
    <x v="1"/>
    <x v="11"/>
    <n v="6"/>
    <n v="11"/>
    <n v="8.9437614078589384E-2"/>
  </r>
  <r>
    <n v="10704"/>
    <d v="2022-12-05T00:00:00"/>
    <d v="2022-12-09T00:00:00"/>
    <d v="2022-12-11T00:00:00"/>
    <x v="1"/>
    <s v="India"/>
    <s v="Telangana"/>
    <s v="Kochi"/>
    <x v="1"/>
    <s v="Laptop"/>
    <s v="Laser Printer"/>
    <s v="Consumer"/>
    <n v="43626"/>
    <n v="0.22"/>
    <n v="3985"/>
    <n v="15"/>
    <s v="Credit Card"/>
    <s v="Critical"/>
    <x v="1"/>
    <x v="11"/>
    <n v="4"/>
    <n v="6"/>
    <n v="9.134461101178197E-2"/>
  </r>
  <r>
    <n v="10705"/>
    <d v="2022-12-06T00:00:00"/>
    <d v="2022-12-09T00:00:00"/>
    <d v="2022-12-12T00:00:00"/>
    <x v="1"/>
    <s v="India"/>
    <s v="Kerala"/>
    <s v="Mumbai"/>
    <x v="0"/>
    <s v="Printer"/>
    <s v="Office Chair"/>
    <s v="Corporate"/>
    <n v="73727"/>
    <n v="0.13"/>
    <n v="14951"/>
    <n v="7"/>
    <s v="Net Banking"/>
    <s v="High"/>
    <x v="1"/>
    <x v="11"/>
    <n v="3"/>
    <n v="6"/>
    <n v="0.20278866629592956"/>
  </r>
  <r>
    <n v="10706"/>
    <d v="2022-12-07T00:00:00"/>
    <d v="2022-12-13T00:00:00"/>
    <d v="2022-12-16T00:00:00"/>
    <x v="0"/>
    <s v="India"/>
    <s v="Kerala"/>
    <s v="Kochi"/>
    <x v="2"/>
    <s v="Printer"/>
    <s v="Laser Printer"/>
    <s v="Home Office"/>
    <n v="16307"/>
    <n v="0.2"/>
    <n v="5601"/>
    <n v="15"/>
    <s v="Credit Card"/>
    <s v="Medium"/>
    <x v="1"/>
    <x v="11"/>
    <n v="6"/>
    <n v="9"/>
    <n v="0.34347212853375853"/>
  </r>
  <r>
    <n v="10707"/>
    <d v="2022-12-08T00:00:00"/>
    <d v="2022-12-13T00:00:00"/>
    <d v="2022-12-15T00:00:00"/>
    <x v="1"/>
    <s v="India"/>
    <s v="Karnataka"/>
    <s v="Chennai"/>
    <x v="0"/>
    <s v="Mobile"/>
    <s v="Spiral Notebook"/>
    <s v="Consumer"/>
    <n v="66261"/>
    <n v="0.19"/>
    <n v="1866"/>
    <n v="20"/>
    <s v="UPI"/>
    <s v="High"/>
    <x v="1"/>
    <x v="11"/>
    <n v="5"/>
    <n v="7"/>
    <n v="2.81613618870829E-2"/>
  </r>
  <r>
    <n v="10708"/>
    <d v="2022-12-09T00:00:00"/>
    <d v="2022-12-11T00:00:00"/>
    <d v="2022-12-12T00:00:00"/>
    <x v="3"/>
    <s v="India"/>
    <s v="Telangana"/>
    <s v="Hyderabad"/>
    <x v="0"/>
    <s v="Mobile"/>
    <s v="Gaming Laptop"/>
    <s v="Consumer"/>
    <n v="70842"/>
    <n v="0.28000000000000003"/>
    <n v="16543"/>
    <n v="23"/>
    <s v="Net Banking"/>
    <s v="High"/>
    <x v="1"/>
    <x v="11"/>
    <n v="2"/>
    <n v="3"/>
    <n v="0.23351966347646877"/>
  </r>
  <r>
    <n v="10709"/>
    <d v="2022-12-10T00:00:00"/>
    <d v="2022-12-13T00:00:00"/>
    <d v="2022-12-18T00:00:00"/>
    <x v="2"/>
    <s v="India"/>
    <s v="Kerala"/>
    <s v="Chennai"/>
    <x v="1"/>
    <s v="Notebook"/>
    <s v="Dining Table"/>
    <s v="Home Office"/>
    <n v="44227"/>
    <n v="0.02"/>
    <n v="16139"/>
    <n v="16"/>
    <s v="Cash"/>
    <s v="Low"/>
    <x v="1"/>
    <x v="11"/>
    <n v="3"/>
    <n v="8"/>
    <n v="0.36491283605037644"/>
  </r>
  <r>
    <n v="10710"/>
    <d v="2022-12-11T00:00:00"/>
    <d v="2022-12-16T00:00:00"/>
    <d v="2022-12-17T00:00:00"/>
    <x v="3"/>
    <s v="India"/>
    <s v="Tamil Nadu"/>
    <s v="Bangalore"/>
    <x v="2"/>
    <s v="Printer"/>
    <s v="Dining Table"/>
    <s v="Corporate"/>
    <n v="72372"/>
    <n v="0.16"/>
    <n v="17170"/>
    <n v="15"/>
    <s v="Credit Card"/>
    <s v="Low"/>
    <x v="1"/>
    <x v="11"/>
    <n v="5"/>
    <n v="6"/>
    <n v="0.23724644890289062"/>
  </r>
  <r>
    <n v="10711"/>
    <d v="2022-12-12T00:00:00"/>
    <d v="2022-12-18T00:00:00"/>
    <d v="2022-12-23T00:00:00"/>
    <x v="2"/>
    <s v="India"/>
    <s v="Kerala"/>
    <s v="Mumbai"/>
    <x v="0"/>
    <s v="Table"/>
    <s v="Laser Printer"/>
    <s v="Home Office"/>
    <n v="6475"/>
    <n v="0.14000000000000001"/>
    <n v="1309"/>
    <n v="3"/>
    <s v="UPI"/>
    <s v="High"/>
    <x v="1"/>
    <x v="11"/>
    <n v="6"/>
    <n v="11"/>
    <n v="0.20216216216216215"/>
  </r>
  <r>
    <n v="10712"/>
    <d v="2022-12-13T00:00:00"/>
    <d v="2022-12-16T00:00:00"/>
    <d v="2022-12-19T00:00:00"/>
    <x v="3"/>
    <s v="India"/>
    <s v="Maharashtra"/>
    <s v="Hyderabad"/>
    <x v="2"/>
    <s v="Laptop"/>
    <s v="Spiral Notebook"/>
    <s v="Corporate"/>
    <n v="68769"/>
    <n v="0.28999999999999998"/>
    <n v="18384"/>
    <n v="23"/>
    <s v="Debit Card"/>
    <s v="Critical"/>
    <x v="1"/>
    <x v="11"/>
    <n v="3"/>
    <n v="6"/>
    <n v="0.26732975614012128"/>
  </r>
  <r>
    <n v="10713"/>
    <d v="2022-12-14T00:00:00"/>
    <d v="2022-12-18T00:00:00"/>
    <d v="2022-12-20T00:00:00"/>
    <x v="3"/>
    <s v="India"/>
    <s v="Kerala"/>
    <s v="Chennai"/>
    <x v="1"/>
    <s v="Mobile"/>
    <s v="Gaming Laptop"/>
    <s v="Home Office"/>
    <n v="60568"/>
    <n v="0.38"/>
    <n v="13918"/>
    <n v="17"/>
    <s v="Net Banking"/>
    <s v="Critical"/>
    <x v="1"/>
    <x v="11"/>
    <n v="4"/>
    <n v="6"/>
    <n v="0.22979130894201558"/>
  </r>
  <r>
    <n v="10714"/>
    <d v="2022-12-15T00:00:00"/>
    <d v="2022-12-19T00:00:00"/>
    <d v="2022-12-22T00:00:00"/>
    <x v="3"/>
    <s v="India"/>
    <s v="Karnataka"/>
    <s v="Hyderabad"/>
    <x v="2"/>
    <s v="Table"/>
    <s v="Smartphone"/>
    <s v="Consumer"/>
    <n v="6187"/>
    <n v="0.25"/>
    <n v="8449"/>
    <n v="2"/>
    <s v="Credit Card"/>
    <s v="Critical"/>
    <x v="1"/>
    <x v="11"/>
    <n v="4"/>
    <n v="7"/>
    <n v="1.3656053014385001"/>
  </r>
  <r>
    <n v="10715"/>
    <d v="2022-12-16T00:00:00"/>
    <d v="2022-12-19T00:00:00"/>
    <d v="2022-12-24T00:00:00"/>
    <x v="3"/>
    <s v="India"/>
    <s v="Tamil Nadu"/>
    <s v="Kochi"/>
    <x v="0"/>
    <s v="Printer"/>
    <s v="Gaming Laptop"/>
    <s v="Consumer"/>
    <n v="23704"/>
    <n v="0.19"/>
    <n v="15567"/>
    <n v="21"/>
    <s v="Net Banking"/>
    <s v="Medium"/>
    <x v="1"/>
    <x v="11"/>
    <n v="3"/>
    <n v="8"/>
    <n v="0.65672460344245698"/>
  </r>
  <r>
    <n v="10716"/>
    <d v="2022-12-17T00:00:00"/>
    <d v="2022-12-20T00:00:00"/>
    <d v="2022-12-23T00:00:00"/>
    <x v="0"/>
    <s v="India"/>
    <s v="Maharashtra"/>
    <s v="Kochi"/>
    <x v="1"/>
    <s v="Laptop"/>
    <s v="Dining Table"/>
    <s v="Corporate"/>
    <n v="7407"/>
    <n v="0.31"/>
    <n v="6355"/>
    <n v="23"/>
    <s v="Cash"/>
    <s v="Low"/>
    <x v="1"/>
    <x v="11"/>
    <n v="3"/>
    <n v="6"/>
    <n v="0.85797218847036583"/>
  </r>
  <r>
    <n v="10717"/>
    <d v="2022-12-18T00:00:00"/>
    <d v="2022-12-24T00:00:00"/>
    <d v="2022-12-25T00:00:00"/>
    <x v="1"/>
    <s v="India"/>
    <s v="Telangana"/>
    <s v="Hyderabad"/>
    <x v="0"/>
    <s v="Printer"/>
    <s v="Gaming Laptop"/>
    <s v="Corporate"/>
    <n v="48057"/>
    <n v="0.4"/>
    <n v="3108"/>
    <n v="3"/>
    <s v="Net Banking"/>
    <s v="High"/>
    <x v="1"/>
    <x v="11"/>
    <n v="6"/>
    <n v="7"/>
    <n v="6.4673200574317996E-2"/>
  </r>
  <r>
    <n v="10718"/>
    <d v="2022-12-19T00:00:00"/>
    <d v="2022-12-21T00:00:00"/>
    <d v="2022-12-22T00:00:00"/>
    <x v="2"/>
    <s v="India"/>
    <s v="Kerala"/>
    <s v="Kochi"/>
    <x v="0"/>
    <s v="Printer"/>
    <s v="Spiral Notebook"/>
    <s v="Consumer"/>
    <n v="25314"/>
    <n v="0.39"/>
    <n v="11439"/>
    <n v="4"/>
    <s v="Credit Card"/>
    <s v="High"/>
    <x v="1"/>
    <x v="11"/>
    <n v="2"/>
    <n v="3"/>
    <n v="0.45188433278027967"/>
  </r>
  <r>
    <n v="10719"/>
    <d v="2022-12-20T00:00:00"/>
    <d v="2022-12-23T00:00:00"/>
    <d v="2022-12-26T00:00:00"/>
    <x v="1"/>
    <s v="India"/>
    <s v="Tamil Nadu"/>
    <s v="Delhi"/>
    <x v="0"/>
    <s v="Laptop"/>
    <s v="Laser Printer"/>
    <s v="Corporate"/>
    <n v="5192"/>
    <n v="0.05"/>
    <n v="11931"/>
    <n v="1"/>
    <s v="Cash"/>
    <s v="Medium"/>
    <x v="1"/>
    <x v="11"/>
    <n v="3"/>
    <n v="6"/>
    <n v="2.2979583975346687"/>
  </r>
  <r>
    <n v="10720"/>
    <d v="2022-12-21T00:00:00"/>
    <d v="2022-12-25T00:00:00"/>
    <d v="2022-12-28T00:00:00"/>
    <x v="2"/>
    <s v="India"/>
    <s v="Karnataka"/>
    <s v="Mumbai"/>
    <x v="2"/>
    <s v="Table"/>
    <s v="Gel Pen"/>
    <s v="Consumer"/>
    <n v="2472"/>
    <n v="0"/>
    <n v="16136"/>
    <n v="18"/>
    <s v="Credit Card"/>
    <s v="Critical"/>
    <x v="1"/>
    <x v="11"/>
    <n v="4"/>
    <n v="7"/>
    <n v="6.5275080906148863"/>
  </r>
  <r>
    <n v="10721"/>
    <d v="2022-12-22T00:00:00"/>
    <d v="2022-12-27T00:00:00"/>
    <d v="2022-12-29T00:00:00"/>
    <x v="3"/>
    <s v="India"/>
    <s v="Delhi"/>
    <s v="Bangalore"/>
    <x v="0"/>
    <s v="Table"/>
    <s v="Dining Table"/>
    <s v="Consumer"/>
    <n v="7388"/>
    <n v="0.23"/>
    <n v="7819"/>
    <n v="10"/>
    <s v="UPI"/>
    <s v="Low"/>
    <x v="1"/>
    <x v="11"/>
    <n v="5"/>
    <n v="7"/>
    <n v="1.0583378451543042"/>
  </r>
  <r>
    <n v="10722"/>
    <d v="2022-12-23T00:00:00"/>
    <d v="2022-12-29T00:00:00"/>
    <d v="2022-12-30T00:00:00"/>
    <x v="0"/>
    <s v="India"/>
    <s v="Telangana"/>
    <s v="Bangalore"/>
    <x v="1"/>
    <s v="Printer"/>
    <s v="Smartphone"/>
    <s v="Corporate"/>
    <n v="52658"/>
    <n v="0.18"/>
    <n v="5659"/>
    <n v="19"/>
    <s v="Cash"/>
    <s v="Critical"/>
    <x v="1"/>
    <x v="11"/>
    <n v="6"/>
    <n v="7"/>
    <n v="0.10746705154012685"/>
  </r>
  <r>
    <n v="10723"/>
    <d v="2022-12-24T00:00:00"/>
    <d v="2022-12-29T00:00:00"/>
    <d v="2023-01-01T00:00:00"/>
    <x v="3"/>
    <s v="India"/>
    <s v="Delhi"/>
    <s v="Kochi"/>
    <x v="2"/>
    <s v="Pen"/>
    <s v="Laser Printer"/>
    <s v="Consumer"/>
    <n v="35873"/>
    <n v="0.2"/>
    <n v="7780"/>
    <n v="14"/>
    <s v="Credit Card"/>
    <s v="Medium"/>
    <x v="1"/>
    <x v="11"/>
    <n v="5"/>
    <n v="8"/>
    <n v="0.21687620215761158"/>
  </r>
  <r>
    <n v="10724"/>
    <d v="2022-12-25T00:00:00"/>
    <d v="2022-12-31T00:00:00"/>
    <d v="2023-01-04T00:00:00"/>
    <x v="1"/>
    <s v="India"/>
    <s v="Karnataka"/>
    <s v="Bangalore"/>
    <x v="1"/>
    <s v="Printer"/>
    <s v="Smartphone"/>
    <s v="Consumer"/>
    <n v="5982"/>
    <n v="0.3"/>
    <n v="13244"/>
    <n v="21"/>
    <s v="UPI"/>
    <s v="Critical"/>
    <x v="1"/>
    <x v="11"/>
    <n v="6"/>
    <n v="10"/>
    <n v="2.2139752591106654"/>
  </r>
  <r>
    <n v="10725"/>
    <d v="2022-12-26T00:00:00"/>
    <d v="2023-01-02T00:00:00"/>
    <d v="2023-01-04T00:00:00"/>
    <x v="0"/>
    <s v="India"/>
    <s v="Karnataka"/>
    <s v="Hyderabad"/>
    <x v="1"/>
    <s v="Chair"/>
    <s v="Gel Pen"/>
    <s v="Home Office"/>
    <n v="73871"/>
    <n v="0.04"/>
    <n v="12123"/>
    <n v="17"/>
    <s v="Cash"/>
    <s v="Medium"/>
    <x v="1"/>
    <x v="11"/>
    <n v="7"/>
    <n v="9"/>
    <n v="0.16411040868541105"/>
  </r>
  <r>
    <n v="10726"/>
    <d v="2022-12-27T00:00:00"/>
    <d v="2023-01-01T00:00:00"/>
    <d v="2023-01-04T00:00:00"/>
    <x v="0"/>
    <s v="India"/>
    <s v="Delhi"/>
    <s v="Kochi"/>
    <x v="2"/>
    <s v="Pen"/>
    <s v="Laser Printer"/>
    <s v="Consumer"/>
    <n v="68351"/>
    <n v="0.05"/>
    <n v="12997"/>
    <n v="13"/>
    <s v="UPI"/>
    <s v="High"/>
    <x v="1"/>
    <x v="11"/>
    <n v="5"/>
    <n v="8"/>
    <n v="0.1901508390513672"/>
  </r>
  <r>
    <n v="10727"/>
    <d v="2022-12-28T00:00:00"/>
    <d v="2022-12-30T00:00:00"/>
    <d v="2023-01-03T00:00:00"/>
    <x v="1"/>
    <s v="India"/>
    <s v="Maharashtra"/>
    <s v="Hyderabad"/>
    <x v="2"/>
    <s v="Table"/>
    <s v="Gel Pen"/>
    <s v="Home Office"/>
    <n v="22425"/>
    <n v="0.28000000000000003"/>
    <n v="11997"/>
    <n v="23"/>
    <s v="UPI"/>
    <s v="Critical"/>
    <x v="1"/>
    <x v="11"/>
    <n v="2"/>
    <n v="6"/>
    <n v="0.53498327759197328"/>
  </r>
  <r>
    <n v="10728"/>
    <d v="2022-12-29T00:00:00"/>
    <d v="2023-01-05T00:00:00"/>
    <d v="2023-01-09T00:00:00"/>
    <x v="1"/>
    <s v="India"/>
    <s v="Maharashtra"/>
    <s v="Hyderabad"/>
    <x v="0"/>
    <s v="Chair"/>
    <s v="Office Chair"/>
    <s v="Corporate"/>
    <n v="2395"/>
    <n v="0.39"/>
    <n v="4838"/>
    <n v="20"/>
    <s v="Cash"/>
    <s v="Medium"/>
    <x v="1"/>
    <x v="11"/>
    <n v="7"/>
    <n v="11"/>
    <n v="2.0200417536534445"/>
  </r>
  <r>
    <n v="10729"/>
    <d v="2022-12-30T00:00:00"/>
    <d v="2023-01-02T00:00:00"/>
    <d v="2023-01-04T00:00:00"/>
    <x v="0"/>
    <s v="India"/>
    <s v="Telangana"/>
    <s v="Delhi"/>
    <x v="2"/>
    <s v="Chair"/>
    <s v="Gel Pen"/>
    <s v="Home Office"/>
    <n v="22343"/>
    <n v="0.27"/>
    <n v="1336"/>
    <n v="20"/>
    <s v="Credit Card"/>
    <s v="Low"/>
    <x v="1"/>
    <x v="11"/>
    <n v="3"/>
    <n v="5"/>
    <n v="5.9795014098375329E-2"/>
  </r>
  <r>
    <n v="10730"/>
    <d v="2022-12-31T00:00:00"/>
    <d v="2023-01-07T00:00:00"/>
    <d v="2023-01-09T00:00:00"/>
    <x v="2"/>
    <s v="India"/>
    <s v="Telangana"/>
    <s v="Kochi"/>
    <x v="2"/>
    <s v="Pen"/>
    <s v="Spiral Notebook"/>
    <s v="Consumer"/>
    <n v="22761"/>
    <n v="0.02"/>
    <n v="-186"/>
    <n v="22"/>
    <s v="Credit Card"/>
    <s v="Medium"/>
    <x v="1"/>
    <x v="11"/>
    <n v="7"/>
    <n v="9"/>
    <n v="-8.1718729405562147E-3"/>
  </r>
  <r>
    <n v="10731"/>
    <d v="2023-01-01T00:00:00"/>
    <d v="2023-01-07T00:00:00"/>
    <d v="2023-01-09T00:00:00"/>
    <x v="0"/>
    <s v="India"/>
    <s v="Telangana"/>
    <s v="Mumbai"/>
    <x v="1"/>
    <s v="Table"/>
    <s v="Gel Pen"/>
    <s v="Home Office"/>
    <n v="12282"/>
    <n v="7.0000000000000007E-2"/>
    <n v="2093"/>
    <n v="2"/>
    <s v="Credit Card"/>
    <s v="Low"/>
    <x v="2"/>
    <x v="0"/>
    <n v="6"/>
    <n v="8"/>
    <n v="0.17041198501872659"/>
  </r>
  <r>
    <n v="10732"/>
    <d v="2023-01-02T00:00:00"/>
    <d v="2023-01-04T00:00:00"/>
    <d v="2023-01-09T00:00:00"/>
    <x v="2"/>
    <s v="India"/>
    <s v="Tamil Nadu"/>
    <s v="Chennai"/>
    <x v="0"/>
    <s v="Chair"/>
    <s v="Smartphone"/>
    <s v="Home Office"/>
    <n v="46663"/>
    <n v="0.39"/>
    <n v="1303"/>
    <n v="9"/>
    <s v="UPI"/>
    <s v="Medium"/>
    <x v="2"/>
    <x v="0"/>
    <n v="2"/>
    <n v="7"/>
    <n v="2.7923622570344812E-2"/>
  </r>
  <r>
    <n v="10733"/>
    <d v="2023-01-03T00:00:00"/>
    <d v="2023-01-06T00:00:00"/>
    <d v="2023-01-07T00:00:00"/>
    <x v="2"/>
    <s v="India"/>
    <s v="Tamil Nadu"/>
    <s v="Mumbai"/>
    <x v="0"/>
    <s v="Mobile"/>
    <s v="Office Chair"/>
    <s v="Consumer"/>
    <n v="42904"/>
    <n v="0.39"/>
    <n v="-1105"/>
    <n v="20"/>
    <s v="Cash"/>
    <s v="Critical"/>
    <x v="2"/>
    <x v="0"/>
    <n v="3"/>
    <n v="4"/>
    <n v="-2.5755174342718627E-2"/>
  </r>
  <r>
    <n v="10734"/>
    <d v="2023-01-04T00:00:00"/>
    <d v="2023-01-11T00:00:00"/>
    <d v="2023-01-12T00:00:00"/>
    <x v="1"/>
    <s v="India"/>
    <s v="Tamil Nadu"/>
    <s v="Delhi"/>
    <x v="0"/>
    <s v="Mobile"/>
    <s v="Office Chair"/>
    <s v="Consumer"/>
    <n v="37167"/>
    <n v="0.01"/>
    <n v="17909"/>
    <n v="10"/>
    <s v="Debit Card"/>
    <s v="Medium"/>
    <x v="2"/>
    <x v="0"/>
    <n v="7"/>
    <n v="8"/>
    <n v="0.48185218069793095"/>
  </r>
  <r>
    <n v="10735"/>
    <d v="2023-01-05T00:00:00"/>
    <d v="2023-01-10T00:00:00"/>
    <d v="2023-01-11T00:00:00"/>
    <x v="2"/>
    <s v="India"/>
    <s v="Maharashtra"/>
    <s v="Mumbai"/>
    <x v="1"/>
    <s v="Chair"/>
    <s v="Gaming Laptop"/>
    <s v="Home Office"/>
    <n v="32607"/>
    <n v="0.01"/>
    <n v="14616"/>
    <n v="5"/>
    <s v="Debit Card"/>
    <s v="High"/>
    <x v="2"/>
    <x v="0"/>
    <n v="5"/>
    <n v="6"/>
    <n v="0.4482473088600607"/>
  </r>
  <r>
    <n v="10736"/>
    <d v="2023-01-06T00:00:00"/>
    <d v="2023-01-11T00:00:00"/>
    <d v="2023-01-14T00:00:00"/>
    <x v="1"/>
    <s v="India"/>
    <s v="Maharashtra"/>
    <s v="Mumbai"/>
    <x v="0"/>
    <s v="Chair"/>
    <s v="Laser Printer"/>
    <s v="Home Office"/>
    <n v="39563"/>
    <n v="0.14000000000000001"/>
    <n v="16405"/>
    <n v="8"/>
    <s v="Debit Card"/>
    <s v="Medium"/>
    <x v="2"/>
    <x v="0"/>
    <n v="5"/>
    <n v="8"/>
    <n v="0.41465510704446074"/>
  </r>
  <r>
    <n v="10737"/>
    <d v="2023-01-07T00:00:00"/>
    <d v="2023-01-12T00:00:00"/>
    <d v="2023-01-17T00:00:00"/>
    <x v="0"/>
    <s v="India"/>
    <s v="Telangana"/>
    <s v="Kochi"/>
    <x v="1"/>
    <s v="Mobile"/>
    <s v="Gel Pen"/>
    <s v="Home Office"/>
    <n v="55095"/>
    <n v="0.25"/>
    <n v="10693"/>
    <n v="15"/>
    <s v="Debit Card"/>
    <s v="Medium"/>
    <x v="2"/>
    <x v="0"/>
    <n v="5"/>
    <n v="10"/>
    <n v="0.19408294763590161"/>
  </r>
  <r>
    <n v="10738"/>
    <d v="2023-01-08T00:00:00"/>
    <d v="2023-01-10T00:00:00"/>
    <d v="2023-01-11T00:00:00"/>
    <x v="3"/>
    <s v="India"/>
    <s v="Delhi"/>
    <s v="Kochi"/>
    <x v="2"/>
    <s v="Chair"/>
    <s v="Gaming Laptop"/>
    <s v="Consumer"/>
    <n v="11488"/>
    <n v="0.34"/>
    <n v="1588"/>
    <n v="7"/>
    <s v="Net Banking"/>
    <s v="Critical"/>
    <x v="2"/>
    <x v="0"/>
    <n v="2"/>
    <n v="3"/>
    <n v="0.13823119777158774"/>
  </r>
  <r>
    <n v="10739"/>
    <d v="2023-01-09T00:00:00"/>
    <d v="2023-01-13T00:00:00"/>
    <d v="2023-01-14T00:00:00"/>
    <x v="1"/>
    <s v="India"/>
    <s v="Delhi"/>
    <s v="Delhi"/>
    <x v="2"/>
    <s v="Laptop"/>
    <s v="Laser Printer"/>
    <s v="Corporate"/>
    <n v="28689"/>
    <n v="0.12"/>
    <n v="15772"/>
    <n v="15"/>
    <s v="Cash"/>
    <s v="Critical"/>
    <x v="2"/>
    <x v="0"/>
    <n v="4"/>
    <n v="5"/>
    <n v="0.54975774687162327"/>
  </r>
  <r>
    <n v="10740"/>
    <d v="2023-01-10T00:00:00"/>
    <d v="2023-01-16T00:00:00"/>
    <d v="2023-01-19T00:00:00"/>
    <x v="3"/>
    <s v="India"/>
    <s v="Maharashtra"/>
    <s v="Hyderabad"/>
    <x v="1"/>
    <s v="Printer"/>
    <s v="Gaming Laptop"/>
    <s v="Corporate"/>
    <n v="25933"/>
    <n v="0.38"/>
    <n v="3127"/>
    <n v="6"/>
    <s v="UPI"/>
    <s v="Medium"/>
    <x v="2"/>
    <x v="0"/>
    <n v="6"/>
    <n v="9"/>
    <n v="0.12057995604056608"/>
  </r>
  <r>
    <n v="10741"/>
    <d v="2023-01-11T00:00:00"/>
    <d v="2023-01-17T00:00:00"/>
    <d v="2023-01-18T00:00:00"/>
    <x v="0"/>
    <s v="India"/>
    <s v="Kerala"/>
    <s v="Chennai"/>
    <x v="1"/>
    <s v="Notebook"/>
    <s v="Gaming Laptop"/>
    <s v="Consumer"/>
    <n v="53231"/>
    <n v="0.27"/>
    <n v="-1216"/>
    <n v="9"/>
    <s v="UPI"/>
    <s v="Medium"/>
    <x v="2"/>
    <x v="0"/>
    <n v="6"/>
    <n v="7"/>
    <n v="-2.2843831601886119E-2"/>
  </r>
  <r>
    <n v="10742"/>
    <d v="2023-01-12T00:00:00"/>
    <d v="2023-01-16T00:00:00"/>
    <d v="2023-01-19T00:00:00"/>
    <x v="3"/>
    <s v="India"/>
    <s v="Tamil Nadu"/>
    <s v="Bangalore"/>
    <x v="2"/>
    <s v="Printer"/>
    <s v="Office Chair"/>
    <s v="Home Office"/>
    <n v="57545"/>
    <n v="0.06"/>
    <n v="11118"/>
    <n v="19"/>
    <s v="Credit Card"/>
    <s v="Critical"/>
    <x v="2"/>
    <x v="0"/>
    <n v="4"/>
    <n v="7"/>
    <n v="0.193205317577548"/>
  </r>
  <r>
    <n v="10743"/>
    <d v="2023-01-13T00:00:00"/>
    <d v="2023-01-20T00:00:00"/>
    <d v="2023-01-25T00:00:00"/>
    <x v="0"/>
    <s v="India"/>
    <s v="Kerala"/>
    <s v="Mumbai"/>
    <x v="2"/>
    <s v="Laptop"/>
    <s v="Office Chair"/>
    <s v="Corporate"/>
    <n v="16820"/>
    <n v="0.19"/>
    <n v="14843"/>
    <n v="16"/>
    <s v="Net Banking"/>
    <s v="Low"/>
    <x v="2"/>
    <x v="0"/>
    <n v="7"/>
    <n v="12"/>
    <n v="0.88246135552913196"/>
  </r>
  <r>
    <n v="10744"/>
    <d v="2023-01-14T00:00:00"/>
    <d v="2023-01-17T00:00:00"/>
    <d v="2023-01-19T00:00:00"/>
    <x v="2"/>
    <s v="India"/>
    <s v="Maharashtra"/>
    <s v="Hyderabad"/>
    <x v="1"/>
    <s v="Pen"/>
    <s v="Gel Pen"/>
    <s v="Consumer"/>
    <n v="37164"/>
    <n v="0.2"/>
    <n v="3458"/>
    <n v="7"/>
    <s v="Cash"/>
    <s v="Critical"/>
    <x v="2"/>
    <x v="0"/>
    <n v="3"/>
    <n v="5"/>
    <n v="9.3047034764826175E-2"/>
  </r>
  <r>
    <n v="10745"/>
    <d v="2023-01-15T00:00:00"/>
    <d v="2023-01-17T00:00:00"/>
    <d v="2023-01-22T00:00:00"/>
    <x v="1"/>
    <s v="India"/>
    <s v="Maharashtra"/>
    <s v="Chennai"/>
    <x v="2"/>
    <s v="Printer"/>
    <s v="Spiral Notebook"/>
    <s v="Corporate"/>
    <n v="33709"/>
    <n v="7.0000000000000007E-2"/>
    <n v="-1471"/>
    <n v="23"/>
    <s v="Debit Card"/>
    <s v="Medium"/>
    <x v="2"/>
    <x v="0"/>
    <n v="2"/>
    <n v="7"/>
    <n v="-4.3638197514017027E-2"/>
  </r>
  <r>
    <n v="10746"/>
    <d v="2023-01-16T00:00:00"/>
    <d v="2023-01-20T00:00:00"/>
    <d v="2023-01-25T00:00:00"/>
    <x v="1"/>
    <s v="India"/>
    <s v="Tamil Nadu"/>
    <s v="Delhi"/>
    <x v="0"/>
    <s v="Pen"/>
    <s v="Spiral Notebook"/>
    <s v="Home Office"/>
    <n v="65517"/>
    <n v="7.0000000000000007E-2"/>
    <n v="18502"/>
    <n v="23"/>
    <s v="Debit Card"/>
    <s v="Low"/>
    <x v="2"/>
    <x v="0"/>
    <n v="4"/>
    <n v="9"/>
    <n v="0.28239998778942871"/>
  </r>
  <r>
    <n v="10747"/>
    <d v="2023-01-17T00:00:00"/>
    <d v="2023-01-20T00:00:00"/>
    <d v="2023-01-21T00:00:00"/>
    <x v="0"/>
    <s v="India"/>
    <s v="Kerala"/>
    <s v="Mumbai"/>
    <x v="0"/>
    <s v="Laptop"/>
    <s v="Gaming Laptop"/>
    <s v="Home Office"/>
    <n v="40118"/>
    <n v="0.37"/>
    <n v="5832"/>
    <n v="15"/>
    <s v="Credit Card"/>
    <s v="Critical"/>
    <x v="2"/>
    <x v="0"/>
    <n v="3"/>
    <n v="4"/>
    <n v="0.14537115509247719"/>
  </r>
  <r>
    <n v="10748"/>
    <d v="2023-01-18T00:00:00"/>
    <d v="2023-01-25T00:00:00"/>
    <d v="2023-01-27T00:00:00"/>
    <x v="3"/>
    <s v="India"/>
    <s v="Telangana"/>
    <s v="Bangalore"/>
    <x v="0"/>
    <s v="Printer"/>
    <s v="Laser Printer"/>
    <s v="Consumer"/>
    <n v="22753"/>
    <n v="0.03"/>
    <n v="5292"/>
    <n v="18"/>
    <s v="Credit Card"/>
    <s v="High"/>
    <x v="2"/>
    <x v="0"/>
    <n v="7"/>
    <n v="9"/>
    <n v="0.23258471410363468"/>
  </r>
  <r>
    <n v="10749"/>
    <d v="2023-01-19T00:00:00"/>
    <d v="2023-01-24T00:00:00"/>
    <d v="2023-01-27T00:00:00"/>
    <x v="0"/>
    <s v="India"/>
    <s v="Karnataka"/>
    <s v="Hyderabad"/>
    <x v="2"/>
    <s v="Chair"/>
    <s v="Dining Table"/>
    <s v="Corporate"/>
    <n v="47438"/>
    <n v="0.15"/>
    <n v="11915"/>
    <n v="13"/>
    <s v="Net Banking"/>
    <s v="Low"/>
    <x v="2"/>
    <x v="0"/>
    <n v="5"/>
    <n v="8"/>
    <n v="0.25116994814283905"/>
  </r>
  <r>
    <n v="10750"/>
    <d v="2023-01-20T00:00:00"/>
    <d v="2023-01-24T00:00:00"/>
    <d v="2023-01-28T00:00:00"/>
    <x v="2"/>
    <s v="India"/>
    <s v="Kerala"/>
    <s v="Chennai"/>
    <x v="2"/>
    <s v="Laptop"/>
    <s v="Dining Table"/>
    <s v="Corporate"/>
    <n v="17117"/>
    <n v="0.12"/>
    <n v="15431"/>
    <n v="7"/>
    <s v="Credit Card"/>
    <s v="High"/>
    <x v="2"/>
    <x v="0"/>
    <n v="4"/>
    <n v="8"/>
    <n v="0.9015014313255828"/>
  </r>
  <r>
    <n v="10751"/>
    <d v="2023-01-21T00:00:00"/>
    <d v="2023-01-23T00:00:00"/>
    <d v="2023-01-26T00:00:00"/>
    <x v="0"/>
    <s v="India"/>
    <s v="Delhi"/>
    <s v="Delhi"/>
    <x v="2"/>
    <s v="Pen"/>
    <s v="Laser Printer"/>
    <s v="Home Office"/>
    <n v="53624"/>
    <n v="0.28999999999999998"/>
    <n v="18048"/>
    <n v="16"/>
    <s v="Credit Card"/>
    <s v="High"/>
    <x v="2"/>
    <x v="0"/>
    <n v="2"/>
    <n v="5"/>
    <n v="0.33656571684320452"/>
  </r>
  <r>
    <n v="10752"/>
    <d v="2023-01-22T00:00:00"/>
    <d v="2023-01-28T00:00:00"/>
    <d v="2023-02-02T00:00:00"/>
    <x v="0"/>
    <s v="India"/>
    <s v="Kerala"/>
    <s v="Delhi"/>
    <x v="1"/>
    <s v="Notebook"/>
    <s v="Laser Printer"/>
    <s v="Corporate"/>
    <n v="696"/>
    <n v="0.06"/>
    <n v="7668"/>
    <n v="5"/>
    <s v="UPI"/>
    <s v="Medium"/>
    <x v="2"/>
    <x v="0"/>
    <n v="6"/>
    <n v="11"/>
    <n v="11.017241379310345"/>
  </r>
  <r>
    <n v="10753"/>
    <d v="2023-01-23T00:00:00"/>
    <d v="2023-01-30T00:00:00"/>
    <d v="2023-02-03T00:00:00"/>
    <x v="3"/>
    <s v="India"/>
    <s v="Tamil Nadu"/>
    <s v="Delhi"/>
    <x v="1"/>
    <s v="Pen"/>
    <s v="Gaming Laptop"/>
    <s v="Consumer"/>
    <n v="27552"/>
    <n v="0.02"/>
    <n v="17441"/>
    <n v="7"/>
    <s v="Debit Card"/>
    <s v="Medium"/>
    <x v="2"/>
    <x v="0"/>
    <n v="7"/>
    <n v="11"/>
    <n v="0.63302119628339137"/>
  </r>
  <r>
    <n v="10754"/>
    <d v="2023-01-24T00:00:00"/>
    <d v="2023-01-30T00:00:00"/>
    <d v="2023-02-01T00:00:00"/>
    <x v="3"/>
    <s v="India"/>
    <s v="Telangana"/>
    <s v="Bangalore"/>
    <x v="0"/>
    <s v="Printer"/>
    <s v="Spiral Notebook"/>
    <s v="Home Office"/>
    <n v="2646"/>
    <n v="0.14000000000000001"/>
    <n v="1631"/>
    <n v="22"/>
    <s v="Net Banking"/>
    <s v="Medium"/>
    <x v="2"/>
    <x v="0"/>
    <n v="6"/>
    <n v="8"/>
    <n v="0.6164021164021164"/>
  </r>
  <r>
    <n v="10755"/>
    <d v="2023-01-25T00:00:00"/>
    <d v="2023-02-01T00:00:00"/>
    <d v="2023-02-05T00:00:00"/>
    <x v="1"/>
    <s v="India"/>
    <s v="Tamil Nadu"/>
    <s v="Chennai"/>
    <x v="1"/>
    <s v="Printer"/>
    <s v="Laser Printer"/>
    <s v="Home Office"/>
    <n v="13622"/>
    <n v="0.15"/>
    <n v="15680"/>
    <n v="7"/>
    <s v="Credit Card"/>
    <s v="Critical"/>
    <x v="2"/>
    <x v="0"/>
    <n v="7"/>
    <n v="11"/>
    <n v="1.1510791366906474"/>
  </r>
  <r>
    <n v="10756"/>
    <d v="2023-01-26T00:00:00"/>
    <d v="2023-02-02T00:00:00"/>
    <d v="2023-02-04T00:00:00"/>
    <x v="2"/>
    <s v="India"/>
    <s v="Karnataka"/>
    <s v="Chennai"/>
    <x v="0"/>
    <s v="Table"/>
    <s v="Office Chair"/>
    <s v="Home Office"/>
    <n v="70613"/>
    <n v="0.19"/>
    <n v="227"/>
    <n v="14"/>
    <s v="Debit Card"/>
    <s v="Critical"/>
    <x v="2"/>
    <x v="0"/>
    <n v="7"/>
    <n v="9"/>
    <n v="3.2147055074844577E-3"/>
  </r>
  <r>
    <n v="10757"/>
    <d v="2023-01-27T00:00:00"/>
    <d v="2023-01-30T00:00:00"/>
    <d v="2023-02-01T00:00:00"/>
    <x v="2"/>
    <s v="India"/>
    <s v="Telangana"/>
    <s v="Mumbai"/>
    <x v="1"/>
    <s v="Mobile"/>
    <s v="Spiral Notebook"/>
    <s v="Home Office"/>
    <n v="72821"/>
    <n v="0.27"/>
    <n v="-1249"/>
    <n v="10"/>
    <s v="Debit Card"/>
    <s v="Medium"/>
    <x v="2"/>
    <x v="0"/>
    <n v="3"/>
    <n v="5"/>
    <n v="-1.7151645816454043E-2"/>
  </r>
  <r>
    <n v="10758"/>
    <d v="2023-01-28T00:00:00"/>
    <d v="2023-02-04T00:00:00"/>
    <d v="2023-02-06T00:00:00"/>
    <x v="2"/>
    <s v="India"/>
    <s v="Delhi"/>
    <s v="Mumbai"/>
    <x v="0"/>
    <s v="Notebook"/>
    <s v="Smartphone"/>
    <s v="Corporate"/>
    <n v="11306"/>
    <n v="0.3"/>
    <n v="19895"/>
    <n v="17"/>
    <s v="Debit Card"/>
    <s v="Critical"/>
    <x v="2"/>
    <x v="0"/>
    <n v="7"/>
    <n v="9"/>
    <n v="1.7596851229435697"/>
  </r>
  <r>
    <n v="10759"/>
    <d v="2023-01-29T00:00:00"/>
    <d v="2023-01-31T00:00:00"/>
    <d v="2023-02-01T00:00:00"/>
    <x v="0"/>
    <s v="India"/>
    <s v="Karnataka"/>
    <s v="Chennai"/>
    <x v="2"/>
    <s v="Table"/>
    <s v="Office Chair"/>
    <s v="Consumer"/>
    <n v="9548"/>
    <n v="0.15"/>
    <n v="17274"/>
    <n v="10"/>
    <s v="Debit Card"/>
    <s v="High"/>
    <x v="2"/>
    <x v="0"/>
    <n v="2"/>
    <n v="3"/>
    <n v="1.8091746962714705"/>
  </r>
  <r>
    <n v="10760"/>
    <d v="2023-01-30T00:00:00"/>
    <d v="2023-02-05T00:00:00"/>
    <d v="2023-02-07T00:00:00"/>
    <x v="2"/>
    <s v="India"/>
    <s v="Maharashtra"/>
    <s v="Delhi"/>
    <x v="1"/>
    <s v="Chair"/>
    <s v="Spiral Notebook"/>
    <s v="Consumer"/>
    <n v="20347"/>
    <n v="0.25"/>
    <n v="5735"/>
    <n v="8"/>
    <s v="Credit Card"/>
    <s v="High"/>
    <x v="2"/>
    <x v="0"/>
    <n v="6"/>
    <n v="8"/>
    <n v="0.28185973362166411"/>
  </r>
  <r>
    <n v="10761"/>
    <d v="2023-01-31T00:00:00"/>
    <d v="2023-02-05T00:00:00"/>
    <d v="2023-02-09T00:00:00"/>
    <x v="3"/>
    <s v="India"/>
    <s v="Maharashtra"/>
    <s v="Delhi"/>
    <x v="2"/>
    <s v="Printer"/>
    <s v="Gaming Laptop"/>
    <s v="Corporate"/>
    <n v="61085"/>
    <n v="0.19"/>
    <n v="6366"/>
    <n v="13"/>
    <s v="Cash"/>
    <s v="Low"/>
    <x v="2"/>
    <x v="0"/>
    <n v="5"/>
    <n v="9"/>
    <n v="0.10421543750511582"/>
  </r>
  <r>
    <n v="10762"/>
    <d v="2023-02-01T00:00:00"/>
    <d v="2023-02-08T00:00:00"/>
    <d v="2023-02-12T00:00:00"/>
    <x v="3"/>
    <s v="India"/>
    <s v="Maharashtra"/>
    <s v="Hyderabad"/>
    <x v="0"/>
    <s v="Pen"/>
    <s v="Office Chair"/>
    <s v="Consumer"/>
    <n v="49437"/>
    <n v="0"/>
    <n v="14940"/>
    <n v="8"/>
    <s v="UPI"/>
    <s v="Critical"/>
    <x v="2"/>
    <x v="1"/>
    <n v="7"/>
    <n v="11"/>
    <n v="0.30220280356817769"/>
  </r>
  <r>
    <n v="10763"/>
    <d v="2023-02-02T00:00:00"/>
    <d v="2023-02-06T00:00:00"/>
    <d v="2023-02-08T00:00:00"/>
    <x v="3"/>
    <s v="India"/>
    <s v="Telangana"/>
    <s v="Hyderabad"/>
    <x v="0"/>
    <s v="Printer"/>
    <s v="Smartphone"/>
    <s v="Home Office"/>
    <n v="30127"/>
    <n v="0.35"/>
    <n v="18960"/>
    <n v="23"/>
    <s v="UPI"/>
    <s v="Low"/>
    <x v="2"/>
    <x v="1"/>
    <n v="4"/>
    <n v="6"/>
    <n v="0.62933581173034159"/>
  </r>
  <r>
    <n v="10764"/>
    <d v="2023-02-03T00:00:00"/>
    <d v="2023-02-08T00:00:00"/>
    <d v="2023-02-12T00:00:00"/>
    <x v="1"/>
    <s v="India"/>
    <s v="Tamil Nadu"/>
    <s v="Hyderabad"/>
    <x v="2"/>
    <s v="Mobile"/>
    <s v="Laser Printer"/>
    <s v="Home Office"/>
    <n v="13711"/>
    <n v="0.23"/>
    <n v="12045"/>
    <n v="3"/>
    <s v="Debit Card"/>
    <s v="High"/>
    <x v="2"/>
    <x v="1"/>
    <n v="5"/>
    <n v="9"/>
    <n v="0.87849172197505654"/>
  </r>
  <r>
    <n v="10765"/>
    <d v="2023-02-04T00:00:00"/>
    <d v="2023-02-08T00:00:00"/>
    <d v="2023-02-09T00:00:00"/>
    <x v="2"/>
    <s v="India"/>
    <s v="Maharashtra"/>
    <s v="Mumbai"/>
    <x v="0"/>
    <s v="Printer"/>
    <s v="Spiral Notebook"/>
    <s v="Consumer"/>
    <n v="32458"/>
    <n v="0.17"/>
    <n v="14807"/>
    <n v="24"/>
    <s v="Debit Card"/>
    <s v="High"/>
    <x v="2"/>
    <x v="1"/>
    <n v="4"/>
    <n v="5"/>
    <n v="0.45618953724813605"/>
  </r>
  <r>
    <n v="10766"/>
    <d v="2023-02-05T00:00:00"/>
    <d v="2023-02-11T00:00:00"/>
    <d v="2023-02-14T00:00:00"/>
    <x v="3"/>
    <s v="India"/>
    <s v="Karnataka"/>
    <s v="Kochi"/>
    <x v="2"/>
    <s v="Chair"/>
    <s v="Gaming Laptop"/>
    <s v="Consumer"/>
    <n v="50227"/>
    <n v="0.18"/>
    <n v="8372"/>
    <n v="11"/>
    <s v="Credit Card"/>
    <s v="Low"/>
    <x v="2"/>
    <x v="1"/>
    <n v="6"/>
    <n v="9"/>
    <n v="0.16668325800864078"/>
  </r>
  <r>
    <n v="10767"/>
    <d v="2023-02-06T00:00:00"/>
    <d v="2023-02-08T00:00:00"/>
    <d v="2023-02-12T00:00:00"/>
    <x v="2"/>
    <s v="India"/>
    <s v="Karnataka"/>
    <s v="Kochi"/>
    <x v="0"/>
    <s v="Printer"/>
    <s v="Gel Pen"/>
    <s v="Consumer"/>
    <n v="4208"/>
    <n v="0.18"/>
    <n v="17654"/>
    <n v="21"/>
    <s v="Cash"/>
    <s v="Low"/>
    <x v="2"/>
    <x v="1"/>
    <n v="2"/>
    <n v="6"/>
    <n v="4.1953422053231941"/>
  </r>
  <r>
    <n v="10768"/>
    <d v="2023-02-07T00:00:00"/>
    <d v="2023-02-13T00:00:00"/>
    <d v="2023-02-16T00:00:00"/>
    <x v="0"/>
    <s v="India"/>
    <s v="Delhi"/>
    <s v="Bangalore"/>
    <x v="1"/>
    <s v="Notebook"/>
    <s v="Gel Pen"/>
    <s v="Corporate"/>
    <n v="52609"/>
    <n v="0.22"/>
    <n v="-1366"/>
    <n v="24"/>
    <s v="Cash"/>
    <s v="Critical"/>
    <x v="2"/>
    <x v="1"/>
    <n v="6"/>
    <n v="9"/>
    <n v="-2.5965139044650153E-2"/>
  </r>
  <r>
    <n v="10769"/>
    <d v="2023-02-08T00:00:00"/>
    <d v="2023-02-15T00:00:00"/>
    <d v="2023-02-20T00:00:00"/>
    <x v="3"/>
    <s v="India"/>
    <s v="Tamil Nadu"/>
    <s v="Bangalore"/>
    <x v="0"/>
    <s v="Laptop"/>
    <s v="Gaming Laptop"/>
    <s v="Home Office"/>
    <n v="30027"/>
    <n v="0.1"/>
    <n v="17302"/>
    <n v="23"/>
    <s v="Net Banking"/>
    <s v="Low"/>
    <x v="2"/>
    <x v="1"/>
    <n v="7"/>
    <n v="12"/>
    <n v="0.5762147400672728"/>
  </r>
  <r>
    <n v="10770"/>
    <d v="2023-02-09T00:00:00"/>
    <d v="2023-02-13T00:00:00"/>
    <d v="2023-02-15T00:00:00"/>
    <x v="2"/>
    <s v="India"/>
    <s v="Telangana"/>
    <s v="Chennai"/>
    <x v="2"/>
    <s v="Laptop"/>
    <s v="Gel Pen"/>
    <s v="Corporate"/>
    <n v="38937"/>
    <n v="0.25"/>
    <n v="7185"/>
    <n v="5"/>
    <s v="Debit Card"/>
    <s v="Low"/>
    <x v="2"/>
    <x v="1"/>
    <n v="4"/>
    <n v="6"/>
    <n v="0.18452885430310501"/>
  </r>
  <r>
    <n v="10771"/>
    <d v="2023-02-10T00:00:00"/>
    <d v="2023-02-13T00:00:00"/>
    <d v="2023-02-17T00:00:00"/>
    <x v="1"/>
    <s v="India"/>
    <s v="Tamil Nadu"/>
    <s v="Chennai"/>
    <x v="2"/>
    <s v="Notebook"/>
    <s v="Gaming Laptop"/>
    <s v="Corporate"/>
    <n v="17447"/>
    <n v="0.3"/>
    <n v="-51"/>
    <n v="24"/>
    <s v="Net Banking"/>
    <s v="Low"/>
    <x v="2"/>
    <x v="1"/>
    <n v="3"/>
    <n v="7"/>
    <n v="-2.9231386484782486E-3"/>
  </r>
  <r>
    <n v="10772"/>
    <d v="2023-02-11T00:00:00"/>
    <d v="2023-02-13T00:00:00"/>
    <d v="2023-02-17T00:00:00"/>
    <x v="0"/>
    <s v="India"/>
    <s v="Kerala"/>
    <s v="Mumbai"/>
    <x v="2"/>
    <s v="Pen"/>
    <s v="Laser Printer"/>
    <s v="Corporate"/>
    <n v="71815"/>
    <n v="0.13"/>
    <n v="91"/>
    <n v="18"/>
    <s v="Cash"/>
    <s v="Critical"/>
    <x v="2"/>
    <x v="1"/>
    <n v="2"/>
    <n v="6"/>
    <n v="1.2671447469191674E-3"/>
  </r>
  <r>
    <n v="10773"/>
    <d v="2023-02-12T00:00:00"/>
    <d v="2023-02-15T00:00:00"/>
    <d v="2023-02-19T00:00:00"/>
    <x v="1"/>
    <s v="India"/>
    <s v="Maharashtra"/>
    <s v="Kochi"/>
    <x v="2"/>
    <s v="Printer"/>
    <s v="Gel Pen"/>
    <s v="Consumer"/>
    <n v="65421"/>
    <n v="0.1"/>
    <n v="19950"/>
    <n v="15"/>
    <s v="Debit Card"/>
    <s v="Critical"/>
    <x v="2"/>
    <x v="1"/>
    <n v="3"/>
    <n v="7"/>
    <n v="0.30494795249231899"/>
  </r>
  <r>
    <n v="10774"/>
    <d v="2023-02-13T00:00:00"/>
    <d v="2023-02-20T00:00:00"/>
    <d v="2023-02-22T00:00:00"/>
    <x v="3"/>
    <s v="India"/>
    <s v="Kerala"/>
    <s v="Bangalore"/>
    <x v="1"/>
    <s v="Notebook"/>
    <s v="Laser Printer"/>
    <s v="Home Office"/>
    <n v="21797"/>
    <n v="0.24"/>
    <n v="15034"/>
    <n v="23"/>
    <s v="UPI"/>
    <s v="Medium"/>
    <x v="2"/>
    <x v="1"/>
    <n v="7"/>
    <n v="9"/>
    <n v="0.68972794421250627"/>
  </r>
  <r>
    <n v="10775"/>
    <d v="2023-02-14T00:00:00"/>
    <d v="2023-02-20T00:00:00"/>
    <d v="2023-02-23T00:00:00"/>
    <x v="0"/>
    <s v="India"/>
    <s v="Telangana"/>
    <s v="Chennai"/>
    <x v="0"/>
    <s v="Chair"/>
    <s v="Office Chair"/>
    <s v="Corporate"/>
    <n v="1681"/>
    <n v="0.34"/>
    <n v="-924"/>
    <n v="18"/>
    <s v="Net Banking"/>
    <s v="High"/>
    <x v="2"/>
    <x v="1"/>
    <n v="6"/>
    <n v="9"/>
    <n v="-0.54967281380130872"/>
  </r>
  <r>
    <n v="10776"/>
    <d v="2023-02-15T00:00:00"/>
    <d v="2023-02-18T00:00:00"/>
    <d v="2023-02-20T00:00:00"/>
    <x v="3"/>
    <s v="India"/>
    <s v="Tamil Nadu"/>
    <s v="Hyderabad"/>
    <x v="0"/>
    <s v="Notebook"/>
    <s v="Laser Printer"/>
    <s v="Consumer"/>
    <n v="72391"/>
    <n v="0.14000000000000001"/>
    <n v="2601"/>
    <n v="20"/>
    <s v="Net Banking"/>
    <s v="Low"/>
    <x v="2"/>
    <x v="1"/>
    <n v="3"/>
    <n v="5"/>
    <n v="3.592988078628559E-2"/>
  </r>
  <r>
    <n v="10777"/>
    <d v="2023-02-16T00:00:00"/>
    <d v="2023-02-23T00:00:00"/>
    <d v="2023-02-28T00:00:00"/>
    <x v="3"/>
    <s v="India"/>
    <s v="Karnataka"/>
    <s v="Chennai"/>
    <x v="2"/>
    <s v="Laptop"/>
    <s v="Laser Printer"/>
    <s v="Home Office"/>
    <n v="60101"/>
    <n v="0.39"/>
    <n v="7245"/>
    <n v="7"/>
    <s v="Cash"/>
    <s v="High"/>
    <x v="2"/>
    <x v="1"/>
    <n v="7"/>
    <n v="12"/>
    <n v="0.1205470790835427"/>
  </r>
  <r>
    <n v="10778"/>
    <d v="2023-02-17T00:00:00"/>
    <d v="2023-02-21T00:00:00"/>
    <d v="2023-02-24T00:00:00"/>
    <x v="3"/>
    <s v="India"/>
    <s v="Karnataka"/>
    <s v="Mumbai"/>
    <x v="1"/>
    <s v="Notebook"/>
    <s v="Gaming Laptop"/>
    <s v="Home Office"/>
    <n v="14641"/>
    <n v="0.23"/>
    <n v="14555"/>
    <n v="21"/>
    <s v="Debit Card"/>
    <s v="High"/>
    <x v="2"/>
    <x v="1"/>
    <n v="4"/>
    <n v="7"/>
    <n v="0.9941260842838604"/>
  </r>
  <r>
    <n v="10779"/>
    <d v="2023-02-18T00:00:00"/>
    <d v="2023-02-25T00:00:00"/>
    <d v="2023-02-28T00:00:00"/>
    <x v="0"/>
    <s v="India"/>
    <s v="Delhi"/>
    <s v="Delhi"/>
    <x v="2"/>
    <s v="Mobile"/>
    <s v="Smartphone"/>
    <s v="Corporate"/>
    <n v="51361"/>
    <n v="0.11"/>
    <n v="18498"/>
    <n v="4"/>
    <s v="UPI"/>
    <s v="Low"/>
    <x v="2"/>
    <x v="1"/>
    <n v="7"/>
    <n v="10"/>
    <n v="0.36015653900819689"/>
  </r>
  <r>
    <n v="10780"/>
    <d v="2023-02-19T00:00:00"/>
    <d v="2023-02-21T00:00:00"/>
    <d v="2023-02-24T00:00:00"/>
    <x v="2"/>
    <s v="India"/>
    <s v="Tamil Nadu"/>
    <s v="Kochi"/>
    <x v="2"/>
    <s v="Pen"/>
    <s v="Office Chair"/>
    <s v="Corporate"/>
    <n v="61944"/>
    <n v="0.13"/>
    <n v="13538"/>
    <n v="24"/>
    <s v="Credit Card"/>
    <s v="Critical"/>
    <x v="2"/>
    <x v="1"/>
    <n v="2"/>
    <n v="5"/>
    <n v="0.2185522407335658"/>
  </r>
  <r>
    <n v="10781"/>
    <d v="2023-02-20T00:00:00"/>
    <d v="2023-02-26T00:00:00"/>
    <d v="2023-02-27T00:00:00"/>
    <x v="2"/>
    <s v="India"/>
    <s v="Karnataka"/>
    <s v="Delhi"/>
    <x v="2"/>
    <s v="Pen"/>
    <s v="Office Chair"/>
    <s v="Home Office"/>
    <n v="69383"/>
    <n v="0.2"/>
    <n v="-344"/>
    <n v="23"/>
    <s v="UPI"/>
    <s v="Medium"/>
    <x v="2"/>
    <x v="1"/>
    <n v="6"/>
    <n v="7"/>
    <n v="-4.9579868267443034E-3"/>
  </r>
  <r>
    <n v="10782"/>
    <d v="2023-02-21T00:00:00"/>
    <d v="2023-02-23T00:00:00"/>
    <d v="2023-02-27T00:00:00"/>
    <x v="1"/>
    <s v="India"/>
    <s v="Delhi"/>
    <s v="Chennai"/>
    <x v="1"/>
    <s v="Notebook"/>
    <s v="Smartphone"/>
    <s v="Corporate"/>
    <n v="62948"/>
    <n v="0.16"/>
    <n v="8519"/>
    <n v="5"/>
    <s v="Cash"/>
    <s v="Critical"/>
    <x v="2"/>
    <x v="1"/>
    <n v="2"/>
    <n v="6"/>
    <n v="0.13533392641545403"/>
  </r>
  <r>
    <n v="10783"/>
    <d v="2023-02-22T00:00:00"/>
    <d v="2023-02-27T00:00:00"/>
    <d v="2023-03-04T00:00:00"/>
    <x v="2"/>
    <s v="India"/>
    <s v="Maharashtra"/>
    <s v="Chennai"/>
    <x v="1"/>
    <s v="Laptop"/>
    <s v="Laser Printer"/>
    <s v="Home Office"/>
    <n v="15772"/>
    <n v="0.22"/>
    <n v="12860"/>
    <n v="15"/>
    <s v="Credit Card"/>
    <s v="High"/>
    <x v="2"/>
    <x v="1"/>
    <n v="5"/>
    <n v="10"/>
    <n v="0.81536900836926196"/>
  </r>
  <r>
    <n v="10784"/>
    <d v="2023-02-23T00:00:00"/>
    <d v="2023-03-01T00:00:00"/>
    <d v="2023-03-02T00:00:00"/>
    <x v="1"/>
    <s v="India"/>
    <s v="Kerala"/>
    <s v="Delhi"/>
    <x v="2"/>
    <s v="Pen"/>
    <s v="Dining Table"/>
    <s v="Corporate"/>
    <n v="19637"/>
    <n v="0.01"/>
    <n v="269"/>
    <n v="23"/>
    <s v="UPI"/>
    <s v="Medium"/>
    <x v="2"/>
    <x v="1"/>
    <n v="6"/>
    <n v="7"/>
    <n v="1.3698630136986301E-2"/>
  </r>
  <r>
    <n v="10785"/>
    <d v="2023-02-24T00:00:00"/>
    <d v="2023-02-26T00:00:00"/>
    <d v="2023-03-03T00:00:00"/>
    <x v="2"/>
    <s v="India"/>
    <s v="Maharashtra"/>
    <s v="Chennai"/>
    <x v="2"/>
    <s v="Printer"/>
    <s v="Laser Printer"/>
    <s v="Corporate"/>
    <n v="9417"/>
    <n v="0.35"/>
    <n v="1612"/>
    <n v="15"/>
    <s v="Net Banking"/>
    <s v="Medium"/>
    <x v="2"/>
    <x v="1"/>
    <n v="2"/>
    <n v="7"/>
    <n v="0.17117978124668154"/>
  </r>
  <r>
    <n v="10786"/>
    <d v="2023-02-25T00:00:00"/>
    <d v="2023-03-04T00:00:00"/>
    <d v="2023-03-07T00:00:00"/>
    <x v="2"/>
    <s v="India"/>
    <s v="Kerala"/>
    <s v="Bangalore"/>
    <x v="0"/>
    <s v="Laptop"/>
    <s v="Gel Pen"/>
    <s v="Home Office"/>
    <n v="42377"/>
    <n v="0.33"/>
    <n v="1228"/>
    <n v="14"/>
    <s v="Cash"/>
    <s v="Critical"/>
    <x v="2"/>
    <x v="1"/>
    <n v="7"/>
    <n v="10"/>
    <n v="2.8977983340019352E-2"/>
  </r>
  <r>
    <n v="10787"/>
    <d v="2023-02-26T00:00:00"/>
    <d v="2023-03-04T00:00:00"/>
    <d v="2023-03-08T00:00:00"/>
    <x v="0"/>
    <s v="India"/>
    <s v="Telangana"/>
    <s v="Mumbai"/>
    <x v="1"/>
    <s v="Table"/>
    <s v="Laser Printer"/>
    <s v="Consumer"/>
    <n v="58700"/>
    <n v="0.24"/>
    <n v="10349"/>
    <n v="17"/>
    <s v="Debit Card"/>
    <s v="Critical"/>
    <x v="2"/>
    <x v="1"/>
    <n v="6"/>
    <n v="10"/>
    <n v="0.17630323679727428"/>
  </r>
  <r>
    <n v="10788"/>
    <d v="2023-02-27T00:00:00"/>
    <d v="2023-03-04T00:00:00"/>
    <d v="2023-03-08T00:00:00"/>
    <x v="2"/>
    <s v="India"/>
    <s v="Telangana"/>
    <s v="Mumbai"/>
    <x v="0"/>
    <s v="Printer"/>
    <s v="Laser Printer"/>
    <s v="Consumer"/>
    <n v="45941"/>
    <n v="0.14000000000000001"/>
    <n v="18244"/>
    <n v="12"/>
    <s v="Debit Card"/>
    <s v="Critical"/>
    <x v="2"/>
    <x v="1"/>
    <n v="5"/>
    <n v="9"/>
    <n v="0.39711804270695023"/>
  </r>
  <r>
    <n v="10789"/>
    <d v="2023-02-28T00:00:00"/>
    <d v="2023-03-06T00:00:00"/>
    <d v="2023-03-11T00:00:00"/>
    <x v="3"/>
    <s v="India"/>
    <s v="Karnataka"/>
    <s v="Mumbai"/>
    <x v="2"/>
    <s v="Printer"/>
    <s v="Smartphone"/>
    <s v="Home Office"/>
    <n v="7522"/>
    <n v="0.39"/>
    <n v="10701"/>
    <n v="13"/>
    <s v="Net Banking"/>
    <s v="Medium"/>
    <x v="2"/>
    <x v="1"/>
    <n v="6"/>
    <n v="11"/>
    <n v="1.4226269609146505"/>
  </r>
  <r>
    <n v="10790"/>
    <d v="2023-03-01T00:00:00"/>
    <d v="2023-03-07T00:00:00"/>
    <d v="2023-03-08T00:00:00"/>
    <x v="0"/>
    <s v="India"/>
    <s v="Delhi"/>
    <s v="Chennai"/>
    <x v="2"/>
    <s v="Table"/>
    <s v="Laser Printer"/>
    <s v="Consumer"/>
    <n v="70896"/>
    <n v="0.35"/>
    <n v="13553"/>
    <n v="14"/>
    <s v="Credit Card"/>
    <s v="High"/>
    <x v="2"/>
    <x v="2"/>
    <n v="6"/>
    <n v="7"/>
    <n v="0.19116734371473709"/>
  </r>
  <r>
    <n v="10791"/>
    <d v="2023-03-02T00:00:00"/>
    <d v="2023-03-09T00:00:00"/>
    <d v="2023-03-11T00:00:00"/>
    <x v="3"/>
    <s v="India"/>
    <s v="Maharashtra"/>
    <s v="Chennai"/>
    <x v="0"/>
    <s v="Mobile"/>
    <s v="Smartphone"/>
    <s v="Corporate"/>
    <n v="10841"/>
    <n v="0.26"/>
    <n v="10757"/>
    <n v="14"/>
    <s v="Cash"/>
    <s v="High"/>
    <x v="2"/>
    <x v="2"/>
    <n v="7"/>
    <n v="9"/>
    <n v="0.99225163730283183"/>
  </r>
  <r>
    <n v="10792"/>
    <d v="2023-03-03T00:00:00"/>
    <d v="2023-03-07T00:00:00"/>
    <d v="2023-03-09T00:00:00"/>
    <x v="0"/>
    <s v="India"/>
    <s v="Telangana"/>
    <s v="Bangalore"/>
    <x v="2"/>
    <s v="Printer"/>
    <s v="Dining Table"/>
    <s v="Corporate"/>
    <n v="69928"/>
    <n v="0.2"/>
    <n v="3481"/>
    <n v="2"/>
    <s v="Debit Card"/>
    <s v="High"/>
    <x v="2"/>
    <x v="2"/>
    <n v="4"/>
    <n v="6"/>
    <n v="4.9779773481295045E-2"/>
  </r>
  <r>
    <n v="10793"/>
    <d v="2023-03-04T00:00:00"/>
    <d v="2023-03-06T00:00:00"/>
    <d v="2023-03-09T00:00:00"/>
    <x v="3"/>
    <s v="India"/>
    <s v="Maharashtra"/>
    <s v="Mumbai"/>
    <x v="2"/>
    <s v="Mobile"/>
    <s v="Dining Table"/>
    <s v="Home Office"/>
    <n v="70702"/>
    <n v="0.12"/>
    <n v="-406"/>
    <n v="9"/>
    <s v="Credit Card"/>
    <s v="Critical"/>
    <x v="2"/>
    <x v="2"/>
    <n v="2"/>
    <n v="5"/>
    <n v="-5.742411812961444E-3"/>
  </r>
  <r>
    <n v="10794"/>
    <d v="2023-03-05T00:00:00"/>
    <d v="2023-03-07T00:00:00"/>
    <d v="2023-03-12T00:00:00"/>
    <x v="2"/>
    <s v="India"/>
    <s v="Karnataka"/>
    <s v="Kochi"/>
    <x v="1"/>
    <s v="Laptop"/>
    <s v="Spiral Notebook"/>
    <s v="Consumer"/>
    <n v="30981"/>
    <n v="7.0000000000000007E-2"/>
    <n v="16130"/>
    <n v="18"/>
    <s v="UPI"/>
    <s v="Critical"/>
    <x v="2"/>
    <x v="2"/>
    <n v="2"/>
    <n v="7"/>
    <n v="0.52064168361253671"/>
  </r>
  <r>
    <n v="10795"/>
    <d v="2023-03-06T00:00:00"/>
    <d v="2023-03-12T00:00:00"/>
    <d v="2023-03-16T00:00:00"/>
    <x v="2"/>
    <s v="India"/>
    <s v="Delhi"/>
    <s v="Delhi"/>
    <x v="2"/>
    <s v="Table"/>
    <s v="Dining Table"/>
    <s v="Consumer"/>
    <n v="26200"/>
    <n v="0.11"/>
    <n v="1952"/>
    <n v="6"/>
    <s v="Debit Card"/>
    <s v="Low"/>
    <x v="2"/>
    <x v="2"/>
    <n v="6"/>
    <n v="10"/>
    <n v="7.4503816793893132E-2"/>
  </r>
  <r>
    <n v="10796"/>
    <d v="2023-03-07T00:00:00"/>
    <d v="2023-03-10T00:00:00"/>
    <d v="2023-03-14T00:00:00"/>
    <x v="1"/>
    <s v="India"/>
    <s v="Kerala"/>
    <s v="Delhi"/>
    <x v="1"/>
    <s v="Chair"/>
    <s v="Dining Table"/>
    <s v="Corporate"/>
    <n v="19152"/>
    <n v="0.01"/>
    <n v="12472"/>
    <n v="6"/>
    <s v="Net Banking"/>
    <s v="Low"/>
    <x v="2"/>
    <x v="2"/>
    <n v="3"/>
    <n v="7"/>
    <n v="0.65121136173767757"/>
  </r>
  <r>
    <n v="10797"/>
    <d v="2023-03-08T00:00:00"/>
    <d v="2023-03-15T00:00:00"/>
    <d v="2023-03-18T00:00:00"/>
    <x v="0"/>
    <s v="India"/>
    <s v="Delhi"/>
    <s v="Mumbai"/>
    <x v="1"/>
    <s v="Pen"/>
    <s v="Laser Printer"/>
    <s v="Corporate"/>
    <n v="7604"/>
    <n v="0.38"/>
    <n v="222"/>
    <n v="6"/>
    <s v="UPI"/>
    <s v="Medium"/>
    <x v="2"/>
    <x v="2"/>
    <n v="7"/>
    <n v="10"/>
    <n v="2.9195160441872699E-2"/>
  </r>
  <r>
    <n v="10798"/>
    <d v="2023-03-09T00:00:00"/>
    <d v="2023-03-13T00:00:00"/>
    <d v="2023-03-18T00:00:00"/>
    <x v="3"/>
    <s v="India"/>
    <s v="Tamil Nadu"/>
    <s v="Delhi"/>
    <x v="2"/>
    <s v="Notebook"/>
    <s v="Spiral Notebook"/>
    <s v="Corporate"/>
    <n v="70546"/>
    <n v="0.3"/>
    <n v="3256"/>
    <n v="3"/>
    <s v="UPI"/>
    <s v="High"/>
    <x v="2"/>
    <x v="2"/>
    <n v="4"/>
    <n v="9"/>
    <n v="4.6154282312250161E-2"/>
  </r>
  <r>
    <n v="10799"/>
    <d v="2023-03-10T00:00:00"/>
    <d v="2023-03-17T00:00:00"/>
    <d v="2023-03-19T00:00:00"/>
    <x v="1"/>
    <s v="India"/>
    <s v="Telangana"/>
    <s v="Mumbai"/>
    <x v="0"/>
    <s v="Chair"/>
    <s v="Dining Table"/>
    <s v="Corporate"/>
    <n v="51458"/>
    <n v="0.14000000000000001"/>
    <n v="11097"/>
    <n v="7"/>
    <s v="Credit Card"/>
    <s v="Low"/>
    <x v="2"/>
    <x v="2"/>
    <n v="7"/>
    <n v="9"/>
    <n v="0.21565159936258696"/>
  </r>
  <r>
    <n v="10800"/>
    <d v="2023-03-11T00:00:00"/>
    <d v="2023-03-14T00:00:00"/>
    <d v="2023-03-19T00:00:00"/>
    <x v="3"/>
    <s v="India"/>
    <s v="Telangana"/>
    <s v="Mumbai"/>
    <x v="0"/>
    <s v="Pen"/>
    <s v="Gel Pen"/>
    <s v="Home Office"/>
    <n v="12028"/>
    <n v="0.17"/>
    <n v="3798"/>
    <n v="15"/>
    <s v="Cash"/>
    <s v="Low"/>
    <x v="2"/>
    <x v="2"/>
    <n v="3"/>
    <n v="8"/>
    <n v="0.31576321915530431"/>
  </r>
  <r>
    <n v="10801"/>
    <d v="2023-03-12T00:00:00"/>
    <d v="2023-03-14T00:00:00"/>
    <d v="2023-03-17T00:00:00"/>
    <x v="1"/>
    <s v="India"/>
    <s v="Maharashtra"/>
    <s v="Hyderabad"/>
    <x v="0"/>
    <s v="Chair"/>
    <s v="Spiral Notebook"/>
    <s v="Corporate"/>
    <n v="65227"/>
    <n v="0.33"/>
    <n v="4056"/>
    <n v="19"/>
    <s v="UPI"/>
    <s v="Medium"/>
    <x v="2"/>
    <x v="2"/>
    <n v="2"/>
    <n v="5"/>
    <n v="6.2182838395143117E-2"/>
  </r>
  <r>
    <n v="10802"/>
    <d v="2023-03-13T00:00:00"/>
    <d v="2023-03-16T00:00:00"/>
    <d v="2023-03-18T00:00:00"/>
    <x v="1"/>
    <s v="India"/>
    <s v="Karnataka"/>
    <s v="Kochi"/>
    <x v="2"/>
    <s v="Table"/>
    <s v="Spiral Notebook"/>
    <s v="Consumer"/>
    <n v="21710"/>
    <n v="7.0000000000000007E-2"/>
    <n v="1572"/>
    <n v="11"/>
    <s v="Cash"/>
    <s v="Medium"/>
    <x v="2"/>
    <x v="2"/>
    <n v="3"/>
    <n v="5"/>
    <n v="7.2409028097650846E-2"/>
  </r>
  <r>
    <n v="10803"/>
    <d v="2023-03-14T00:00:00"/>
    <d v="2023-03-17T00:00:00"/>
    <d v="2023-03-20T00:00:00"/>
    <x v="0"/>
    <s v="India"/>
    <s v="Karnataka"/>
    <s v="Mumbai"/>
    <x v="1"/>
    <s v="Chair"/>
    <s v="Smartphone"/>
    <s v="Home Office"/>
    <n v="50993"/>
    <n v="0.22"/>
    <n v="17887"/>
    <n v="18"/>
    <s v="UPI"/>
    <s v="Medium"/>
    <x v="2"/>
    <x v="2"/>
    <n v="3"/>
    <n v="6"/>
    <n v="0.35077363559704272"/>
  </r>
  <r>
    <n v="10804"/>
    <d v="2023-03-15T00:00:00"/>
    <d v="2023-03-17T00:00:00"/>
    <d v="2023-03-21T00:00:00"/>
    <x v="1"/>
    <s v="India"/>
    <s v="Karnataka"/>
    <s v="Delhi"/>
    <x v="1"/>
    <s v="Notebook"/>
    <s v="Spiral Notebook"/>
    <s v="Consumer"/>
    <n v="43750"/>
    <n v="0.05"/>
    <n v="726"/>
    <n v="1"/>
    <s v="Debit Card"/>
    <s v="Critical"/>
    <x v="2"/>
    <x v="2"/>
    <n v="2"/>
    <n v="6"/>
    <n v="1.6594285714285714E-2"/>
  </r>
  <r>
    <n v="10805"/>
    <d v="2023-03-16T00:00:00"/>
    <d v="2023-03-23T00:00:00"/>
    <d v="2023-03-27T00:00:00"/>
    <x v="2"/>
    <s v="India"/>
    <s v="Tamil Nadu"/>
    <s v="Delhi"/>
    <x v="0"/>
    <s v="Pen"/>
    <s v="Office Chair"/>
    <s v="Corporate"/>
    <n v="36014"/>
    <n v="0.19"/>
    <n v="7558"/>
    <n v="6"/>
    <s v="Credit Card"/>
    <s v="Medium"/>
    <x v="2"/>
    <x v="2"/>
    <n v="7"/>
    <n v="11"/>
    <n v="0.20986283112123064"/>
  </r>
  <r>
    <n v="10806"/>
    <d v="2023-03-17T00:00:00"/>
    <d v="2023-03-20T00:00:00"/>
    <d v="2023-03-23T00:00:00"/>
    <x v="1"/>
    <s v="India"/>
    <s v="Delhi"/>
    <s v="Delhi"/>
    <x v="2"/>
    <s v="Chair"/>
    <s v="Smartphone"/>
    <s v="Home Office"/>
    <n v="74496"/>
    <n v="0.13"/>
    <n v="11703"/>
    <n v="9"/>
    <s v="UPI"/>
    <s v="Medium"/>
    <x v="2"/>
    <x v="2"/>
    <n v="3"/>
    <n v="6"/>
    <n v="0.15709568298969073"/>
  </r>
  <r>
    <n v="10807"/>
    <d v="2023-03-18T00:00:00"/>
    <d v="2023-03-20T00:00:00"/>
    <d v="2023-03-23T00:00:00"/>
    <x v="1"/>
    <s v="India"/>
    <s v="Maharashtra"/>
    <s v="Chennai"/>
    <x v="0"/>
    <s v="Table"/>
    <s v="Smartphone"/>
    <s v="Corporate"/>
    <n v="18524"/>
    <n v="0.28000000000000003"/>
    <n v="13040"/>
    <n v="8"/>
    <s v="Debit Card"/>
    <s v="Medium"/>
    <x v="2"/>
    <x v="2"/>
    <n v="2"/>
    <n v="5"/>
    <n v="0.70395163031742602"/>
  </r>
  <r>
    <n v="10808"/>
    <d v="2023-03-19T00:00:00"/>
    <d v="2023-03-25T00:00:00"/>
    <d v="2023-03-29T00:00:00"/>
    <x v="2"/>
    <s v="India"/>
    <s v="Maharashtra"/>
    <s v="Kochi"/>
    <x v="2"/>
    <s v="Laptop"/>
    <s v="Gaming Laptop"/>
    <s v="Home Office"/>
    <n v="15041"/>
    <n v="0.1"/>
    <n v="16475"/>
    <n v="16"/>
    <s v="Net Banking"/>
    <s v="Critical"/>
    <x v="2"/>
    <x v="2"/>
    <n v="6"/>
    <n v="10"/>
    <n v="1.095339405624626"/>
  </r>
  <r>
    <n v="10809"/>
    <d v="2023-03-20T00:00:00"/>
    <d v="2023-03-23T00:00:00"/>
    <d v="2023-03-24T00:00:00"/>
    <x v="1"/>
    <s v="India"/>
    <s v="Telangana"/>
    <s v="Mumbai"/>
    <x v="1"/>
    <s v="Pen"/>
    <s v="Smartphone"/>
    <s v="Consumer"/>
    <n v="54826"/>
    <n v="0.3"/>
    <n v="12185"/>
    <n v="11"/>
    <s v="Cash"/>
    <s v="Medium"/>
    <x v="2"/>
    <x v="2"/>
    <n v="3"/>
    <n v="4"/>
    <n v="0.2222485681975705"/>
  </r>
  <r>
    <n v="10810"/>
    <d v="2023-03-21T00:00:00"/>
    <d v="2023-03-25T00:00:00"/>
    <d v="2023-03-29T00:00:00"/>
    <x v="1"/>
    <s v="India"/>
    <s v="Tamil Nadu"/>
    <s v="Hyderabad"/>
    <x v="2"/>
    <s v="Pen"/>
    <s v="Dining Table"/>
    <s v="Home Office"/>
    <n v="74391"/>
    <n v="0.09"/>
    <n v="11681"/>
    <n v="11"/>
    <s v="Credit Card"/>
    <s v="Low"/>
    <x v="2"/>
    <x v="2"/>
    <n v="4"/>
    <n v="8"/>
    <n v="0.15702168273043782"/>
  </r>
  <r>
    <n v="10811"/>
    <d v="2023-03-22T00:00:00"/>
    <d v="2023-03-24T00:00:00"/>
    <d v="2023-03-29T00:00:00"/>
    <x v="0"/>
    <s v="India"/>
    <s v="Tamil Nadu"/>
    <s v="Kochi"/>
    <x v="0"/>
    <s v="Pen"/>
    <s v="Smartphone"/>
    <s v="Consumer"/>
    <n v="56555"/>
    <n v="0.26"/>
    <n v="13442"/>
    <n v="10"/>
    <s v="Credit Card"/>
    <s v="Low"/>
    <x v="2"/>
    <x v="2"/>
    <n v="2"/>
    <n v="7"/>
    <n v="0.23768013438245955"/>
  </r>
  <r>
    <n v="10812"/>
    <d v="2023-03-23T00:00:00"/>
    <d v="2023-03-28T00:00:00"/>
    <d v="2023-04-01T00:00:00"/>
    <x v="3"/>
    <s v="India"/>
    <s v="Karnataka"/>
    <s v="Bangalore"/>
    <x v="1"/>
    <s v="Laptop"/>
    <s v="Laser Printer"/>
    <s v="Home Office"/>
    <n v="14578"/>
    <n v="0.28999999999999998"/>
    <n v="-1726"/>
    <n v="17"/>
    <s v="Cash"/>
    <s v="Medium"/>
    <x v="2"/>
    <x v="2"/>
    <n v="5"/>
    <n v="9"/>
    <n v="-0.11839758540266154"/>
  </r>
  <r>
    <n v="10813"/>
    <d v="2023-03-24T00:00:00"/>
    <d v="2023-03-26T00:00:00"/>
    <d v="2023-03-30T00:00:00"/>
    <x v="1"/>
    <s v="India"/>
    <s v="Delhi"/>
    <s v="Kochi"/>
    <x v="1"/>
    <s v="Notebook"/>
    <s v="Smartphone"/>
    <s v="Home Office"/>
    <n v="3283"/>
    <n v="0.28999999999999998"/>
    <n v="5978"/>
    <n v="2"/>
    <s v="Net Banking"/>
    <s v="High"/>
    <x v="2"/>
    <x v="2"/>
    <n v="2"/>
    <n v="6"/>
    <n v="1.8208955223880596"/>
  </r>
  <r>
    <n v="10814"/>
    <d v="2023-03-25T00:00:00"/>
    <d v="2023-03-30T00:00:00"/>
    <d v="2023-04-01T00:00:00"/>
    <x v="3"/>
    <s v="India"/>
    <s v="Tamil Nadu"/>
    <s v="Mumbai"/>
    <x v="1"/>
    <s v="Laptop"/>
    <s v="Dining Table"/>
    <s v="Consumer"/>
    <n v="8715"/>
    <n v="0"/>
    <n v="2076"/>
    <n v="16"/>
    <s v="Credit Card"/>
    <s v="High"/>
    <x v="2"/>
    <x v="2"/>
    <n v="5"/>
    <n v="7"/>
    <n v="0.23820998278829605"/>
  </r>
  <r>
    <n v="10815"/>
    <d v="2023-03-26T00:00:00"/>
    <d v="2023-03-29T00:00:00"/>
    <d v="2023-04-02T00:00:00"/>
    <x v="0"/>
    <s v="India"/>
    <s v="Delhi"/>
    <s v="Hyderabad"/>
    <x v="1"/>
    <s v="Pen"/>
    <s v="Office Chair"/>
    <s v="Corporate"/>
    <n v="25768"/>
    <n v="0.26"/>
    <n v="8506"/>
    <n v="20"/>
    <s v="Credit Card"/>
    <s v="Low"/>
    <x v="2"/>
    <x v="2"/>
    <n v="3"/>
    <n v="7"/>
    <n v="0.33009934802856256"/>
  </r>
  <r>
    <n v="10816"/>
    <d v="2023-03-27T00:00:00"/>
    <d v="2023-03-31T00:00:00"/>
    <d v="2023-04-02T00:00:00"/>
    <x v="0"/>
    <s v="India"/>
    <s v="Maharashtra"/>
    <s v="Chennai"/>
    <x v="1"/>
    <s v="Notebook"/>
    <s v="Dining Table"/>
    <s v="Home Office"/>
    <n v="6060"/>
    <n v="0.06"/>
    <n v="17364"/>
    <n v="20"/>
    <s v="Cash"/>
    <s v="Low"/>
    <x v="2"/>
    <x v="2"/>
    <n v="4"/>
    <n v="6"/>
    <n v="2.8653465346534652"/>
  </r>
  <r>
    <n v="10817"/>
    <d v="2023-03-28T00:00:00"/>
    <d v="2023-04-04T00:00:00"/>
    <d v="2023-04-05T00:00:00"/>
    <x v="2"/>
    <s v="India"/>
    <s v="Maharashtra"/>
    <s v="Bangalore"/>
    <x v="0"/>
    <s v="Chair"/>
    <s v="Smartphone"/>
    <s v="Corporate"/>
    <n v="26493"/>
    <n v="0.13"/>
    <n v="8426"/>
    <n v="9"/>
    <s v="Net Banking"/>
    <s v="Critical"/>
    <x v="2"/>
    <x v="2"/>
    <n v="7"/>
    <n v="8"/>
    <n v="0.31804627637489147"/>
  </r>
  <r>
    <n v="10818"/>
    <d v="2023-03-29T00:00:00"/>
    <d v="2023-04-02T00:00:00"/>
    <d v="2023-04-05T00:00:00"/>
    <x v="1"/>
    <s v="India"/>
    <s v="Maharashtra"/>
    <s v="Hyderabad"/>
    <x v="2"/>
    <s v="Laptop"/>
    <s v="Laser Printer"/>
    <s v="Home Office"/>
    <n v="8963"/>
    <n v="0.23"/>
    <n v="16902"/>
    <n v="2"/>
    <s v="Debit Card"/>
    <s v="Medium"/>
    <x v="2"/>
    <x v="2"/>
    <n v="4"/>
    <n v="7"/>
    <n v="1.8857525382126521"/>
  </r>
  <r>
    <n v="10819"/>
    <d v="2023-03-30T00:00:00"/>
    <d v="2023-04-01T00:00:00"/>
    <d v="2023-04-04T00:00:00"/>
    <x v="0"/>
    <s v="India"/>
    <s v="Kerala"/>
    <s v="Mumbai"/>
    <x v="2"/>
    <s v="Chair"/>
    <s v="Gaming Laptop"/>
    <s v="Consumer"/>
    <n v="74206"/>
    <n v="0.17"/>
    <n v="-1040"/>
    <n v="21"/>
    <s v="Net Banking"/>
    <s v="Low"/>
    <x v="2"/>
    <x v="2"/>
    <n v="2"/>
    <n v="5"/>
    <n v="-1.4015039215157805E-2"/>
  </r>
  <r>
    <n v="10820"/>
    <d v="2023-03-31T00:00:00"/>
    <d v="2023-04-07T00:00:00"/>
    <d v="2023-04-08T00:00:00"/>
    <x v="3"/>
    <s v="India"/>
    <s v="Karnataka"/>
    <s v="Chennai"/>
    <x v="1"/>
    <s v="Table"/>
    <s v="Gaming Laptop"/>
    <s v="Home Office"/>
    <n v="6996"/>
    <n v="0.35"/>
    <n v="4386"/>
    <n v="15"/>
    <s v="UPI"/>
    <s v="Medium"/>
    <x v="2"/>
    <x v="2"/>
    <n v="7"/>
    <n v="8"/>
    <n v="0.62692967409948541"/>
  </r>
  <r>
    <n v="10821"/>
    <d v="2023-04-01T00:00:00"/>
    <d v="2023-04-06T00:00:00"/>
    <d v="2023-04-10T00:00:00"/>
    <x v="1"/>
    <s v="India"/>
    <s v="Tamil Nadu"/>
    <s v="Hyderabad"/>
    <x v="0"/>
    <s v="Pen"/>
    <s v="Smartphone"/>
    <s v="Home Office"/>
    <n v="37092"/>
    <n v="0.03"/>
    <n v="19134"/>
    <n v="7"/>
    <s v="Credit Card"/>
    <s v="Medium"/>
    <x v="2"/>
    <x v="3"/>
    <n v="5"/>
    <n v="9"/>
    <n v="0.51585247492720798"/>
  </r>
  <r>
    <n v="10822"/>
    <d v="2023-04-02T00:00:00"/>
    <d v="2023-04-04T00:00:00"/>
    <d v="2023-04-09T00:00:00"/>
    <x v="0"/>
    <s v="India"/>
    <s v="Karnataka"/>
    <s v="Kochi"/>
    <x v="2"/>
    <s v="Pen"/>
    <s v="Spiral Notebook"/>
    <s v="Corporate"/>
    <n v="73041"/>
    <n v="0.14000000000000001"/>
    <n v="211"/>
    <n v="5"/>
    <s v="Cash"/>
    <s v="Low"/>
    <x v="2"/>
    <x v="3"/>
    <n v="2"/>
    <n v="7"/>
    <n v="2.8887884886570556E-3"/>
  </r>
  <r>
    <n v="10823"/>
    <d v="2023-04-03T00:00:00"/>
    <d v="2023-04-05T00:00:00"/>
    <d v="2023-04-06T00:00:00"/>
    <x v="3"/>
    <s v="India"/>
    <s v="Tamil Nadu"/>
    <s v="Kochi"/>
    <x v="1"/>
    <s v="Notebook"/>
    <s v="Office Chair"/>
    <s v="Home Office"/>
    <n v="74828"/>
    <n v="0.19"/>
    <n v="10657"/>
    <n v="1"/>
    <s v="UPI"/>
    <s v="High"/>
    <x v="2"/>
    <x v="3"/>
    <n v="2"/>
    <n v="3"/>
    <n v="0.14241994975142994"/>
  </r>
  <r>
    <n v="10824"/>
    <d v="2023-04-04T00:00:00"/>
    <d v="2023-04-11T00:00:00"/>
    <d v="2023-04-16T00:00:00"/>
    <x v="0"/>
    <s v="India"/>
    <s v="Kerala"/>
    <s v="Mumbai"/>
    <x v="2"/>
    <s v="Printer"/>
    <s v="Office Chair"/>
    <s v="Home Office"/>
    <n v="55993"/>
    <n v="0.12"/>
    <n v="9645"/>
    <n v="3"/>
    <s v="Net Banking"/>
    <s v="Low"/>
    <x v="2"/>
    <x v="3"/>
    <n v="7"/>
    <n v="12"/>
    <n v="0.17225367456646368"/>
  </r>
  <r>
    <n v="10825"/>
    <d v="2023-04-05T00:00:00"/>
    <d v="2023-04-07T00:00:00"/>
    <d v="2023-04-11T00:00:00"/>
    <x v="3"/>
    <s v="India"/>
    <s v="Kerala"/>
    <s v="Hyderabad"/>
    <x v="1"/>
    <s v="Printer"/>
    <s v="Laser Printer"/>
    <s v="Home Office"/>
    <n v="68537"/>
    <n v="0.37"/>
    <n v="11790"/>
    <n v="14"/>
    <s v="UPI"/>
    <s v="Medium"/>
    <x v="2"/>
    <x v="3"/>
    <n v="2"/>
    <n v="6"/>
    <n v="0.17202387031822228"/>
  </r>
  <r>
    <n v="10826"/>
    <d v="2023-04-06T00:00:00"/>
    <d v="2023-04-09T00:00:00"/>
    <d v="2023-04-14T00:00:00"/>
    <x v="1"/>
    <s v="India"/>
    <s v="Kerala"/>
    <s v="Delhi"/>
    <x v="0"/>
    <s v="Laptop"/>
    <s v="Gaming Laptop"/>
    <s v="Consumer"/>
    <n v="4498"/>
    <n v="0.12"/>
    <n v="-1281"/>
    <n v="16"/>
    <s v="UPI"/>
    <s v="Medium"/>
    <x v="2"/>
    <x v="3"/>
    <n v="3"/>
    <n v="8"/>
    <n v="-0.28479324144064028"/>
  </r>
  <r>
    <n v="10827"/>
    <d v="2023-04-07T00:00:00"/>
    <d v="2023-04-09T00:00:00"/>
    <d v="2023-04-10T00:00:00"/>
    <x v="0"/>
    <s v="India"/>
    <s v="Telangana"/>
    <s v="Mumbai"/>
    <x v="2"/>
    <s v="Mobile"/>
    <s v="Gel Pen"/>
    <s v="Consumer"/>
    <n v="22543"/>
    <n v="0.37"/>
    <n v="16060"/>
    <n v="7"/>
    <s v="Cash"/>
    <s v="Medium"/>
    <x v="2"/>
    <x v="3"/>
    <n v="2"/>
    <n v="3"/>
    <n v="0.71241627112629202"/>
  </r>
  <r>
    <n v="10828"/>
    <d v="2023-04-08T00:00:00"/>
    <d v="2023-04-10T00:00:00"/>
    <d v="2023-04-11T00:00:00"/>
    <x v="1"/>
    <s v="India"/>
    <s v="Delhi"/>
    <s v="Chennai"/>
    <x v="2"/>
    <s v="Mobile"/>
    <s v="Spiral Notebook"/>
    <s v="Corporate"/>
    <n v="7582"/>
    <n v="0.12"/>
    <n v="10511"/>
    <n v="15"/>
    <s v="Net Banking"/>
    <s v="Critical"/>
    <x v="2"/>
    <x v="3"/>
    <n v="2"/>
    <n v="3"/>
    <n v="1.3863096808230018"/>
  </r>
  <r>
    <n v="10829"/>
    <d v="2023-04-09T00:00:00"/>
    <d v="2023-04-16T00:00:00"/>
    <d v="2023-04-17T00:00:00"/>
    <x v="3"/>
    <s v="India"/>
    <s v="Telangana"/>
    <s v="Chennai"/>
    <x v="1"/>
    <s v="Table"/>
    <s v="Laser Printer"/>
    <s v="Consumer"/>
    <n v="17671"/>
    <n v="0.12"/>
    <n v="3177"/>
    <n v="4"/>
    <s v="Debit Card"/>
    <s v="Critical"/>
    <x v="2"/>
    <x v="3"/>
    <n v="7"/>
    <n v="8"/>
    <n v="0.17978609020428951"/>
  </r>
  <r>
    <n v="10830"/>
    <d v="2023-04-10T00:00:00"/>
    <d v="2023-04-17T00:00:00"/>
    <d v="2023-04-19T00:00:00"/>
    <x v="3"/>
    <s v="India"/>
    <s v="Kerala"/>
    <s v="Hyderabad"/>
    <x v="1"/>
    <s v="Chair"/>
    <s v="Laser Printer"/>
    <s v="Consumer"/>
    <n v="49918"/>
    <n v="0.38"/>
    <n v="12424"/>
    <n v="15"/>
    <s v="Net Banking"/>
    <s v="Critical"/>
    <x v="2"/>
    <x v="3"/>
    <n v="7"/>
    <n v="9"/>
    <n v="0.2488881766096398"/>
  </r>
  <r>
    <n v="10831"/>
    <d v="2023-04-11T00:00:00"/>
    <d v="2023-04-13T00:00:00"/>
    <d v="2023-04-15T00:00:00"/>
    <x v="3"/>
    <s v="India"/>
    <s v="Tamil Nadu"/>
    <s v="Delhi"/>
    <x v="0"/>
    <s v="Chair"/>
    <s v="Gel Pen"/>
    <s v="Corporate"/>
    <n v="23139"/>
    <n v="0.37"/>
    <n v="5965"/>
    <n v="2"/>
    <s v="Credit Card"/>
    <s v="Medium"/>
    <x v="2"/>
    <x v="3"/>
    <n v="2"/>
    <n v="4"/>
    <n v="0.2577898785600069"/>
  </r>
  <r>
    <n v="10832"/>
    <d v="2023-04-12T00:00:00"/>
    <d v="2023-04-15T00:00:00"/>
    <d v="2023-04-18T00:00:00"/>
    <x v="0"/>
    <s v="India"/>
    <s v="Kerala"/>
    <s v="Mumbai"/>
    <x v="1"/>
    <s v="Printer"/>
    <s v="Laser Printer"/>
    <s v="Home Office"/>
    <n v="33749"/>
    <n v="0.15"/>
    <n v="3294"/>
    <n v="11"/>
    <s v="Credit Card"/>
    <s v="Low"/>
    <x v="2"/>
    <x v="3"/>
    <n v="3"/>
    <n v="6"/>
    <n v="9.7602891937538891E-2"/>
  </r>
  <r>
    <n v="10833"/>
    <d v="2023-04-13T00:00:00"/>
    <d v="2023-04-16T00:00:00"/>
    <d v="2023-04-19T00:00:00"/>
    <x v="2"/>
    <s v="India"/>
    <s v="Delhi"/>
    <s v="Mumbai"/>
    <x v="2"/>
    <s v="Chair"/>
    <s v="Laser Printer"/>
    <s v="Consumer"/>
    <n v="59306"/>
    <n v="0.09"/>
    <n v="18877"/>
    <n v="20"/>
    <s v="UPI"/>
    <s v="High"/>
    <x v="2"/>
    <x v="3"/>
    <n v="3"/>
    <n v="6"/>
    <n v="0.31829831720230667"/>
  </r>
  <r>
    <n v="10834"/>
    <d v="2023-04-14T00:00:00"/>
    <d v="2023-04-18T00:00:00"/>
    <d v="2023-04-22T00:00:00"/>
    <x v="3"/>
    <s v="India"/>
    <s v="Telangana"/>
    <s v="Kochi"/>
    <x v="2"/>
    <s v="Notebook"/>
    <s v="Office Chair"/>
    <s v="Consumer"/>
    <n v="73030"/>
    <n v="0.15"/>
    <n v="-316"/>
    <n v="18"/>
    <s v="Cash"/>
    <s v="High"/>
    <x v="2"/>
    <x v="3"/>
    <n v="4"/>
    <n v="8"/>
    <n v="-4.326988908667671E-3"/>
  </r>
  <r>
    <n v="10835"/>
    <d v="2023-04-15T00:00:00"/>
    <d v="2023-04-17T00:00:00"/>
    <d v="2023-04-21T00:00:00"/>
    <x v="0"/>
    <s v="India"/>
    <s v="Delhi"/>
    <s v="Mumbai"/>
    <x v="1"/>
    <s v="Pen"/>
    <s v="Gaming Laptop"/>
    <s v="Home Office"/>
    <n v="2425"/>
    <n v="0.16"/>
    <n v="7528"/>
    <n v="12"/>
    <s v="Cash"/>
    <s v="High"/>
    <x v="2"/>
    <x v="3"/>
    <n v="2"/>
    <n v="6"/>
    <n v="3.1043298969072164"/>
  </r>
  <r>
    <n v="10836"/>
    <d v="2023-04-16T00:00:00"/>
    <d v="2023-04-19T00:00:00"/>
    <d v="2023-04-23T00:00:00"/>
    <x v="3"/>
    <s v="India"/>
    <s v="Kerala"/>
    <s v="Mumbai"/>
    <x v="1"/>
    <s v="Printer"/>
    <s v="Smartphone"/>
    <s v="Corporate"/>
    <n v="6109"/>
    <n v="0.36"/>
    <n v="589"/>
    <n v="5"/>
    <s v="Cash"/>
    <s v="Low"/>
    <x v="2"/>
    <x v="3"/>
    <n v="3"/>
    <n v="7"/>
    <n v="9.6415125225077752E-2"/>
  </r>
  <r>
    <n v="10837"/>
    <d v="2023-04-17T00:00:00"/>
    <d v="2023-04-20T00:00:00"/>
    <d v="2023-04-24T00:00:00"/>
    <x v="0"/>
    <s v="India"/>
    <s v="Karnataka"/>
    <s v="Chennai"/>
    <x v="1"/>
    <s v="Printer"/>
    <s v="Office Chair"/>
    <s v="Consumer"/>
    <n v="16857"/>
    <n v="0.2"/>
    <n v="3571"/>
    <n v="12"/>
    <s v="Cash"/>
    <s v="Critical"/>
    <x v="2"/>
    <x v="3"/>
    <n v="3"/>
    <n v="7"/>
    <n v="0.21184077831168061"/>
  </r>
  <r>
    <n v="10838"/>
    <d v="2023-04-18T00:00:00"/>
    <d v="2023-04-20T00:00:00"/>
    <d v="2023-04-25T00:00:00"/>
    <x v="2"/>
    <s v="India"/>
    <s v="Telangana"/>
    <s v="Delhi"/>
    <x v="1"/>
    <s v="Laptop"/>
    <s v="Gel Pen"/>
    <s v="Corporate"/>
    <n v="22575"/>
    <n v="0.14000000000000001"/>
    <n v="7562"/>
    <n v="23"/>
    <s v="UPI"/>
    <s v="High"/>
    <x v="2"/>
    <x v="3"/>
    <n v="2"/>
    <n v="7"/>
    <n v="0.33497231450719822"/>
  </r>
  <r>
    <n v="10839"/>
    <d v="2023-04-19T00:00:00"/>
    <d v="2023-04-25T00:00:00"/>
    <d v="2023-04-26T00:00:00"/>
    <x v="0"/>
    <s v="India"/>
    <s v="Telangana"/>
    <s v="Chennai"/>
    <x v="2"/>
    <s v="Laptop"/>
    <s v="Gel Pen"/>
    <s v="Corporate"/>
    <n v="35773"/>
    <n v="0.24"/>
    <n v="13990"/>
    <n v="5"/>
    <s v="Cash"/>
    <s v="Low"/>
    <x v="2"/>
    <x v="3"/>
    <n v="6"/>
    <n v="7"/>
    <n v="0.39107706929807395"/>
  </r>
  <r>
    <n v="10840"/>
    <d v="2023-04-20T00:00:00"/>
    <d v="2023-04-26T00:00:00"/>
    <d v="2023-04-28T00:00:00"/>
    <x v="3"/>
    <s v="India"/>
    <s v="Karnataka"/>
    <s v="Delhi"/>
    <x v="1"/>
    <s v="Chair"/>
    <s v="Gaming Laptop"/>
    <s v="Consumer"/>
    <n v="35516"/>
    <n v="0.28999999999999998"/>
    <n v="-228"/>
    <n v="3"/>
    <s v="Cash"/>
    <s v="Medium"/>
    <x v="2"/>
    <x v="3"/>
    <n v="6"/>
    <n v="8"/>
    <n v="-6.4196418515598602E-3"/>
  </r>
  <r>
    <n v="10841"/>
    <d v="2023-04-21T00:00:00"/>
    <d v="2023-04-23T00:00:00"/>
    <d v="2023-04-24T00:00:00"/>
    <x v="2"/>
    <s v="India"/>
    <s v="Kerala"/>
    <s v="Bangalore"/>
    <x v="2"/>
    <s v="Pen"/>
    <s v="Dining Table"/>
    <s v="Home Office"/>
    <n v="3074"/>
    <n v="0.04"/>
    <n v="3084"/>
    <n v="7"/>
    <s v="Credit Card"/>
    <s v="Medium"/>
    <x v="2"/>
    <x v="3"/>
    <n v="2"/>
    <n v="3"/>
    <n v="1.003253090435914"/>
  </r>
  <r>
    <n v="10842"/>
    <d v="2023-04-22T00:00:00"/>
    <d v="2023-04-29T00:00:00"/>
    <d v="2023-05-04T00:00:00"/>
    <x v="1"/>
    <s v="India"/>
    <s v="Telangana"/>
    <s v="Mumbai"/>
    <x v="2"/>
    <s v="Notebook"/>
    <s v="Gel Pen"/>
    <s v="Consumer"/>
    <n v="18692"/>
    <n v="0.34"/>
    <n v="9411"/>
    <n v="20"/>
    <s v="Cash"/>
    <s v="Low"/>
    <x v="2"/>
    <x v="3"/>
    <n v="7"/>
    <n v="12"/>
    <n v="0.50347742349668312"/>
  </r>
  <r>
    <n v="10843"/>
    <d v="2023-04-23T00:00:00"/>
    <d v="2023-04-26T00:00:00"/>
    <d v="2023-04-28T00:00:00"/>
    <x v="1"/>
    <s v="India"/>
    <s v="Telangana"/>
    <s v="Hyderabad"/>
    <x v="0"/>
    <s v="Mobile"/>
    <s v="Smartphone"/>
    <s v="Consumer"/>
    <n v="46814"/>
    <n v="7.0000000000000007E-2"/>
    <n v="2116"/>
    <n v="18"/>
    <s v="UPI"/>
    <s v="Low"/>
    <x v="2"/>
    <x v="3"/>
    <n v="3"/>
    <n v="5"/>
    <n v="4.5200153800145255E-2"/>
  </r>
  <r>
    <n v="10844"/>
    <d v="2023-04-24T00:00:00"/>
    <d v="2023-04-28T00:00:00"/>
    <d v="2023-04-29T00:00:00"/>
    <x v="3"/>
    <s v="India"/>
    <s v="Telangana"/>
    <s v="Bangalore"/>
    <x v="1"/>
    <s v="Mobile"/>
    <s v="Dining Table"/>
    <s v="Home Office"/>
    <n v="2876"/>
    <n v="0.2"/>
    <n v="-780"/>
    <n v="22"/>
    <s v="UPI"/>
    <s v="High"/>
    <x v="2"/>
    <x v="3"/>
    <n v="4"/>
    <n v="5"/>
    <n v="-0.27121001390820582"/>
  </r>
  <r>
    <n v="10845"/>
    <d v="2023-04-25T00:00:00"/>
    <d v="2023-04-28T00:00:00"/>
    <d v="2023-05-01T00:00:00"/>
    <x v="2"/>
    <s v="India"/>
    <s v="Tamil Nadu"/>
    <s v="Chennai"/>
    <x v="0"/>
    <s v="Table"/>
    <s v="Dining Table"/>
    <s v="Corporate"/>
    <n v="21033"/>
    <n v="0.37"/>
    <n v="2455"/>
    <n v="14"/>
    <s v="UPI"/>
    <s v="Medium"/>
    <x v="2"/>
    <x v="3"/>
    <n v="3"/>
    <n v="6"/>
    <n v="0.11672134265202301"/>
  </r>
  <r>
    <n v="10846"/>
    <d v="2023-04-26T00:00:00"/>
    <d v="2023-05-02T00:00:00"/>
    <d v="2023-05-04T00:00:00"/>
    <x v="2"/>
    <s v="India"/>
    <s v="Maharashtra"/>
    <s v="Hyderabad"/>
    <x v="2"/>
    <s v="Chair"/>
    <s v="Laser Printer"/>
    <s v="Home Office"/>
    <n v="40326"/>
    <n v="0.05"/>
    <n v="19037"/>
    <n v="7"/>
    <s v="UPI"/>
    <s v="Critical"/>
    <x v="2"/>
    <x v="3"/>
    <n v="6"/>
    <n v="8"/>
    <n v="0.47207756782224869"/>
  </r>
  <r>
    <n v="10847"/>
    <d v="2023-04-27T00:00:00"/>
    <d v="2023-04-30T00:00:00"/>
    <d v="2023-05-02T00:00:00"/>
    <x v="2"/>
    <s v="India"/>
    <s v="Kerala"/>
    <s v="Bangalore"/>
    <x v="1"/>
    <s v="Mobile"/>
    <s v="Gel Pen"/>
    <s v="Corporate"/>
    <n v="50684"/>
    <n v="0.23"/>
    <n v="17410"/>
    <n v="21"/>
    <s v="Credit Card"/>
    <s v="High"/>
    <x v="2"/>
    <x v="3"/>
    <n v="3"/>
    <n v="5"/>
    <n v="0.34350090758424751"/>
  </r>
  <r>
    <n v="10848"/>
    <d v="2023-04-28T00:00:00"/>
    <d v="2023-05-05T00:00:00"/>
    <d v="2023-05-07T00:00:00"/>
    <x v="1"/>
    <s v="India"/>
    <s v="Karnataka"/>
    <s v="Chennai"/>
    <x v="0"/>
    <s v="Chair"/>
    <s v="Smartphone"/>
    <s v="Home Office"/>
    <n v="46573"/>
    <n v="0.38"/>
    <n v="12697"/>
    <n v="7"/>
    <s v="UPI"/>
    <s v="High"/>
    <x v="2"/>
    <x v="3"/>
    <n v="7"/>
    <n v="9"/>
    <n v="0.27262577029609431"/>
  </r>
  <r>
    <n v="10849"/>
    <d v="2023-04-29T00:00:00"/>
    <d v="2023-05-06T00:00:00"/>
    <d v="2023-05-08T00:00:00"/>
    <x v="2"/>
    <s v="India"/>
    <s v="Maharashtra"/>
    <s v="Delhi"/>
    <x v="2"/>
    <s v="Pen"/>
    <s v="Gel Pen"/>
    <s v="Corporate"/>
    <n v="16982"/>
    <n v="0.16"/>
    <n v="18498"/>
    <n v="11"/>
    <s v="Debit Card"/>
    <s v="Critical"/>
    <x v="2"/>
    <x v="3"/>
    <n v="7"/>
    <n v="9"/>
    <n v="1.0892709928159228"/>
  </r>
  <r>
    <n v="10850"/>
    <d v="2023-04-30T00:00:00"/>
    <d v="2023-05-06T00:00:00"/>
    <d v="2023-05-09T00:00:00"/>
    <x v="3"/>
    <s v="India"/>
    <s v="Karnataka"/>
    <s v="Mumbai"/>
    <x v="1"/>
    <s v="Notebook"/>
    <s v="Dining Table"/>
    <s v="Home Office"/>
    <n v="61431"/>
    <n v="0.3"/>
    <n v="-1522"/>
    <n v="24"/>
    <s v="Credit Card"/>
    <s v="Medium"/>
    <x v="2"/>
    <x v="3"/>
    <n v="6"/>
    <n v="9"/>
    <n v="-2.4775764679070826E-2"/>
  </r>
  <r>
    <n v="10851"/>
    <d v="2023-05-01T00:00:00"/>
    <d v="2023-05-05T00:00:00"/>
    <d v="2023-05-06T00:00:00"/>
    <x v="2"/>
    <s v="India"/>
    <s v="Karnataka"/>
    <s v="Bangalore"/>
    <x v="1"/>
    <s v="Chair"/>
    <s v="Gel Pen"/>
    <s v="Corporate"/>
    <n v="11231"/>
    <n v="0.09"/>
    <n v="6967"/>
    <n v="18"/>
    <s v="Net Banking"/>
    <s v="Medium"/>
    <x v="2"/>
    <x v="4"/>
    <n v="4"/>
    <n v="5"/>
    <n v="0.62033656842667617"/>
  </r>
  <r>
    <n v="10852"/>
    <d v="2023-05-02T00:00:00"/>
    <d v="2023-05-09T00:00:00"/>
    <d v="2023-05-12T00:00:00"/>
    <x v="2"/>
    <s v="India"/>
    <s v="Kerala"/>
    <s v="Chennai"/>
    <x v="1"/>
    <s v="Pen"/>
    <s v="Smartphone"/>
    <s v="Consumer"/>
    <n v="41059"/>
    <n v="0.05"/>
    <n v="17444"/>
    <n v="22"/>
    <s v="Net Banking"/>
    <s v="Critical"/>
    <x v="2"/>
    <x v="4"/>
    <n v="7"/>
    <n v="10"/>
    <n v="0.42485204218319977"/>
  </r>
  <r>
    <n v="10853"/>
    <d v="2023-05-03T00:00:00"/>
    <d v="2023-05-06T00:00:00"/>
    <d v="2023-05-09T00:00:00"/>
    <x v="0"/>
    <s v="India"/>
    <s v="Tamil Nadu"/>
    <s v="Bangalore"/>
    <x v="0"/>
    <s v="Mobile"/>
    <s v="Gel Pen"/>
    <s v="Corporate"/>
    <n v="66376"/>
    <n v="0.04"/>
    <n v="14173"/>
    <n v="19"/>
    <s v="Cash"/>
    <s v="Critical"/>
    <x v="2"/>
    <x v="4"/>
    <n v="3"/>
    <n v="6"/>
    <n v="0.21352597324334097"/>
  </r>
  <r>
    <n v="10854"/>
    <d v="2023-05-04T00:00:00"/>
    <d v="2023-05-07T00:00:00"/>
    <d v="2023-05-11T00:00:00"/>
    <x v="3"/>
    <s v="India"/>
    <s v="Telangana"/>
    <s v="Hyderabad"/>
    <x v="2"/>
    <s v="Mobile"/>
    <s v="Laser Printer"/>
    <s v="Consumer"/>
    <n v="58702"/>
    <n v="0.08"/>
    <n v="3424"/>
    <n v="20"/>
    <s v="UPI"/>
    <s v="Medium"/>
    <x v="2"/>
    <x v="4"/>
    <n v="3"/>
    <n v="7"/>
    <n v="5.8328506694831521E-2"/>
  </r>
  <r>
    <n v="10855"/>
    <d v="2023-05-05T00:00:00"/>
    <d v="2023-05-07T00:00:00"/>
    <d v="2023-05-09T00:00:00"/>
    <x v="2"/>
    <s v="India"/>
    <s v="Karnataka"/>
    <s v="Delhi"/>
    <x v="2"/>
    <s v="Notebook"/>
    <s v="Spiral Notebook"/>
    <s v="Corporate"/>
    <n v="33994"/>
    <n v="0.27"/>
    <n v="12648"/>
    <n v="12"/>
    <s v="Net Banking"/>
    <s v="Critical"/>
    <x v="2"/>
    <x v="4"/>
    <n v="2"/>
    <n v="4"/>
    <n v="0.37206565864564334"/>
  </r>
  <r>
    <n v="10856"/>
    <d v="2023-05-06T00:00:00"/>
    <d v="2023-05-09T00:00:00"/>
    <d v="2023-05-14T00:00:00"/>
    <x v="3"/>
    <s v="India"/>
    <s v="Tamil Nadu"/>
    <s v="Mumbai"/>
    <x v="1"/>
    <s v="Pen"/>
    <s v="Laser Printer"/>
    <s v="Consumer"/>
    <n v="26198"/>
    <n v="0.22"/>
    <n v="19323"/>
    <n v="18"/>
    <s v="Credit Card"/>
    <s v="Critical"/>
    <x v="2"/>
    <x v="4"/>
    <n v="3"/>
    <n v="8"/>
    <n v="0.73757538743415529"/>
  </r>
  <r>
    <n v="10857"/>
    <d v="2023-05-07T00:00:00"/>
    <d v="2023-05-11T00:00:00"/>
    <d v="2023-05-14T00:00:00"/>
    <x v="1"/>
    <s v="India"/>
    <s v="Maharashtra"/>
    <s v="Bangalore"/>
    <x v="0"/>
    <s v="Pen"/>
    <s v="Dining Table"/>
    <s v="Consumer"/>
    <n v="41696"/>
    <n v="0.3"/>
    <n v="16270"/>
    <n v="20"/>
    <s v="Credit Card"/>
    <s v="High"/>
    <x v="2"/>
    <x v="4"/>
    <n v="4"/>
    <n v="7"/>
    <n v="0.39020529547198773"/>
  </r>
  <r>
    <n v="10858"/>
    <d v="2023-05-08T00:00:00"/>
    <d v="2023-05-10T00:00:00"/>
    <d v="2023-05-15T00:00:00"/>
    <x v="3"/>
    <s v="India"/>
    <s v="Delhi"/>
    <s v="Bangalore"/>
    <x v="1"/>
    <s v="Mobile"/>
    <s v="Laser Printer"/>
    <s v="Consumer"/>
    <n v="33995"/>
    <n v="0.03"/>
    <n v="816"/>
    <n v="12"/>
    <s v="Net Banking"/>
    <s v="Low"/>
    <x v="2"/>
    <x v="4"/>
    <n v="2"/>
    <n v="7"/>
    <n v="2.4003529930872188E-2"/>
  </r>
  <r>
    <n v="10859"/>
    <d v="2023-05-09T00:00:00"/>
    <d v="2023-05-13T00:00:00"/>
    <d v="2023-05-14T00:00:00"/>
    <x v="2"/>
    <s v="India"/>
    <s v="Maharashtra"/>
    <s v="Mumbai"/>
    <x v="0"/>
    <s v="Laptop"/>
    <s v="Dining Table"/>
    <s v="Consumer"/>
    <n v="2538"/>
    <n v="0.06"/>
    <n v="4201"/>
    <n v="6"/>
    <s v="Credit Card"/>
    <s v="Medium"/>
    <x v="2"/>
    <x v="4"/>
    <n v="4"/>
    <n v="5"/>
    <n v="1.6552403467297083"/>
  </r>
  <r>
    <n v="10860"/>
    <d v="2023-05-10T00:00:00"/>
    <d v="2023-05-16T00:00:00"/>
    <d v="2023-05-17T00:00:00"/>
    <x v="3"/>
    <s v="India"/>
    <s v="Karnataka"/>
    <s v="Chennai"/>
    <x v="2"/>
    <s v="Laptop"/>
    <s v="Gel Pen"/>
    <s v="Consumer"/>
    <n v="23468"/>
    <n v="0.05"/>
    <n v="3536"/>
    <n v="16"/>
    <s v="Credit Card"/>
    <s v="Critical"/>
    <x v="2"/>
    <x v="4"/>
    <n v="6"/>
    <n v="7"/>
    <n v="0.15067325720129537"/>
  </r>
  <r>
    <n v="10861"/>
    <d v="2023-05-11T00:00:00"/>
    <d v="2023-05-18T00:00:00"/>
    <d v="2023-05-19T00:00:00"/>
    <x v="0"/>
    <s v="India"/>
    <s v="Telangana"/>
    <s v="Hyderabad"/>
    <x v="0"/>
    <s v="Laptop"/>
    <s v="Dining Table"/>
    <s v="Home Office"/>
    <n v="18001"/>
    <n v="0.25"/>
    <n v="2626"/>
    <n v="4"/>
    <s v="UPI"/>
    <s v="Low"/>
    <x v="2"/>
    <x v="4"/>
    <n v="7"/>
    <n v="8"/>
    <n v="0.14588078440086663"/>
  </r>
  <r>
    <n v="10862"/>
    <d v="2023-05-12T00:00:00"/>
    <d v="2023-05-14T00:00:00"/>
    <d v="2023-05-16T00:00:00"/>
    <x v="2"/>
    <s v="India"/>
    <s v="Karnataka"/>
    <s v="Delhi"/>
    <x v="1"/>
    <s v="Mobile"/>
    <s v="Gel Pen"/>
    <s v="Corporate"/>
    <n v="51221"/>
    <n v="0.13"/>
    <n v="-814"/>
    <n v="21"/>
    <s v="Net Banking"/>
    <s v="High"/>
    <x v="2"/>
    <x v="4"/>
    <n v="2"/>
    <n v="4"/>
    <n v="-1.5891919329962319E-2"/>
  </r>
  <r>
    <n v="10863"/>
    <d v="2023-05-13T00:00:00"/>
    <d v="2023-05-17T00:00:00"/>
    <d v="2023-05-22T00:00:00"/>
    <x v="3"/>
    <s v="India"/>
    <s v="Telangana"/>
    <s v="Bangalore"/>
    <x v="2"/>
    <s v="Laptop"/>
    <s v="Smartphone"/>
    <s v="Consumer"/>
    <n v="71419"/>
    <n v="0.1"/>
    <n v="1815"/>
    <n v="2"/>
    <s v="Net Banking"/>
    <s v="Critical"/>
    <x v="2"/>
    <x v="4"/>
    <n v="4"/>
    <n v="9"/>
    <n v="2.5413405396323106E-2"/>
  </r>
  <r>
    <n v="10864"/>
    <d v="2023-05-14T00:00:00"/>
    <d v="2023-05-19T00:00:00"/>
    <d v="2023-05-23T00:00:00"/>
    <x v="1"/>
    <s v="India"/>
    <s v="Tamil Nadu"/>
    <s v="Chennai"/>
    <x v="1"/>
    <s v="Table"/>
    <s v="Gel Pen"/>
    <s v="Consumer"/>
    <n v="46758"/>
    <n v="0.12"/>
    <n v="13894"/>
    <n v="20"/>
    <s v="UPI"/>
    <s v="Critical"/>
    <x v="2"/>
    <x v="4"/>
    <n v="5"/>
    <n v="9"/>
    <n v="0.29714701227597418"/>
  </r>
  <r>
    <n v="10865"/>
    <d v="2023-05-15T00:00:00"/>
    <d v="2023-05-19T00:00:00"/>
    <d v="2023-05-24T00:00:00"/>
    <x v="0"/>
    <s v="India"/>
    <s v="Telangana"/>
    <s v="Delhi"/>
    <x v="1"/>
    <s v="Printer"/>
    <s v="Office Chair"/>
    <s v="Consumer"/>
    <n v="13721"/>
    <n v="0.22"/>
    <n v="6199"/>
    <n v="5"/>
    <s v="Cash"/>
    <s v="High"/>
    <x v="2"/>
    <x v="4"/>
    <n v="4"/>
    <n v="9"/>
    <n v="0.45178922819036516"/>
  </r>
  <r>
    <n v="10866"/>
    <d v="2023-05-16T00:00:00"/>
    <d v="2023-05-23T00:00:00"/>
    <d v="2023-05-25T00:00:00"/>
    <x v="3"/>
    <s v="India"/>
    <s v="Kerala"/>
    <s v="Bangalore"/>
    <x v="1"/>
    <s v="Mobile"/>
    <s v="Spiral Notebook"/>
    <s v="Consumer"/>
    <n v="50179"/>
    <n v="0.12"/>
    <n v="-1906"/>
    <n v="10"/>
    <s v="Cash"/>
    <s v="Low"/>
    <x v="2"/>
    <x v="4"/>
    <n v="7"/>
    <n v="9"/>
    <n v="-3.7984017218358278E-2"/>
  </r>
  <r>
    <n v="10867"/>
    <d v="2023-05-17T00:00:00"/>
    <d v="2023-05-21T00:00:00"/>
    <d v="2023-05-22T00:00:00"/>
    <x v="2"/>
    <s v="India"/>
    <s v="Maharashtra"/>
    <s v="Chennai"/>
    <x v="0"/>
    <s v="Table"/>
    <s v="Gaming Laptop"/>
    <s v="Consumer"/>
    <n v="48637"/>
    <n v="0.28999999999999998"/>
    <n v="4980"/>
    <n v="17"/>
    <s v="Debit Card"/>
    <s v="Critical"/>
    <x v="2"/>
    <x v="4"/>
    <n v="4"/>
    <n v="5"/>
    <n v="0.10239118366675576"/>
  </r>
  <r>
    <n v="10868"/>
    <d v="2023-05-18T00:00:00"/>
    <d v="2023-05-21T00:00:00"/>
    <d v="2023-05-23T00:00:00"/>
    <x v="2"/>
    <s v="India"/>
    <s v="Tamil Nadu"/>
    <s v="Delhi"/>
    <x v="2"/>
    <s v="Mobile"/>
    <s v="Gel Pen"/>
    <s v="Corporate"/>
    <n v="64363"/>
    <n v="0.11"/>
    <n v="15571"/>
    <n v="9"/>
    <s v="UPI"/>
    <s v="High"/>
    <x v="2"/>
    <x v="4"/>
    <n v="3"/>
    <n v="5"/>
    <n v="0.24192470829513851"/>
  </r>
  <r>
    <n v="10869"/>
    <d v="2023-05-19T00:00:00"/>
    <d v="2023-05-22T00:00:00"/>
    <d v="2023-05-23T00:00:00"/>
    <x v="2"/>
    <s v="India"/>
    <s v="Maharashtra"/>
    <s v="Kochi"/>
    <x v="2"/>
    <s v="Notebook"/>
    <s v="Laser Printer"/>
    <s v="Home Office"/>
    <n v="3983"/>
    <n v="0.03"/>
    <n v="18956"/>
    <n v="2"/>
    <s v="Debit Card"/>
    <s v="High"/>
    <x v="2"/>
    <x v="4"/>
    <n v="3"/>
    <n v="4"/>
    <n v="4.759226713532513"/>
  </r>
  <r>
    <n v="10870"/>
    <d v="2023-05-20T00:00:00"/>
    <d v="2023-05-22T00:00:00"/>
    <d v="2023-05-24T00:00:00"/>
    <x v="1"/>
    <s v="India"/>
    <s v="Karnataka"/>
    <s v="Delhi"/>
    <x v="1"/>
    <s v="Printer"/>
    <s v="Gel Pen"/>
    <s v="Home Office"/>
    <n v="73024"/>
    <n v="0.32"/>
    <n v="8875"/>
    <n v="9"/>
    <s v="Credit Card"/>
    <s v="High"/>
    <x v="2"/>
    <x v="4"/>
    <n v="2"/>
    <n v="4"/>
    <n v="0.12153538562664329"/>
  </r>
  <r>
    <n v="10871"/>
    <d v="2023-05-21T00:00:00"/>
    <d v="2023-05-26T00:00:00"/>
    <d v="2023-05-31T00:00:00"/>
    <x v="1"/>
    <s v="India"/>
    <s v="Karnataka"/>
    <s v="Kochi"/>
    <x v="0"/>
    <s v="Chair"/>
    <s v="Laser Printer"/>
    <s v="Corporate"/>
    <n v="56748"/>
    <n v="0.04"/>
    <n v="6531"/>
    <n v="4"/>
    <s v="UPI"/>
    <s v="High"/>
    <x v="2"/>
    <x v="4"/>
    <n v="5"/>
    <n v="10"/>
    <n v="0.1150877563967012"/>
  </r>
  <r>
    <n v="10872"/>
    <d v="2023-05-22T00:00:00"/>
    <d v="2023-05-27T00:00:00"/>
    <d v="2023-06-01T00:00:00"/>
    <x v="0"/>
    <s v="India"/>
    <s v="Delhi"/>
    <s v="Mumbai"/>
    <x v="2"/>
    <s v="Notebook"/>
    <s v="Office Chair"/>
    <s v="Home Office"/>
    <n v="55372"/>
    <n v="0.04"/>
    <n v="8461"/>
    <n v="14"/>
    <s v="Net Banking"/>
    <s v="Medium"/>
    <x v="2"/>
    <x v="4"/>
    <n v="5"/>
    <n v="10"/>
    <n v="0.15280286065159288"/>
  </r>
  <r>
    <n v="10873"/>
    <d v="2023-05-23T00:00:00"/>
    <d v="2023-05-29T00:00:00"/>
    <d v="2023-06-03T00:00:00"/>
    <x v="0"/>
    <s v="India"/>
    <s v="Tamil Nadu"/>
    <s v="Bangalore"/>
    <x v="2"/>
    <s v="Laptop"/>
    <s v="Gel Pen"/>
    <s v="Home Office"/>
    <n v="40989"/>
    <n v="0.06"/>
    <n v="7747"/>
    <n v="10"/>
    <s v="UPI"/>
    <s v="Low"/>
    <x v="2"/>
    <x v="4"/>
    <n v="6"/>
    <n v="11"/>
    <n v="0.18900192734636123"/>
  </r>
  <r>
    <n v="10874"/>
    <d v="2023-05-24T00:00:00"/>
    <d v="2023-05-31T00:00:00"/>
    <d v="2023-06-05T00:00:00"/>
    <x v="1"/>
    <s v="India"/>
    <s v="Telangana"/>
    <s v="Delhi"/>
    <x v="0"/>
    <s v="Printer"/>
    <s v="Gel Pen"/>
    <s v="Consumer"/>
    <n v="70977"/>
    <n v="0.08"/>
    <n v="-523"/>
    <n v="20"/>
    <s v="Net Banking"/>
    <s v="Critical"/>
    <x v="2"/>
    <x v="4"/>
    <n v="7"/>
    <n v="12"/>
    <n v="-7.3685841892444032E-3"/>
  </r>
  <r>
    <n v="10875"/>
    <d v="2023-05-25T00:00:00"/>
    <d v="2023-06-01T00:00:00"/>
    <d v="2023-06-05T00:00:00"/>
    <x v="2"/>
    <s v="India"/>
    <s v="Kerala"/>
    <s v="Mumbai"/>
    <x v="2"/>
    <s v="Pen"/>
    <s v="Spiral Notebook"/>
    <s v="Consumer"/>
    <n v="20461"/>
    <n v="0.3"/>
    <n v="2569"/>
    <n v="21"/>
    <s v="Debit Card"/>
    <s v="High"/>
    <x v="2"/>
    <x v="4"/>
    <n v="7"/>
    <n v="11"/>
    <n v="0.12555593568251797"/>
  </r>
  <r>
    <n v="10876"/>
    <d v="2023-05-26T00:00:00"/>
    <d v="2023-06-01T00:00:00"/>
    <d v="2023-06-06T00:00:00"/>
    <x v="1"/>
    <s v="India"/>
    <s v="Telangana"/>
    <s v="Mumbai"/>
    <x v="2"/>
    <s v="Printer"/>
    <s v="Spiral Notebook"/>
    <s v="Corporate"/>
    <n v="46889"/>
    <n v="0.34"/>
    <n v="19577"/>
    <n v="24"/>
    <s v="UPI"/>
    <s v="Medium"/>
    <x v="2"/>
    <x v="4"/>
    <n v="6"/>
    <n v="11"/>
    <n v="0.41751796796690055"/>
  </r>
  <r>
    <n v="10877"/>
    <d v="2023-05-27T00:00:00"/>
    <d v="2023-06-02T00:00:00"/>
    <d v="2023-06-07T00:00:00"/>
    <x v="1"/>
    <s v="India"/>
    <s v="Delhi"/>
    <s v="Delhi"/>
    <x v="2"/>
    <s v="Table"/>
    <s v="Gaming Laptop"/>
    <s v="Home Office"/>
    <n v="49344"/>
    <n v="0.33"/>
    <n v="5354"/>
    <n v="15"/>
    <s v="Net Banking"/>
    <s v="High"/>
    <x v="2"/>
    <x v="4"/>
    <n v="6"/>
    <n v="11"/>
    <n v="0.10850356679636836"/>
  </r>
  <r>
    <n v="10878"/>
    <d v="2023-05-28T00:00:00"/>
    <d v="2023-06-01T00:00:00"/>
    <d v="2023-06-03T00:00:00"/>
    <x v="1"/>
    <s v="India"/>
    <s v="Delhi"/>
    <s v="Kochi"/>
    <x v="1"/>
    <s v="Table"/>
    <s v="Gaming Laptop"/>
    <s v="Consumer"/>
    <n v="74411"/>
    <n v="7.0000000000000007E-2"/>
    <n v="6779"/>
    <n v="10"/>
    <s v="Cash"/>
    <s v="Medium"/>
    <x v="2"/>
    <x v="4"/>
    <n v="4"/>
    <n v="6"/>
    <n v="9.1102121998091687E-2"/>
  </r>
  <r>
    <n v="10879"/>
    <d v="2023-05-29T00:00:00"/>
    <d v="2023-06-04T00:00:00"/>
    <d v="2023-06-05T00:00:00"/>
    <x v="2"/>
    <s v="India"/>
    <s v="Delhi"/>
    <s v="Kochi"/>
    <x v="2"/>
    <s v="Pen"/>
    <s v="Office Chair"/>
    <s v="Home Office"/>
    <n v="20976"/>
    <n v="0.23"/>
    <n v="2255"/>
    <n v="10"/>
    <s v="Debit Card"/>
    <s v="High"/>
    <x v="2"/>
    <x v="4"/>
    <n v="6"/>
    <n v="7"/>
    <n v="0.10750381388253241"/>
  </r>
  <r>
    <n v="10880"/>
    <d v="2023-05-30T00:00:00"/>
    <d v="2023-06-03T00:00:00"/>
    <d v="2023-06-08T00:00:00"/>
    <x v="3"/>
    <s v="India"/>
    <s v="Kerala"/>
    <s v="Delhi"/>
    <x v="2"/>
    <s v="Notebook"/>
    <s v="Laser Printer"/>
    <s v="Home Office"/>
    <n v="42762"/>
    <n v="0.39"/>
    <n v="-1704"/>
    <n v="12"/>
    <s v="Credit Card"/>
    <s v="Low"/>
    <x v="2"/>
    <x v="4"/>
    <n v="4"/>
    <n v="9"/>
    <n v="-3.9848463589167951E-2"/>
  </r>
  <r>
    <n v="10881"/>
    <d v="2023-05-31T00:00:00"/>
    <d v="2023-06-04T00:00:00"/>
    <d v="2023-06-06T00:00:00"/>
    <x v="0"/>
    <s v="India"/>
    <s v="Kerala"/>
    <s v="Delhi"/>
    <x v="0"/>
    <s v="Notebook"/>
    <s v="Laser Printer"/>
    <s v="Corporate"/>
    <n v="49923"/>
    <n v="0"/>
    <n v="5098"/>
    <n v="8"/>
    <s v="Cash"/>
    <s v="Critical"/>
    <x v="2"/>
    <x v="4"/>
    <n v="4"/>
    <n v="6"/>
    <n v="0.10211726058129519"/>
  </r>
  <r>
    <n v="10882"/>
    <d v="2023-06-01T00:00:00"/>
    <d v="2023-06-05T00:00:00"/>
    <d v="2023-06-08T00:00:00"/>
    <x v="2"/>
    <s v="India"/>
    <s v="Kerala"/>
    <s v="Kochi"/>
    <x v="0"/>
    <s v="Mobile"/>
    <s v="Dining Table"/>
    <s v="Home Office"/>
    <n v="61191"/>
    <n v="0.36"/>
    <n v="8003"/>
    <n v="23"/>
    <s v="Cash"/>
    <s v="Low"/>
    <x v="2"/>
    <x v="5"/>
    <n v="4"/>
    <n v="7"/>
    <n v="0.13078720726904283"/>
  </r>
  <r>
    <n v="10883"/>
    <d v="2023-06-02T00:00:00"/>
    <d v="2023-06-08T00:00:00"/>
    <d v="2023-06-13T00:00:00"/>
    <x v="3"/>
    <s v="India"/>
    <s v="Delhi"/>
    <s v="Mumbai"/>
    <x v="0"/>
    <s v="Printer"/>
    <s v="Laser Printer"/>
    <s v="Corporate"/>
    <n v="54502"/>
    <n v="0.13"/>
    <n v="7029"/>
    <n v="6"/>
    <s v="UPI"/>
    <s v="Low"/>
    <x v="2"/>
    <x v="5"/>
    <n v="6"/>
    <n v="11"/>
    <n v="0.12896774430296135"/>
  </r>
  <r>
    <n v="10884"/>
    <d v="2023-06-03T00:00:00"/>
    <d v="2023-06-05T00:00:00"/>
    <d v="2023-06-10T00:00:00"/>
    <x v="2"/>
    <s v="India"/>
    <s v="Tamil Nadu"/>
    <s v="Kochi"/>
    <x v="0"/>
    <s v="Pen"/>
    <s v="Laser Printer"/>
    <s v="Consumer"/>
    <n v="41422"/>
    <n v="0.22"/>
    <n v="287"/>
    <n v="14"/>
    <s v="Credit Card"/>
    <s v="Critical"/>
    <x v="2"/>
    <x v="5"/>
    <n v="2"/>
    <n v="7"/>
    <n v="6.9286852397276808E-3"/>
  </r>
  <r>
    <n v="10885"/>
    <d v="2023-06-04T00:00:00"/>
    <d v="2023-06-06T00:00:00"/>
    <d v="2023-06-10T00:00:00"/>
    <x v="3"/>
    <s v="India"/>
    <s v="Delhi"/>
    <s v="Kochi"/>
    <x v="1"/>
    <s v="Table"/>
    <s v="Laser Printer"/>
    <s v="Consumer"/>
    <n v="66681"/>
    <n v="0.37"/>
    <n v="18317"/>
    <n v="23"/>
    <s v="Debit Card"/>
    <s v="High"/>
    <x v="2"/>
    <x v="5"/>
    <n v="2"/>
    <n v="6"/>
    <n v="0.27469594037281986"/>
  </r>
  <r>
    <n v="10886"/>
    <d v="2023-06-05T00:00:00"/>
    <d v="2023-06-12T00:00:00"/>
    <d v="2023-06-16T00:00:00"/>
    <x v="3"/>
    <s v="India"/>
    <s v="Kerala"/>
    <s v="Kochi"/>
    <x v="2"/>
    <s v="Table"/>
    <s v="Gel Pen"/>
    <s v="Corporate"/>
    <n v="10072"/>
    <n v="0.22"/>
    <n v="13753"/>
    <n v="11"/>
    <s v="Net Banking"/>
    <s v="Critical"/>
    <x v="2"/>
    <x v="5"/>
    <n v="7"/>
    <n v="11"/>
    <n v="1.3654686258935662"/>
  </r>
  <r>
    <n v="10887"/>
    <d v="2023-06-06T00:00:00"/>
    <d v="2023-06-13T00:00:00"/>
    <d v="2023-06-16T00:00:00"/>
    <x v="0"/>
    <s v="India"/>
    <s v="Karnataka"/>
    <s v="Hyderabad"/>
    <x v="1"/>
    <s v="Chair"/>
    <s v="Office Chair"/>
    <s v="Consumer"/>
    <n v="34260"/>
    <n v="0.11"/>
    <n v="17179"/>
    <n v="9"/>
    <s v="Net Banking"/>
    <s v="High"/>
    <x v="2"/>
    <x v="5"/>
    <n v="7"/>
    <n v="10"/>
    <n v="0.50143023934617625"/>
  </r>
  <r>
    <n v="10888"/>
    <d v="2023-06-07T00:00:00"/>
    <d v="2023-06-13T00:00:00"/>
    <d v="2023-06-18T00:00:00"/>
    <x v="2"/>
    <s v="India"/>
    <s v="Maharashtra"/>
    <s v="Hyderabad"/>
    <x v="2"/>
    <s v="Notebook"/>
    <s v="Laser Printer"/>
    <s v="Corporate"/>
    <n v="14038"/>
    <n v="0.04"/>
    <n v="-926"/>
    <n v="11"/>
    <s v="UPI"/>
    <s v="Critical"/>
    <x v="2"/>
    <x v="5"/>
    <n v="6"/>
    <n v="11"/>
    <n v="-6.5963812508904401E-2"/>
  </r>
  <r>
    <n v="10889"/>
    <d v="2023-06-08T00:00:00"/>
    <d v="2023-06-15T00:00:00"/>
    <d v="2023-06-19T00:00:00"/>
    <x v="0"/>
    <s v="India"/>
    <s v="Karnataka"/>
    <s v="Chennai"/>
    <x v="0"/>
    <s v="Table"/>
    <s v="Spiral Notebook"/>
    <s v="Consumer"/>
    <n v="45596"/>
    <n v="0.12"/>
    <n v="4584"/>
    <n v="9"/>
    <s v="Credit Card"/>
    <s v="Critical"/>
    <x v="2"/>
    <x v="5"/>
    <n v="7"/>
    <n v="11"/>
    <n v="0.10053513466093517"/>
  </r>
  <r>
    <n v="10890"/>
    <d v="2023-06-09T00:00:00"/>
    <d v="2023-06-16T00:00:00"/>
    <d v="2023-06-20T00:00:00"/>
    <x v="0"/>
    <s v="India"/>
    <s v="Karnataka"/>
    <s v="Kochi"/>
    <x v="0"/>
    <s v="Pen"/>
    <s v="Smartphone"/>
    <s v="Consumer"/>
    <n v="69336"/>
    <n v="0.14000000000000001"/>
    <n v="2654"/>
    <n v="21"/>
    <s v="UPI"/>
    <s v="High"/>
    <x v="2"/>
    <x v="5"/>
    <n v="7"/>
    <n v="11"/>
    <n v="3.8277373947155878E-2"/>
  </r>
  <r>
    <n v="10891"/>
    <d v="2023-06-10T00:00:00"/>
    <d v="2023-06-15T00:00:00"/>
    <d v="2023-06-18T00:00:00"/>
    <x v="1"/>
    <s v="India"/>
    <s v="Delhi"/>
    <s v="Chennai"/>
    <x v="2"/>
    <s v="Pen"/>
    <s v="Gel Pen"/>
    <s v="Consumer"/>
    <n v="33469"/>
    <n v="0.19"/>
    <n v="12985"/>
    <n v="2"/>
    <s v="UPI"/>
    <s v="Critical"/>
    <x v="2"/>
    <x v="5"/>
    <n v="5"/>
    <n v="8"/>
    <n v="0.3879709582001255"/>
  </r>
  <r>
    <n v="10892"/>
    <d v="2023-06-11T00:00:00"/>
    <d v="2023-06-13T00:00:00"/>
    <d v="2023-06-14T00:00:00"/>
    <x v="3"/>
    <s v="India"/>
    <s v="Tamil Nadu"/>
    <s v="Hyderabad"/>
    <x v="2"/>
    <s v="Chair"/>
    <s v="Laser Printer"/>
    <s v="Corporate"/>
    <n v="2814"/>
    <n v="0.15"/>
    <n v="5426"/>
    <n v="6"/>
    <s v="Cash"/>
    <s v="Medium"/>
    <x v="2"/>
    <x v="5"/>
    <n v="2"/>
    <n v="3"/>
    <n v="1.9282160625444207"/>
  </r>
  <r>
    <n v="10893"/>
    <d v="2023-06-12T00:00:00"/>
    <d v="2023-06-16T00:00:00"/>
    <d v="2023-06-19T00:00:00"/>
    <x v="1"/>
    <s v="India"/>
    <s v="Karnataka"/>
    <s v="Chennai"/>
    <x v="1"/>
    <s v="Laptop"/>
    <s v="Office Chair"/>
    <s v="Consumer"/>
    <n v="25362"/>
    <n v="0.03"/>
    <n v="1503"/>
    <n v="15"/>
    <s v="Debit Card"/>
    <s v="Low"/>
    <x v="2"/>
    <x v="5"/>
    <n v="4"/>
    <n v="7"/>
    <n v="5.9261887863733147E-2"/>
  </r>
  <r>
    <n v="10894"/>
    <d v="2023-06-13T00:00:00"/>
    <d v="2023-06-15T00:00:00"/>
    <d v="2023-06-19T00:00:00"/>
    <x v="0"/>
    <s v="India"/>
    <s v="Maharashtra"/>
    <s v="Mumbai"/>
    <x v="0"/>
    <s v="Printer"/>
    <s v="Office Chair"/>
    <s v="Consumer"/>
    <n v="52487"/>
    <n v="0.36"/>
    <n v="14790"/>
    <n v="15"/>
    <s v="UPI"/>
    <s v="Medium"/>
    <x v="2"/>
    <x v="5"/>
    <n v="2"/>
    <n v="6"/>
    <n v="0.28178406081505897"/>
  </r>
  <r>
    <n v="10895"/>
    <d v="2023-06-14T00:00:00"/>
    <d v="2023-06-19T00:00:00"/>
    <d v="2023-06-23T00:00:00"/>
    <x v="0"/>
    <s v="India"/>
    <s v="Karnataka"/>
    <s v="Delhi"/>
    <x v="2"/>
    <s v="Chair"/>
    <s v="Laser Printer"/>
    <s v="Home Office"/>
    <n v="74973"/>
    <n v="0.13"/>
    <n v="2681"/>
    <n v="18"/>
    <s v="Net Banking"/>
    <s v="Critical"/>
    <x v="2"/>
    <x v="5"/>
    <n v="5"/>
    <n v="9"/>
    <n v="3.5759540101103063E-2"/>
  </r>
  <r>
    <n v="10896"/>
    <d v="2023-06-15T00:00:00"/>
    <d v="2023-06-20T00:00:00"/>
    <d v="2023-06-25T00:00:00"/>
    <x v="0"/>
    <s v="India"/>
    <s v="Maharashtra"/>
    <s v="Delhi"/>
    <x v="1"/>
    <s v="Chair"/>
    <s v="Spiral Notebook"/>
    <s v="Corporate"/>
    <n v="42154"/>
    <n v="0.23"/>
    <n v="15690"/>
    <n v="23"/>
    <s v="UPI"/>
    <s v="Medium"/>
    <x v="2"/>
    <x v="5"/>
    <n v="5"/>
    <n v="10"/>
    <n v="0.37220667077857378"/>
  </r>
  <r>
    <n v="10897"/>
    <d v="2023-06-16T00:00:00"/>
    <d v="2023-06-21T00:00:00"/>
    <d v="2023-06-26T00:00:00"/>
    <x v="1"/>
    <s v="India"/>
    <s v="Maharashtra"/>
    <s v="Chennai"/>
    <x v="2"/>
    <s v="Table"/>
    <s v="Smartphone"/>
    <s v="Home Office"/>
    <n v="20643"/>
    <n v="0.22"/>
    <n v="10627"/>
    <n v="5"/>
    <s v="UPI"/>
    <s v="Low"/>
    <x v="2"/>
    <x v="5"/>
    <n v="5"/>
    <n v="10"/>
    <n v="0.51479920554183012"/>
  </r>
  <r>
    <n v="10898"/>
    <d v="2023-06-17T00:00:00"/>
    <d v="2023-06-21T00:00:00"/>
    <d v="2023-06-24T00:00:00"/>
    <x v="0"/>
    <s v="India"/>
    <s v="Maharashtra"/>
    <s v="Kochi"/>
    <x v="1"/>
    <s v="Printer"/>
    <s v="Laser Printer"/>
    <s v="Consumer"/>
    <n v="45628"/>
    <n v="0.05"/>
    <n v="5095"/>
    <n v="9"/>
    <s v="UPI"/>
    <s v="Low"/>
    <x v="2"/>
    <x v="5"/>
    <n v="4"/>
    <n v="7"/>
    <n v="0.11166389059349523"/>
  </r>
  <r>
    <n v="10899"/>
    <d v="2023-06-18T00:00:00"/>
    <d v="2023-06-20T00:00:00"/>
    <d v="2023-06-22T00:00:00"/>
    <x v="0"/>
    <s v="India"/>
    <s v="Kerala"/>
    <s v="Kochi"/>
    <x v="2"/>
    <s v="Table"/>
    <s v="Gaming Laptop"/>
    <s v="Corporate"/>
    <n v="24001"/>
    <n v="0.28000000000000003"/>
    <n v="-1243"/>
    <n v="18"/>
    <s v="Net Banking"/>
    <s v="Critical"/>
    <x v="2"/>
    <x v="5"/>
    <n v="2"/>
    <n v="4"/>
    <n v="-5.1789508770467896E-2"/>
  </r>
  <r>
    <n v="10900"/>
    <d v="2023-06-19T00:00:00"/>
    <d v="2023-06-25T00:00:00"/>
    <d v="2023-06-28T00:00:00"/>
    <x v="0"/>
    <s v="India"/>
    <s v="Delhi"/>
    <s v="Chennai"/>
    <x v="0"/>
    <s v="Table"/>
    <s v="Dining Table"/>
    <s v="Consumer"/>
    <n v="37951"/>
    <n v="0.11"/>
    <n v="12645"/>
    <n v="6"/>
    <s v="Cash"/>
    <s v="Low"/>
    <x v="2"/>
    <x v="5"/>
    <n v="6"/>
    <n v="9"/>
    <n v="0.33319280124370898"/>
  </r>
  <r>
    <n v="10901"/>
    <d v="2023-06-20T00:00:00"/>
    <d v="2023-06-25T00:00:00"/>
    <d v="2023-06-27T00:00:00"/>
    <x v="0"/>
    <s v="India"/>
    <s v="Kerala"/>
    <s v="Bangalore"/>
    <x v="0"/>
    <s v="Printer"/>
    <s v="Gel Pen"/>
    <s v="Home Office"/>
    <n v="57947"/>
    <n v="0.19"/>
    <n v="11188"/>
    <n v="20"/>
    <s v="Cash"/>
    <s v="Critical"/>
    <x v="2"/>
    <x v="5"/>
    <n v="5"/>
    <n v="7"/>
    <n v="0.19307298048216473"/>
  </r>
  <r>
    <n v="10902"/>
    <d v="2023-06-21T00:00:00"/>
    <d v="2023-06-28T00:00:00"/>
    <d v="2023-07-02T00:00:00"/>
    <x v="1"/>
    <s v="India"/>
    <s v="Karnataka"/>
    <s v="Kochi"/>
    <x v="0"/>
    <s v="Printer"/>
    <s v="Laser Printer"/>
    <s v="Corporate"/>
    <n v="6904"/>
    <n v="0.14000000000000001"/>
    <n v="5535"/>
    <n v="6"/>
    <s v="Net Banking"/>
    <s v="Medium"/>
    <x v="2"/>
    <x v="5"/>
    <n v="7"/>
    <n v="11"/>
    <n v="0.80170915411355737"/>
  </r>
  <r>
    <n v="10903"/>
    <d v="2023-06-22T00:00:00"/>
    <d v="2023-06-25T00:00:00"/>
    <d v="2023-06-29T00:00:00"/>
    <x v="1"/>
    <s v="India"/>
    <s v="Karnataka"/>
    <s v="Mumbai"/>
    <x v="0"/>
    <s v="Printer"/>
    <s v="Dining Table"/>
    <s v="Consumer"/>
    <n v="59318"/>
    <n v="0.31"/>
    <n v="3350"/>
    <n v="16"/>
    <s v="Debit Card"/>
    <s v="Critical"/>
    <x v="2"/>
    <x v="5"/>
    <n v="3"/>
    <n v="7"/>
    <n v="5.6475268889713069E-2"/>
  </r>
  <r>
    <n v="10904"/>
    <d v="2023-06-23T00:00:00"/>
    <d v="2023-06-27T00:00:00"/>
    <d v="2023-06-28T00:00:00"/>
    <x v="3"/>
    <s v="India"/>
    <s v="Karnataka"/>
    <s v="Mumbai"/>
    <x v="1"/>
    <s v="Mobile"/>
    <s v="Gaming Laptop"/>
    <s v="Home Office"/>
    <n v="57216"/>
    <n v="0.21"/>
    <n v="3941"/>
    <n v="10"/>
    <s v="Credit Card"/>
    <s v="Low"/>
    <x v="2"/>
    <x v="5"/>
    <n v="4"/>
    <n v="5"/>
    <n v="6.8879334451901572E-2"/>
  </r>
  <r>
    <n v="10905"/>
    <d v="2023-06-24T00:00:00"/>
    <d v="2023-06-26T00:00:00"/>
    <d v="2023-07-01T00:00:00"/>
    <x v="0"/>
    <s v="India"/>
    <s v="Telangana"/>
    <s v="Chennai"/>
    <x v="1"/>
    <s v="Laptop"/>
    <s v="Gaming Laptop"/>
    <s v="Corporate"/>
    <n v="7028"/>
    <n v="0.27"/>
    <n v="15535"/>
    <n v="15"/>
    <s v="UPI"/>
    <s v="High"/>
    <x v="2"/>
    <x v="5"/>
    <n v="2"/>
    <n v="7"/>
    <n v="2.2104439385315877"/>
  </r>
  <r>
    <n v="10906"/>
    <d v="2023-06-25T00:00:00"/>
    <d v="2023-06-27T00:00:00"/>
    <d v="2023-06-28T00:00:00"/>
    <x v="2"/>
    <s v="India"/>
    <s v="Telangana"/>
    <s v="Delhi"/>
    <x v="2"/>
    <s v="Pen"/>
    <s v="Laser Printer"/>
    <s v="Consumer"/>
    <n v="74251"/>
    <n v="0.06"/>
    <n v="-242"/>
    <n v="14"/>
    <s v="Net Banking"/>
    <s v="High"/>
    <x v="2"/>
    <x v="5"/>
    <n v="2"/>
    <n v="3"/>
    <n v="-3.2592153641028405E-3"/>
  </r>
  <r>
    <n v="10907"/>
    <d v="2023-06-26T00:00:00"/>
    <d v="2023-07-03T00:00:00"/>
    <d v="2023-07-07T00:00:00"/>
    <x v="1"/>
    <s v="India"/>
    <s v="Maharashtra"/>
    <s v="Bangalore"/>
    <x v="2"/>
    <s v="Notebook"/>
    <s v="Office Chair"/>
    <s v="Corporate"/>
    <n v="22564"/>
    <n v="0.38"/>
    <n v="17226"/>
    <n v="20"/>
    <s v="UPI"/>
    <s v="High"/>
    <x v="2"/>
    <x v="5"/>
    <n v="7"/>
    <n v="11"/>
    <n v="0.76342847012940973"/>
  </r>
  <r>
    <n v="10908"/>
    <d v="2023-06-27T00:00:00"/>
    <d v="2023-07-02T00:00:00"/>
    <d v="2023-07-03T00:00:00"/>
    <x v="1"/>
    <s v="India"/>
    <s v="Maharashtra"/>
    <s v="Chennai"/>
    <x v="2"/>
    <s v="Chair"/>
    <s v="Laser Printer"/>
    <s v="Consumer"/>
    <n v="35156"/>
    <n v="0.01"/>
    <n v="1808"/>
    <n v="20"/>
    <s v="Credit Card"/>
    <s v="Low"/>
    <x v="2"/>
    <x v="5"/>
    <n v="5"/>
    <n v="6"/>
    <n v="5.1427921265217884E-2"/>
  </r>
  <r>
    <n v="10909"/>
    <d v="2023-06-28T00:00:00"/>
    <d v="2023-07-03T00:00:00"/>
    <d v="2023-07-08T00:00:00"/>
    <x v="3"/>
    <s v="India"/>
    <s v="Tamil Nadu"/>
    <s v="Chennai"/>
    <x v="0"/>
    <s v="Notebook"/>
    <s v="Laser Printer"/>
    <s v="Corporate"/>
    <n v="27672"/>
    <n v="0.1"/>
    <n v="355"/>
    <n v="10"/>
    <s v="Net Banking"/>
    <s v="High"/>
    <x v="2"/>
    <x v="5"/>
    <n v="5"/>
    <n v="10"/>
    <n v="1.2828852269442035E-2"/>
  </r>
  <r>
    <n v="10910"/>
    <d v="2023-06-29T00:00:00"/>
    <d v="2023-07-05T00:00:00"/>
    <d v="2023-07-10T00:00:00"/>
    <x v="0"/>
    <s v="India"/>
    <s v="Delhi"/>
    <s v="Hyderabad"/>
    <x v="1"/>
    <s v="Mobile"/>
    <s v="Spiral Notebook"/>
    <s v="Consumer"/>
    <n v="10478"/>
    <n v="0.21"/>
    <n v="-1648"/>
    <n v="3"/>
    <s v="Credit Card"/>
    <s v="Medium"/>
    <x v="2"/>
    <x v="5"/>
    <n v="6"/>
    <n v="11"/>
    <n v="-0.15728192403130367"/>
  </r>
  <r>
    <n v="10911"/>
    <d v="2023-06-30T00:00:00"/>
    <d v="2023-07-04T00:00:00"/>
    <d v="2023-07-06T00:00:00"/>
    <x v="1"/>
    <s v="India"/>
    <s v="Maharashtra"/>
    <s v="Mumbai"/>
    <x v="0"/>
    <s v="Printer"/>
    <s v="Office Chair"/>
    <s v="Home Office"/>
    <n v="60608"/>
    <n v="0.31"/>
    <n v="16682"/>
    <n v="14"/>
    <s v="Net Banking"/>
    <s v="Low"/>
    <x v="2"/>
    <x v="5"/>
    <n v="4"/>
    <n v="6"/>
    <n v="0.27524419218585006"/>
  </r>
  <r>
    <n v="10912"/>
    <d v="2023-07-01T00:00:00"/>
    <d v="2023-07-06T00:00:00"/>
    <d v="2023-07-11T00:00:00"/>
    <x v="3"/>
    <s v="India"/>
    <s v="Maharashtra"/>
    <s v="Chennai"/>
    <x v="0"/>
    <s v="Chair"/>
    <s v="Smartphone"/>
    <s v="Home Office"/>
    <n v="37076"/>
    <n v="0.19"/>
    <n v="-1839"/>
    <n v="4"/>
    <s v="UPI"/>
    <s v="Medium"/>
    <x v="2"/>
    <x v="6"/>
    <n v="5"/>
    <n v="10"/>
    <n v="-4.9600819937425829E-2"/>
  </r>
  <r>
    <n v="10913"/>
    <d v="2023-07-02T00:00:00"/>
    <d v="2023-07-09T00:00:00"/>
    <d v="2023-07-10T00:00:00"/>
    <x v="2"/>
    <s v="India"/>
    <s v="Karnataka"/>
    <s v="Chennai"/>
    <x v="1"/>
    <s v="Mobile"/>
    <s v="Smartphone"/>
    <s v="Consumer"/>
    <n v="7386"/>
    <n v="0.28000000000000003"/>
    <n v="4656"/>
    <n v="9"/>
    <s v="Net Banking"/>
    <s v="High"/>
    <x v="2"/>
    <x v="6"/>
    <n v="7"/>
    <n v="8"/>
    <n v="0.63038180341186023"/>
  </r>
  <r>
    <n v="10914"/>
    <d v="2023-07-03T00:00:00"/>
    <d v="2023-07-08T00:00:00"/>
    <d v="2023-07-10T00:00:00"/>
    <x v="2"/>
    <s v="India"/>
    <s v="Maharashtra"/>
    <s v="Mumbai"/>
    <x v="2"/>
    <s v="Table"/>
    <s v="Spiral Notebook"/>
    <s v="Corporate"/>
    <n v="6063"/>
    <n v="0.26"/>
    <n v="6173"/>
    <n v="17"/>
    <s v="UPI"/>
    <s v="High"/>
    <x v="2"/>
    <x v="6"/>
    <n v="5"/>
    <n v="7"/>
    <n v="1.0181428335807357"/>
  </r>
  <r>
    <n v="10915"/>
    <d v="2023-07-04T00:00:00"/>
    <d v="2023-07-08T00:00:00"/>
    <d v="2023-07-12T00:00:00"/>
    <x v="2"/>
    <s v="India"/>
    <s v="Maharashtra"/>
    <s v="Mumbai"/>
    <x v="1"/>
    <s v="Table"/>
    <s v="Office Chair"/>
    <s v="Corporate"/>
    <n v="56545"/>
    <n v="0.28000000000000003"/>
    <n v="16101"/>
    <n v="8"/>
    <s v="UPI"/>
    <s v="Critical"/>
    <x v="2"/>
    <x v="6"/>
    <n v="4"/>
    <n v="8"/>
    <n v="0.28474666195065879"/>
  </r>
  <r>
    <n v="10916"/>
    <d v="2023-07-05T00:00:00"/>
    <d v="2023-07-08T00:00:00"/>
    <d v="2023-07-12T00:00:00"/>
    <x v="0"/>
    <s v="India"/>
    <s v="Tamil Nadu"/>
    <s v="Chennai"/>
    <x v="0"/>
    <s v="Notebook"/>
    <s v="Gaming Laptop"/>
    <s v="Corporate"/>
    <n v="6205"/>
    <n v="0.36"/>
    <n v="-56"/>
    <n v="12"/>
    <s v="Cash"/>
    <s v="Medium"/>
    <x v="2"/>
    <x v="6"/>
    <n v="3"/>
    <n v="7"/>
    <n v="-9.0249798549556816E-3"/>
  </r>
  <r>
    <n v="10917"/>
    <d v="2023-07-06T00:00:00"/>
    <d v="2023-07-10T00:00:00"/>
    <d v="2023-07-13T00:00:00"/>
    <x v="1"/>
    <s v="India"/>
    <s v="Telangana"/>
    <s v="Delhi"/>
    <x v="2"/>
    <s v="Printer"/>
    <s v="Laser Printer"/>
    <s v="Corporate"/>
    <n v="56062"/>
    <n v="0.18"/>
    <n v="-336"/>
    <n v="14"/>
    <s v="Net Banking"/>
    <s v="High"/>
    <x v="2"/>
    <x v="6"/>
    <n v="4"/>
    <n v="7"/>
    <n v="-5.9933644893154009E-3"/>
  </r>
  <r>
    <n v="10918"/>
    <d v="2023-07-07T00:00:00"/>
    <d v="2023-07-11T00:00:00"/>
    <d v="2023-07-14T00:00:00"/>
    <x v="1"/>
    <s v="India"/>
    <s v="Tamil Nadu"/>
    <s v="Mumbai"/>
    <x v="2"/>
    <s v="Printer"/>
    <s v="Office Chair"/>
    <s v="Corporate"/>
    <n v="32842"/>
    <n v="0.09"/>
    <n v="18244"/>
    <n v="13"/>
    <s v="Cash"/>
    <s v="High"/>
    <x v="2"/>
    <x v="6"/>
    <n v="4"/>
    <n v="7"/>
    <n v="0.55550819073138058"/>
  </r>
  <r>
    <n v="10919"/>
    <d v="2023-07-08T00:00:00"/>
    <d v="2023-07-14T00:00:00"/>
    <d v="2023-07-15T00:00:00"/>
    <x v="2"/>
    <s v="India"/>
    <s v="Tamil Nadu"/>
    <s v="Kochi"/>
    <x v="2"/>
    <s v="Notebook"/>
    <s v="Gel Pen"/>
    <s v="Consumer"/>
    <n v="40691"/>
    <n v="0.33"/>
    <n v="13347"/>
    <n v="2"/>
    <s v="Debit Card"/>
    <s v="Medium"/>
    <x v="2"/>
    <x v="6"/>
    <n v="6"/>
    <n v="7"/>
    <n v="0.32800865056154926"/>
  </r>
  <r>
    <n v="10920"/>
    <d v="2023-07-09T00:00:00"/>
    <d v="2023-07-11T00:00:00"/>
    <d v="2023-07-13T00:00:00"/>
    <x v="0"/>
    <s v="India"/>
    <s v="Karnataka"/>
    <s v="Kochi"/>
    <x v="0"/>
    <s v="Notebook"/>
    <s v="Gaming Laptop"/>
    <s v="Corporate"/>
    <n v="67754"/>
    <n v="0.15"/>
    <n v="8839"/>
    <n v="21"/>
    <s v="Net Banking"/>
    <s v="Medium"/>
    <x v="2"/>
    <x v="6"/>
    <n v="2"/>
    <n v="4"/>
    <n v="0.13045724237683384"/>
  </r>
  <r>
    <n v="10921"/>
    <d v="2023-07-10T00:00:00"/>
    <d v="2023-07-16T00:00:00"/>
    <d v="2023-07-19T00:00:00"/>
    <x v="0"/>
    <s v="India"/>
    <s v="Maharashtra"/>
    <s v="Hyderabad"/>
    <x v="1"/>
    <s v="Laptop"/>
    <s v="Laser Printer"/>
    <s v="Home Office"/>
    <n v="2346"/>
    <n v="0.09"/>
    <n v="11335"/>
    <n v="5"/>
    <s v="Debit Card"/>
    <s v="Low"/>
    <x v="2"/>
    <x v="6"/>
    <n v="6"/>
    <n v="9"/>
    <n v="4.8316283034953109"/>
  </r>
  <r>
    <n v="10922"/>
    <d v="2023-07-11T00:00:00"/>
    <d v="2023-07-14T00:00:00"/>
    <d v="2023-07-15T00:00:00"/>
    <x v="0"/>
    <s v="India"/>
    <s v="Delhi"/>
    <s v="Bangalore"/>
    <x v="0"/>
    <s v="Mobile"/>
    <s v="Dining Table"/>
    <s v="Home Office"/>
    <n v="8790"/>
    <n v="0.01"/>
    <n v="-1447"/>
    <n v="5"/>
    <s v="Cash"/>
    <s v="Medium"/>
    <x v="2"/>
    <x v="6"/>
    <n v="3"/>
    <n v="4"/>
    <n v="-0.16461888509670081"/>
  </r>
  <r>
    <n v="10923"/>
    <d v="2023-07-12T00:00:00"/>
    <d v="2023-07-16T00:00:00"/>
    <d v="2023-07-18T00:00:00"/>
    <x v="3"/>
    <s v="India"/>
    <s v="Delhi"/>
    <s v="Mumbai"/>
    <x v="2"/>
    <s v="Pen"/>
    <s v="Smartphone"/>
    <s v="Consumer"/>
    <n v="62191"/>
    <n v="0.36"/>
    <n v="12612"/>
    <n v="12"/>
    <s v="Credit Card"/>
    <s v="Low"/>
    <x v="2"/>
    <x v="6"/>
    <n v="4"/>
    <n v="6"/>
    <n v="0.20279461658439324"/>
  </r>
  <r>
    <n v="10924"/>
    <d v="2023-07-13T00:00:00"/>
    <d v="2023-07-20T00:00:00"/>
    <d v="2023-07-22T00:00:00"/>
    <x v="2"/>
    <s v="India"/>
    <s v="Karnataka"/>
    <s v="Hyderabad"/>
    <x v="2"/>
    <s v="Mobile"/>
    <s v="Spiral Notebook"/>
    <s v="Home Office"/>
    <n v="11071"/>
    <n v="0.27"/>
    <n v="19100"/>
    <n v="19"/>
    <s v="Cash"/>
    <s v="Critical"/>
    <x v="2"/>
    <x v="6"/>
    <n v="7"/>
    <n v="9"/>
    <n v="1.7252280733447747"/>
  </r>
  <r>
    <n v="10925"/>
    <d v="2023-07-14T00:00:00"/>
    <d v="2023-07-19T00:00:00"/>
    <d v="2023-07-21T00:00:00"/>
    <x v="0"/>
    <s v="India"/>
    <s v="Tamil Nadu"/>
    <s v="Kochi"/>
    <x v="2"/>
    <s v="Table"/>
    <s v="Office Chair"/>
    <s v="Corporate"/>
    <n v="43201"/>
    <n v="0.16"/>
    <n v="10100"/>
    <n v="7"/>
    <s v="Cash"/>
    <s v="Low"/>
    <x v="2"/>
    <x v="6"/>
    <n v="5"/>
    <n v="7"/>
    <n v="0.23379088447026689"/>
  </r>
  <r>
    <n v="10926"/>
    <d v="2023-07-15T00:00:00"/>
    <d v="2023-07-20T00:00:00"/>
    <d v="2023-07-24T00:00:00"/>
    <x v="1"/>
    <s v="India"/>
    <s v="Maharashtra"/>
    <s v="Bangalore"/>
    <x v="1"/>
    <s v="Laptop"/>
    <s v="Office Chair"/>
    <s v="Consumer"/>
    <n v="9383"/>
    <n v="0.08"/>
    <n v="19165"/>
    <n v="10"/>
    <s v="UPI"/>
    <s v="High"/>
    <x v="2"/>
    <x v="6"/>
    <n v="5"/>
    <n v="9"/>
    <n v="2.0425237130981562"/>
  </r>
  <r>
    <n v="10927"/>
    <d v="2023-07-16T00:00:00"/>
    <d v="2023-07-22T00:00:00"/>
    <d v="2023-07-27T00:00:00"/>
    <x v="2"/>
    <s v="India"/>
    <s v="Kerala"/>
    <s v="Kochi"/>
    <x v="0"/>
    <s v="Notebook"/>
    <s v="Dining Table"/>
    <s v="Home Office"/>
    <n v="33155"/>
    <n v="0.37"/>
    <n v="6609"/>
    <n v="21"/>
    <s v="Net Banking"/>
    <s v="Low"/>
    <x v="2"/>
    <x v="6"/>
    <n v="6"/>
    <n v="11"/>
    <n v="0.19933645000754033"/>
  </r>
  <r>
    <n v="10928"/>
    <d v="2023-07-17T00:00:00"/>
    <d v="2023-07-24T00:00:00"/>
    <d v="2023-07-28T00:00:00"/>
    <x v="3"/>
    <s v="India"/>
    <s v="Tamil Nadu"/>
    <s v="Delhi"/>
    <x v="1"/>
    <s v="Table"/>
    <s v="Office Chair"/>
    <s v="Home Office"/>
    <n v="24397"/>
    <n v="7.0000000000000007E-2"/>
    <n v="12204"/>
    <n v="8"/>
    <s v="Cash"/>
    <s v="High"/>
    <x v="2"/>
    <x v="6"/>
    <n v="7"/>
    <n v="11"/>
    <n v="0.50022543755379756"/>
  </r>
  <r>
    <n v="10929"/>
    <d v="2023-07-18T00:00:00"/>
    <d v="2023-07-23T00:00:00"/>
    <d v="2023-07-28T00:00:00"/>
    <x v="0"/>
    <s v="India"/>
    <s v="Telangana"/>
    <s v="Mumbai"/>
    <x v="2"/>
    <s v="Mobile"/>
    <s v="Spiral Notebook"/>
    <s v="Corporate"/>
    <n v="59055"/>
    <n v="0.21"/>
    <n v="19620"/>
    <n v="20"/>
    <s v="Credit Card"/>
    <s v="Low"/>
    <x v="2"/>
    <x v="6"/>
    <n v="5"/>
    <n v="10"/>
    <n v="0.33223266446532895"/>
  </r>
  <r>
    <n v="10930"/>
    <d v="2023-07-19T00:00:00"/>
    <d v="2023-07-23T00:00:00"/>
    <d v="2023-07-25T00:00:00"/>
    <x v="1"/>
    <s v="India"/>
    <s v="Telangana"/>
    <s v="Delhi"/>
    <x v="0"/>
    <s v="Laptop"/>
    <s v="Laser Printer"/>
    <s v="Home Office"/>
    <n v="43707"/>
    <n v="0.08"/>
    <n v="12494"/>
    <n v="16"/>
    <s v="Credit Card"/>
    <s v="Low"/>
    <x v="2"/>
    <x v="6"/>
    <n v="4"/>
    <n v="6"/>
    <n v="0.28585810053309541"/>
  </r>
  <r>
    <n v="10931"/>
    <d v="2023-07-20T00:00:00"/>
    <d v="2023-07-24T00:00:00"/>
    <d v="2023-07-27T00:00:00"/>
    <x v="1"/>
    <s v="India"/>
    <s v="Maharashtra"/>
    <s v="Kochi"/>
    <x v="0"/>
    <s v="Mobile"/>
    <s v="Laser Printer"/>
    <s v="Home Office"/>
    <n v="2267"/>
    <n v="0.31"/>
    <n v="12966"/>
    <n v="21"/>
    <s v="Net Banking"/>
    <s v="High"/>
    <x v="2"/>
    <x v="6"/>
    <n v="4"/>
    <n v="7"/>
    <n v="5.7194530216144681"/>
  </r>
  <r>
    <n v="10932"/>
    <d v="2023-07-21T00:00:00"/>
    <d v="2023-07-23T00:00:00"/>
    <d v="2023-07-26T00:00:00"/>
    <x v="3"/>
    <s v="India"/>
    <s v="Tamil Nadu"/>
    <s v="Chennai"/>
    <x v="0"/>
    <s v="Notebook"/>
    <s v="Gel Pen"/>
    <s v="Home Office"/>
    <n v="47683"/>
    <n v="0.19"/>
    <n v="-1101"/>
    <n v="22"/>
    <s v="Credit Card"/>
    <s v="Low"/>
    <x v="2"/>
    <x v="6"/>
    <n v="2"/>
    <n v="5"/>
    <n v="-2.3089990143237631E-2"/>
  </r>
  <r>
    <n v="10933"/>
    <d v="2023-07-22T00:00:00"/>
    <d v="2023-07-28T00:00:00"/>
    <d v="2023-08-01T00:00:00"/>
    <x v="0"/>
    <s v="India"/>
    <s v="Tamil Nadu"/>
    <s v="Kochi"/>
    <x v="2"/>
    <s v="Notebook"/>
    <s v="Spiral Notebook"/>
    <s v="Home Office"/>
    <n v="68458"/>
    <n v="7.0000000000000007E-2"/>
    <n v="9154"/>
    <n v="19"/>
    <s v="Cash"/>
    <s v="Medium"/>
    <x v="2"/>
    <x v="6"/>
    <n v="6"/>
    <n v="10"/>
    <n v="0.13371702357649945"/>
  </r>
  <r>
    <n v="10934"/>
    <d v="2023-07-23T00:00:00"/>
    <d v="2023-07-27T00:00:00"/>
    <d v="2023-07-31T00:00:00"/>
    <x v="1"/>
    <s v="India"/>
    <s v="Kerala"/>
    <s v="Hyderabad"/>
    <x v="2"/>
    <s v="Pen"/>
    <s v="Gaming Laptop"/>
    <s v="Home Office"/>
    <n v="14523"/>
    <n v="0.06"/>
    <n v="10741"/>
    <n v="14"/>
    <s v="Cash"/>
    <s v="Critical"/>
    <x v="2"/>
    <x v="6"/>
    <n v="4"/>
    <n v="8"/>
    <n v="0.73958548509261168"/>
  </r>
  <r>
    <n v="10935"/>
    <d v="2023-07-24T00:00:00"/>
    <d v="2023-07-31T00:00:00"/>
    <d v="2023-08-03T00:00:00"/>
    <x v="2"/>
    <s v="India"/>
    <s v="Maharashtra"/>
    <s v="Mumbai"/>
    <x v="1"/>
    <s v="Table"/>
    <s v="Spiral Notebook"/>
    <s v="Consumer"/>
    <n v="48745"/>
    <n v="0"/>
    <n v="10812"/>
    <n v="9"/>
    <s v="UPI"/>
    <s v="High"/>
    <x v="2"/>
    <x v="6"/>
    <n v="7"/>
    <n v="10"/>
    <n v="0.22180736485793415"/>
  </r>
  <r>
    <n v="10936"/>
    <d v="2023-07-25T00:00:00"/>
    <d v="2023-07-29T00:00:00"/>
    <d v="2023-07-30T00:00:00"/>
    <x v="2"/>
    <s v="India"/>
    <s v="Kerala"/>
    <s v="Chennai"/>
    <x v="0"/>
    <s v="Table"/>
    <s v="Laser Printer"/>
    <s v="Corporate"/>
    <n v="35274"/>
    <n v="0.24"/>
    <n v="10164"/>
    <n v="3"/>
    <s v="Debit Card"/>
    <s v="Low"/>
    <x v="2"/>
    <x v="6"/>
    <n v="4"/>
    <n v="5"/>
    <n v="0.28814424221806428"/>
  </r>
  <r>
    <n v="10937"/>
    <d v="2023-07-26T00:00:00"/>
    <d v="2023-07-28T00:00:00"/>
    <d v="2023-07-29T00:00:00"/>
    <x v="2"/>
    <s v="India"/>
    <s v="Delhi"/>
    <s v="Chennai"/>
    <x v="0"/>
    <s v="Mobile"/>
    <s v="Laser Printer"/>
    <s v="Home Office"/>
    <n v="29940"/>
    <n v="0.2"/>
    <n v="231"/>
    <n v="9"/>
    <s v="UPI"/>
    <s v="Medium"/>
    <x v="2"/>
    <x v="6"/>
    <n v="2"/>
    <n v="3"/>
    <n v="7.7154308617234466E-3"/>
  </r>
  <r>
    <n v="10938"/>
    <d v="2023-07-27T00:00:00"/>
    <d v="2023-08-03T00:00:00"/>
    <d v="2023-08-08T00:00:00"/>
    <x v="0"/>
    <s v="India"/>
    <s v="Maharashtra"/>
    <s v="Kochi"/>
    <x v="2"/>
    <s v="Mobile"/>
    <s v="Gel Pen"/>
    <s v="Consumer"/>
    <n v="37261"/>
    <n v="0.08"/>
    <n v="2335"/>
    <n v="17"/>
    <s v="UPI"/>
    <s v="Medium"/>
    <x v="2"/>
    <x v="6"/>
    <n v="7"/>
    <n v="12"/>
    <n v="6.2666058345186654E-2"/>
  </r>
  <r>
    <n v="10939"/>
    <d v="2023-07-28T00:00:00"/>
    <d v="2023-08-02T00:00:00"/>
    <d v="2023-08-07T00:00:00"/>
    <x v="2"/>
    <s v="India"/>
    <s v="Telangana"/>
    <s v="Kochi"/>
    <x v="0"/>
    <s v="Mobile"/>
    <s v="Spiral Notebook"/>
    <s v="Consumer"/>
    <n v="29477"/>
    <n v="0.01"/>
    <n v="-442"/>
    <n v="23"/>
    <s v="Net Banking"/>
    <s v="Medium"/>
    <x v="2"/>
    <x v="6"/>
    <n v="5"/>
    <n v="10"/>
    <n v="-1.4994741662991485E-2"/>
  </r>
  <r>
    <n v="10940"/>
    <d v="2023-07-29T00:00:00"/>
    <d v="2023-08-02T00:00:00"/>
    <d v="2023-08-07T00:00:00"/>
    <x v="1"/>
    <s v="India"/>
    <s v="Telangana"/>
    <s v="Kochi"/>
    <x v="1"/>
    <s v="Printer"/>
    <s v="Spiral Notebook"/>
    <s v="Corporate"/>
    <n v="1898"/>
    <n v="0.33"/>
    <n v="19021"/>
    <n v="18"/>
    <s v="Credit Card"/>
    <s v="High"/>
    <x v="2"/>
    <x v="6"/>
    <n v="4"/>
    <n v="9"/>
    <n v="10.021601685985248"/>
  </r>
  <r>
    <n v="10941"/>
    <d v="2023-07-30T00:00:00"/>
    <d v="2023-08-02T00:00:00"/>
    <d v="2023-08-06T00:00:00"/>
    <x v="2"/>
    <s v="India"/>
    <s v="Tamil Nadu"/>
    <s v="Delhi"/>
    <x v="2"/>
    <s v="Table"/>
    <s v="Gaming Laptop"/>
    <s v="Corporate"/>
    <n v="16848"/>
    <n v="0.33"/>
    <n v="5043"/>
    <n v="18"/>
    <s v="UPI"/>
    <s v="Medium"/>
    <x v="2"/>
    <x v="6"/>
    <n v="3"/>
    <n v="7"/>
    <n v="0.29932336182336183"/>
  </r>
  <r>
    <n v="10942"/>
    <d v="2023-07-31T00:00:00"/>
    <d v="2023-08-06T00:00:00"/>
    <d v="2023-08-08T00:00:00"/>
    <x v="2"/>
    <s v="India"/>
    <s v="Kerala"/>
    <s v="Delhi"/>
    <x v="0"/>
    <s v="Chair"/>
    <s v="Smartphone"/>
    <s v="Consumer"/>
    <n v="12379"/>
    <n v="0.22"/>
    <n v="19659"/>
    <n v="13"/>
    <s v="UPI"/>
    <s v="High"/>
    <x v="2"/>
    <x v="6"/>
    <n v="6"/>
    <n v="8"/>
    <n v="1.5880927377009451"/>
  </r>
  <r>
    <n v="10943"/>
    <d v="2023-08-01T00:00:00"/>
    <d v="2023-08-08T00:00:00"/>
    <d v="2023-08-09T00:00:00"/>
    <x v="3"/>
    <s v="India"/>
    <s v="Delhi"/>
    <s v="Bangalore"/>
    <x v="1"/>
    <s v="Mobile"/>
    <s v="Office Chair"/>
    <s v="Consumer"/>
    <n v="38087"/>
    <n v="0.03"/>
    <n v="3979"/>
    <n v="8"/>
    <s v="Debit Card"/>
    <s v="Critical"/>
    <x v="2"/>
    <x v="7"/>
    <n v="7"/>
    <n v="8"/>
    <n v="0.10447134192769186"/>
  </r>
  <r>
    <n v="10944"/>
    <d v="2023-08-02T00:00:00"/>
    <d v="2023-08-05T00:00:00"/>
    <d v="2023-08-08T00:00:00"/>
    <x v="0"/>
    <s v="India"/>
    <s v="Tamil Nadu"/>
    <s v="Delhi"/>
    <x v="1"/>
    <s v="Notebook"/>
    <s v="Dining Table"/>
    <s v="Corporate"/>
    <n v="44440"/>
    <n v="0.04"/>
    <n v="15510"/>
    <n v="17"/>
    <s v="Credit Card"/>
    <s v="Low"/>
    <x v="2"/>
    <x v="7"/>
    <n v="3"/>
    <n v="6"/>
    <n v="0.34900990099009899"/>
  </r>
  <r>
    <n v="10945"/>
    <d v="2023-08-03T00:00:00"/>
    <d v="2023-08-05T00:00:00"/>
    <d v="2023-08-09T00:00:00"/>
    <x v="0"/>
    <s v="India"/>
    <s v="Telangana"/>
    <s v="Mumbai"/>
    <x v="1"/>
    <s v="Mobile"/>
    <s v="Office Chair"/>
    <s v="Consumer"/>
    <n v="33156"/>
    <n v="0.06"/>
    <n v="19293"/>
    <n v="5"/>
    <s v="Debit Card"/>
    <s v="High"/>
    <x v="2"/>
    <x v="7"/>
    <n v="2"/>
    <n v="6"/>
    <n v="0.5818856315598987"/>
  </r>
  <r>
    <n v="10946"/>
    <d v="2023-08-04T00:00:00"/>
    <d v="2023-08-11T00:00:00"/>
    <d v="2023-08-14T00:00:00"/>
    <x v="0"/>
    <s v="India"/>
    <s v="Karnataka"/>
    <s v="Hyderabad"/>
    <x v="1"/>
    <s v="Chair"/>
    <s v="Spiral Notebook"/>
    <s v="Corporate"/>
    <n v="12410"/>
    <n v="0.28000000000000003"/>
    <n v="17548"/>
    <n v="8"/>
    <s v="UPI"/>
    <s v="Low"/>
    <x v="2"/>
    <x v="7"/>
    <n v="7"/>
    <n v="10"/>
    <n v="1.4140209508460919"/>
  </r>
  <r>
    <n v="10947"/>
    <d v="2023-08-05T00:00:00"/>
    <d v="2023-08-12T00:00:00"/>
    <d v="2023-08-13T00:00:00"/>
    <x v="3"/>
    <s v="India"/>
    <s v="Telangana"/>
    <s v="Hyderabad"/>
    <x v="0"/>
    <s v="Laptop"/>
    <s v="Spiral Notebook"/>
    <s v="Home Office"/>
    <n v="56594"/>
    <n v="0.4"/>
    <n v="637"/>
    <n v="6"/>
    <s v="Cash"/>
    <s v="Critical"/>
    <x v="2"/>
    <x v="7"/>
    <n v="7"/>
    <n v="8"/>
    <n v="1.1255610135350038E-2"/>
  </r>
  <r>
    <n v="10948"/>
    <d v="2023-08-06T00:00:00"/>
    <d v="2023-08-09T00:00:00"/>
    <d v="2023-08-10T00:00:00"/>
    <x v="0"/>
    <s v="India"/>
    <s v="Maharashtra"/>
    <s v="Bangalore"/>
    <x v="0"/>
    <s v="Table"/>
    <s v="Dining Table"/>
    <s v="Corporate"/>
    <n v="52923"/>
    <n v="0.04"/>
    <n v="10095"/>
    <n v="15"/>
    <s v="Debit Card"/>
    <s v="High"/>
    <x v="2"/>
    <x v="7"/>
    <n v="3"/>
    <n v="4"/>
    <n v="0.19074882376282523"/>
  </r>
  <r>
    <n v="10949"/>
    <d v="2023-08-07T00:00:00"/>
    <d v="2023-08-14T00:00:00"/>
    <d v="2023-08-19T00:00:00"/>
    <x v="3"/>
    <s v="India"/>
    <s v="Telangana"/>
    <s v="Bangalore"/>
    <x v="2"/>
    <s v="Pen"/>
    <s v="Smartphone"/>
    <s v="Corporate"/>
    <n v="45051"/>
    <n v="0.17"/>
    <n v="10848"/>
    <n v="4"/>
    <s v="Credit Card"/>
    <s v="Low"/>
    <x v="2"/>
    <x v="7"/>
    <n v="7"/>
    <n v="12"/>
    <n v="0.24079376706399414"/>
  </r>
  <r>
    <n v="10950"/>
    <d v="2023-08-08T00:00:00"/>
    <d v="2023-08-13T00:00:00"/>
    <d v="2023-08-15T00:00:00"/>
    <x v="1"/>
    <s v="India"/>
    <s v="Karnataka"/>
    <s v="Hyderabad"/>
    <x v="2"/>
    <s v="Table"/>
    <s v="Spiral Notebook"/>
    <s v="Home Office"/>
    <n v="36284"/>
    <n v="0.21"/>
    <n v="3201"/>
    <n v="3"/>
    <s v="UPI"/>
    <s v="Low"/>
    <x v="2"/>
    <x v="7"/>
    <n v="5"/>
    <n v="7"/>
    <n v="8.8220703340315287E-2"/>
  </r>
  <r>
    <n v="10951"/>
    <d v="2023-08-09T00:00:00"/>
    <d v="2023-08-14T00:00:00"/>
    <d v="2023-08-16T00:00:00"/>
    <x v="1"/>
    <s v="India"/>
    <s v="Delhi"/>
    <s v="Kochi"/>
    <x v="0"/>
    <s v="Notebook"/>
    <s v="Smartphone"/>
    <s v="Home Office"/>
    <n v="3220"/>
    <n v="0.34"/>
    <n v="4970"/>
    <n v="16"/>
    <s v="Credit Card"/>
    <s v="Medium"/>
    <x v="2"/>
    <x v="7"/>
    <n v="5"/>
    <n v="7"/>
    <n v="1.5434782608695652"/>
  </r>
  <r>
    <n v="10952"/>
    <d v="2023-08-10T00:00:00"/>
    <d v="2023-08-15T00:00:00"/>
    <d v="2023-08-20T00:00:00"/>
    <x v="1"/>
    <s v="India"/>
    <s v="Delhi"/>
    <s v="Mumbai"/>
    <x v="0"/>
    <s v="Chair"/>
    <s v="Gel Pen"/>
    <s v="Home Office"/>
    <n v="37703"/>
    <n v="0.28999999999999998"/>
    <n v="4331"/>
    <n v="13"/>
    <s v="Net Banking"/>
    <s v="Low"/>
    <x v="2"/>
    <x v="7"/>
    <n v="5"/>
    <n v="10"/>
    <n v="0.11487149563695197"/>
  </r>
  <r>
    <n v="10953"/>
    <d v="2023-08-11T00:00:00"/>
    <d v="2023-08-18T00:00:00"/>
    <d v="2023-08-21T00:00:00"/>
    <x v="3"/>
    <s v="India"/>
    <s v="Telangana"/>
    <s v="Bangalore"/>
    <x v="0"/>
    <s v="Chair"/>
    <s v="Spiral Notebook"/>
    <s v="Corporate"/>
    <n v="39198"/>
    <n v="0.33"/>
    <n v="17509"/>
    <n v="1"/>
    <s v="Debit Card"/>
    <s v="Critical"/>
    <x v="2"/>
    <x v="7"/>
    <n v="7"/>
    <n v="10"/>
    <n v="0.44668095310985256"/>
  </r>
  <r>
    <n v="10954"/>
    <d v="2023-08-12T00:00:00"/>
    <d v="2023-08-14T00:00:00"/>
    <d v="2023-08-19T00:00:00"/>
    <x v="0"/>
    <s v="India"/>
    <s v="Tamil Nadu"/>
    <s v="Mumbai"/>
    <x v="0"/>
    <s v="Mobile"/>
    <s v="Spiral Notebook"/>
    <s v="Home Office"/>
    <n v="5874"/>
    <n v="0.36"/>
    <n v="10629"/>
    <n v="12"/>
    <s v="Cash"/>
    <s v="Low"/>
    <x v="2"/>
    <x v="7"/>
    <n v="2"/>
    <n v="7"/>
    <n v="1.8094994892747702"/>
  </r>
  <r>
    <n v="10955"/>
    <d v="2023-08-13T00:00:00"/>
    <d v="2023-08-17T00:00:00"/>
    <d v="2023-08-21T00:00:00"/>
    <x v="1"/>
    <s v="India"/>
    <s v="Delhi"/>
    <s v="Hyderabad"/>
    <x v="2"/>
    <s v="Printer"/>
    <s v="Gaming Laptop"/>
    <s v="Home Office"/>
    <n v="12454"/>
    <n v="0.25"/>
    <n v="2123"/>
    <n v="6"/>
    <s v="UPI"/>
    <s v="High"/>
    <x v="2"/>
    <x v="7"/>
    <n v="4"/>
    <n v="8"/>
    <n v="0.17046731973663079"/>
  </r>
  <r>
    <n v="10956"/>
    <d v="2023-08-14T00:00:00"/>
    <d v="2023-08-18T00:00:00"/>
    <d v="2023-08-23T00:00:00"/>
    <x v="2"/>
    <s v="India"/>
    <s v="Karnataka"/>
    <s v="Mumbai"/>
    <x v="2"/>
    <s v="Printer"/>
    <s v="Gaming Laptop"/>
    <s v="Consumer"/>
    <n v="57008"/>
    <n v="0.33"/>
    <n v="7198"/>
    <n v="24"/>
    <s v="Net Banking"/>
    <s v="High"/>
    <x v="2"/>
    <x v="7"/>
    <n v="4"/>
    <n v="9"/>
    <n v="0.12626298063429695"/>
  </r>
  <r>
    <n v="10957"/>
    <d v="2023-08-15T00:00:00"/>
    <d v="2023-08-19T00:00:00"/>
    <d v="2023-08-20T00:00:00"/>
    <x v="0"/>
    <s v="India"/>
    <s v="Telangana"/>
    <s v="Kochi"/>
    <x v="2"/>
    <s v="Mobile"/>
    <s v="Gaming Laptop"/>
    <s v="Home Office"/>
    <n v="63680"/>
    <n v="0.2"/>
    <n v="791"/>
    <n v="3"/>
    <s v="Net Banking"/>
    <s v="Medium"/>
    <x v="2"/>
    <x v="7"/>
    <n v="4"/>
    <n v="5"/>
    <n v="1.2421482412060302E-2"/>
  </r>
  <r>
    <n v="10958"/>
    <d v="2023-08-16T00:00:00"/>
    <d v="2023-08-20T00:00:00"/>
    <d v="2023-08-21T00:00:00"/>
    <x v="0"/>
    <s v="India"/>
    <s v="Telangana"/>
    <s v="Delhi"/>
    <x v="1"/>
    <s v="Printer"/>
    <s v="Spiral Notebook"/>
    <s v="Home Office"/>
    <n v="69197"/>
    <n v="0.02"/>
    <n v="19947"/>
    <n v="19"/>
    <s v="Debit Card"/>
    <s v="Low"/>
    <x v="2"/>
    <x v="7"/>
    <n v="4"/>
    <n v="5"/>
    <n v="0.28826394207841383"/>
  </r>
  <r>
    <n v="10959"/>
    <d v="2023-08-17T00:00:00"/>
    <d v="2023-08-20T00:00:00"/>
    <d v="2023-08-21T00:00:00"/>
    <x v="3"/>
    <s v="India"/>
    <s v="Tamil Nadu"/>
    <s v="Delhi"/>
    <x v="1"/>
    <s v="Mobile"/>
    <s v="Laser Printer"/>
    <s v="Corporate"/>
    <n v="1676"/>
    <n v="0.09"/>
    <n v="5714"/>
    <n v="1"/>
    <s v="Cash"/>
    <s v="Critical"/>
    <x v="2"/>
    <x v="7"/>
    <n v="3"/>
    <n v="4"/>
    <n v="3.4093078758949882"/>
  </r>
  <r>
    <n v="10960"/>
    <d v="2023-08-18T00:00:00"/>
    <d v="2023-08-20T00:00:00"/>
    <d v="2023-08-24T00:00:00"/>
    <x v="1"/>
    <s v="India"/>
    <s v="Tamil Nadu"/>
    <s v="Hyderabad"/>
    <x v="1"/>
    <s v="Chair"/>
    <s v="Smartphone"/>
    <s v="Corporate"/>
    <n v="13431"/>
    <n v="0.38"/>
    <n v="6247"/>
    <n v="17"/>
    <s v="Debit Card"/>
    <s v="Critical"/>
    <x v="2"/>
    <x v="7"/>
    <n v="2"/>
    <n v="6"/>
    <n v="0.46511801057255603"/>
  </r>
  <r>
    <n v="10961"/>
    <d v="2023-08-19T00:00:00"/>
    <d v="2023-08-23T00:00:00"/>
    <d v="2023-08-28T00:00:00"/>
    <x v="2"/>
    <s v="India"/>
    <s v="Kerala"/>
    <s v="Kochi"/>
    <x v="1"/>
    <s v="Chair"/>
    <s v="Laser Printer"/>
    <s v="Home Office"/>
    <n v="14786"/>
    <n v="0.16"/>
    <n v="-750"/>
    <n v="15"/>
    <s v="Debit Card"/>
    <s v="Critical"/>
    <x v="2"/>
    <x v="7"/>
    <n v="4"/>
    <n v="9"/>
    <n v="-5.0723657513864463E-2"/>
  </r>
  <r>
    <n v="10962"/>
    <d v="2023-08-20T00:00:00"/>
    <d v="2023-08-25T00:00:00"/>
    <d v="2023-08-27T00:00:00"/>
    <x v="0"/>
    <s v="India"/>
    <s v="Tamil Nadu"/>
    <s v="Chennai"/>
    <x v="0"/>
    <s v="Pen"/>
    <s v="Gel Pen"/>
    <s v="Corporate"/>
    <n v="27360"/>
    <n v="0.2"/>
    <n v="8684"/>
    <n v="9"/>
    <s v="Debit Card"/>
    <s v="Critical"/>
    <x v="2"/>
    <x v="7"/>
    <n v="5"/>
    <n v="7"/>
    <n v="0.31739766081871346"/>
  </r>
  <r>
    <n v="10963"/>
    <d v="2023-08-21T00:00:00"/>
    <d v="2023-08-26T00:00:00"/>
    <d v="2023-08-28T00:00:00"/>
    <x v="1"/>
    <s v="India"/>
    <s v="Kerala"/>
    <s v="Hyderabad"/>
    <x v="2"/>
    <s v="Printer"/>
    <s v="Spiral Notebook"/>
    <s v="Home Office"/>
    <n v="50583"/>
    <n v="0.39"/>
    <n v="17676"/>
    <n v="7"/>
    <s v="Debit Card"/>
    <s v="High"/>
    <x v="2"/>
    <x v="7"/>
    <n v="5"/>
    <n v="7"/>
    <n v="0.34944546586797937"/>
  </r>
  <r>
    <n v="10964"/>
    <d v="2023-08-22T00:00:00"/>
    <d v="2023-08-29T00:00:00"/>
    <d v="2023-09-03T00:00:00"/>
    <x v="3"/>
    <s v="India"/>
    <s v="Telangana"/>
    <s v="Mumbai"/>
    <x v="0"/>
    <s v="Pen"/>
    <s v="Smartphone"/>
    <s v="Corporate"/>
    <n v="14046"/>
    <n v="0.28000000000000003"/>
    <n v="18068"/>
    <n v="22"/>
    <s v="Net Banking"/>
    <s v="Medium"/>
    <x v="2"/>
    <x v="7"/>
    <n v="7"/>
    <n v="12"/>
    <n v="1.2863448668660116"/>
  </r>
  <r>
    <n v="10965"/>
    <d v="2023-08-23T00:00:00"/>
    <d v="2023-08-28T00:00:00"/>
    <d v="2023-08-30T00:00:00"/>
    <x v="2"/>
    <s v="India"/>
    <s v="Kerala"/>
    <s v="Delhi"/>
    <x v="2"/>
    <s v="Notebook"/>
    <s v="Dining Table"/>
    <s v="Home Office"/>
    <n v="998"/>
    <n v="0.16"/>
    <n v="184"/>
    <n v="11"/>
    <s v="Cash"/>
    <s v="Low"/>
    <x v="2"/>
    <x v="7"/>
    <n v="5"/>
    <n v="7"/>
    <n v="0.18436873747494989"/>
  </r>
  <r>
    <n v="10966"/>
    <d v="2023-08-24T00:00:00"/>
    <d v="2023-08-28T00:00:00"/>
    <d v="2023-08-29T00:00:00"/>
    <x v="2"/>
    <s v="India"/>
    <s v="Tamil Nadu"/>
    <s v="Kochi"/>
    <x v="0"/>
    <s v="Printer"/>
    <s v="Dining Table"/>
    <s v="Corporate"/>
    <n v="27552"/>
    <n v="0.27"/>
    <n v="743"/>
    <n v="3"/>
    <s v="Cash"/>
    <s v="Low"/>
    <x v="2"/>
    <x v="7"/>
    <n v="4"/>
    <n v="5"/>
    <n v="2.6967189314750291E-2"/>
  </r>
  <r>
    <n v="10967"/>
    <d v="2023-08-25T00:00:00"/>
    <d v="2023-08-30T00:00:00"/>
    <d v="2023-09-02T00:00:00"/>
    <x v="1"/>
    <s v="India"/>
    <s v="Telangana"/>
    <s v="Kochi"/>
    <x v="2"/>
    <s v="Laptop"/>
    <s v="Gel Pen"/>
    <s v="Home Office"/>
    <n v="20828"/>
    <n v="0.22"/>
    <n v="10907"/>
    <n v="12"/>
    <s v="Debit Card"/>
    <s v="Medium"/>
    <x v="2"/>
    <x v="7"/>
    <n v="5"/>
    <n v="8"/>
    <n v="0.52367005953524104"/>
  </r>
  <r>
    <n v="10968"/>
    <d v="2023-08-26T00:00:00"/>
    <d v="2023-08-30T00:00:00"/>
    <d v="2023-09-04T00:00:00"/>
    <x v="3"/>
    <s v="India"/>
    <s v="Telangana"/>
    <s v="Delhi"/>
    <x v="1"/>
    <s v="Table"/>
    <s v="Spiral Notebook"/>
    <s v="Consumer"/>
    <n v="17084"/>
    <n v="0.38"/>
    <n v="10569"/>
    <n v="24"/>
    <s v="UPI"/>
    <s v="High"/>
    <x v="2"/>
    <x v="7"/>
    <n v="4"/>
    <n v="9"/>
    <n v="0.61864902833060176"/>
  </r>
  <r>
    <n v="10969"/>
    <d v="2023-08-27T00:00:00"/>
    <d v="2023-09-01T00:00:00"/>
    <d v="2023-09-05T00:00:00"/>
    <x v="0"/>
    <s v="India"/>
    <s v="Karnataka"/>
    <s v="Bangalore"/>
    <x v="1"/>
    <s v="Notebook"/>
    <s v="Dining Table"/>
    <s v="Consumer"/>
    <n v="20043"/>
    <n v="0"/>
    <n v="78"/>
    <n v="11"/>
    <s v="Debit Card"/>
    <s v="Low"/>
    <x v="2"/>
    <x v="7"/>
    <n v="5"/>
    <n v="9"/>
    <n v="3.8916329890734918E-3"/>
  </r>
  <r>
    <n v="10970"/>
    <d v="2023-08-28T00:00:00"/>
    <d v="2023-09-04T00:00:00"/>
    <d v="2023-09-08T00:00:00"/>
    <x v="2"/>
    <s v="India"/>
    <s v="Maharashtra"/>
    <s v="Bangalore"/>
    <x v="0"/>
    <s v="Notebook"/>
    <s v="Gel Pen"/>
    <s v="Consumer"/>
    <n v="33067"/>
    <n v="0.19"/>
    <n v="8655"/>
    <n v="1"/>
    <s v="Net Banking"/>
    <s v="High"/>
    <x v="2"/>
    <x v="7"/>
    <n v="7"/>
    <n v="11"/>
    <n v="0.26174131309160192"/>
  </r>
  <r>
    <n v="10971"/>
    <d v="2023-08-29T00:00:00"/>
    <d v="2023-09-05T00:00:00"/>
    <d v="2023-09-10T00:00:00"/>
    <x v="3"/>
    <s v="India"/>
    <s v="Telangana"/>
    <s v="Chennai"/>
    <x v="1"/>
    <s v="Chair"/>
    <s v="Dining Table"/>
    <s v="Home Office"/>
    <n v="40327"/>
    <n v="0.28000000000000003"/>
    <n v="15296"/>
    <n v="24"/>
    <s v="Cash"/>
    <s v="High"/>
    <x v="2"/>
    <x v="7"/>
    <n v="7"/>
    <n v="12"/>
    <n v="0.37929922880452305"/>
  </r>
  <r>
    <n v="10972"/>
    <d v="2023-08-30T00:00:00"/>
    <d v="2023-09-06T00:00:00"/>
    <d v="2023-09-09T00:00:00"/>
    <x v="1"/>
    <s v="India"/>
    <s v="Maharashtra"/>
    <s v="Chennai"/>
    <x v="2"/>
    <s v="Mobile"/>
    <s v="Gel Pen"/>
    <s v="Consumer"/>
    <n v="74859"/>
    <n v="0.22"/>
    <n v="8632"/>
    <n v="15"/>
    <s v="Credit Card"/>
    <s v="Critical"/>
    <x v="2"/>
    <x v="7"/>
    <n v="7"/>
    <n v="10"/>
    <n v="0.11531011635207523"/>
  </r>
  <r>
    <n v="10973"/>
    <d v="2023-08-31T00:00:00"/>
    <d v="2023-09-07T00:00:00"/>
    <d v="2023-09-11T00:00:00"/>
    <x v="0"/>
    <s v="India"/>
    <s v="Karnataka"/>
    <s v="Bangalore"/>
    <x v="1"/>
    <s v="Printer"/>
    <s v="Laser Printer"/>
    <s v="Corporate"/>
    <n v="33292"/>
    <n v="0.13"/>
    <n v="11382"/>
    <n v="22"/>
    <s v="Net Banking"/>
    <s v="Low"/>
    <x v="2"/>
    <x v="7"/>
    <n v="7"/>
    <n v="11"/>
    <n v="0.34188393608074014"/>
  </r>
  <r>
    <n v="10974"/>
    <d v="2023-09-01T00:00:00"/>
    <d v="2023-09-05T00:00:00"/>
    <d v="2023-09-08T00:00:00"/>
    <x v="0"/>
    <s v="India"/>
    <s v="Telangana"/>
    <s v="Mumbai"/>
    <x v="1"/>
    <s v="Printer"/>
    <s v="Dining Table"/>
    <s v="Consumer"/>
    <n v="43254"/>
    <n v="0.24"/>
    <n v="761"/>
    <n v="16"/>
    <s v="Net Banking"/>
    <s v="High"/>
    <x v="2"/>
    <x v="8"/>
    <n v="4"/>
    <n v="7"/>
    <n v="1.7593748555046931E-2"/>
  </r>
  <r>
    <n v="10975"/>
    <d v="2023-09-02T00:00:00"/>
    <d v="2023-09-05T00:00:00"/>
    <d v="2023-09-08T00:00:00"/>
    <x v="0"/>
    <s v="India"/>
    <s v="Maharashtra"/>
    <s v="Delhi"/>
    <x v="0"/>
    <s v="Notebook"/>
    <s v="Laser Printer"/>
    <s v="Home Office"/>
    <n v="74865"/>
    <n v="0.01"/>
    <n v="12692"/>
    <n v="20"/>
    <s v="Credit Card"/>
    <s v="High"/>
    <x v="2"/>
    <x v="8"/>
    <n v="3"/>
    <n v="6"/>
    <n v="0.16953182394977626"/>
  </r>
  <r>
    <n v="10976"/>
    <d v="2023-09-03T00:00:00"/>
    <d v="2023-09-05T00:00:00"/>
    <d v="2023-09-08T00:00:00"/>
    <x v="1"/>
    <s v="India"/>
    <s v="Telangana"/>
    <s v="Hyderabad"/>
    <x v="1"/>
    <s v="Laptop"/>
    <s v="Office Chair"/>
    <s v="Consumer"/>
    <n v="34400"/>
    <n v="0.3"/>
    <n v="366"/>
    <n v="13"/>
    <s v="Cash"/>
    <s v="Low"/>
    <x v="2"/>
    <x v="8"/>
    <n v="2"/>
    <n v="5"/>
    <n v="1.0639534883720931E-2"/>
  </r>
  <r>
    <n v="10977"/>
    <d v="2023-09-04T00:00:00"/>
    <d v="2023-09-08T00:00:00"/>
    <d v="2023-09-13T00:00:00"/>
    <x v="1"/>
    <s v="India"/>
    <s v="Telangana"/>
    <s v="Chennai"/>
    <x v="0"/>
    <s v="Notebook"/>
    <s v="Spiral Notebook"/>
    <s v="Consumer"/>
    <n v="62262"/>
    <n v="0.27"/>
    <n v="12376"/>
    <n v="14"/>
    <s v="Cash"/>
    <s v="Medium"/>
    <x v="2"/>
    <x v="8"/>
    <n v="4"/>
    <n v="9"/>
    <n v="0.19877292730718576"/>
  </r>
  <r>
    <n v="10978"/>
    <d v="2023-09-05T00:00:00"/>
    <d v="2023-09-09T00:00:00"/>
    <d v="2023-09-12T00:00:00"/>
    <x v="0"/>
    <s v="India"/>
    <s v="Delhi"/>
    <s v="Bangalore"/>
    <x v="1"/>
    <s v="Pen"/>
    <s v="Laser Printer"/>
    <s v="Consumer"/>
    <n v="61835"/>
    <n v="0.14000000000000001"/>
    <n v="-535"/>
    <n v="22"/>
    <s v="Cash"/>
    <s v="Low"/>
    <x v="2"/>
    <x v="8"/>
    <n v="4"/>
    <n v="7"/>
    <n v="-8.652057896013584E-3"/>
  </r>
  <r>
    <n v="10979"/>
    <d v="2023-09-06T00:00:00"/>
    <d v="2023-09-10T00:00:00"/>
    <d v="2023-09-11T00:00:00"/>
    <x v="1"/>
    <s v="India"/>
    <s v="Maharashtra"/>
    <s v="Mumbai"/>
    <x v="2"/>
    <s v="Printer"/>
    <s v="Smartphone"/>
    <s v="Home Office"/>
    <n v="43209"/>
    <n v="0.36"/>
    <n v="583"/>
    <n v="4"/>
    <s v="Credit Card"/>
    <s v="Critical"/>
    <x v="2"/>
    <x v="8"/>
    <n v="4"/>
    <n v="5"/>
    <n v="1.3492559420491101E-2"/>
  </r>
  <r>
    <n v="10980"/>
    <d v="2023-09-07T00:00:00"/>
    <d v="2023-09-14T00:00:00"/>
    <d v="2023-09-19T00:00:00"/>
    <x v="2"/>
    <s v="India"/>
    <s v="Telangana"/>
    <s v="Chennai"/>
    <x v="0"/>
    <s v="Notebook"/>
    <s v="Laser Printer"/>
    <s v="Corporate"/>
    <n v="74924"/>
    <n v="0.28999999999999998"/>
    <n v="7473"/>
    <n v="17"/>
    <s v="UPI"/>
    <s v="High"/>
    <x v="2"/>
    <x v="8"/>
    <n v="7"/>
    <n v="12"/>
    <n v="9.9741070951897923E-2"/>
  </r>
  <r>
    <n v="10981"/>
    <d v="2023-09-08T00:00:00"/>
    <d v="2023-09-12T00:00:00"/>
    <d v="2023-09-15T00:00:00"/>
    <x v="1"/>
    <s v="India"/>
    <s v="Delhi"/>
    <s v="Kochi"/>
    <x v="1"/>
    <s v="Table"/>
    <s v="Dining Table"/>
    <s v="Consumer"/>
    <n v="3124"/>
    <n v="0.09"/>
    <n v="4068"/>
    <n v="10"/>
    <s v="Credit Card"/>
    <s v="Critical"/>
    <x v="2"/>
    <x v="8"/>
    <n v="4"/>
    <n v="7"/>
    <n v="1.3021766965428938"/>
  </r>
  <r>
    <n v="10982"/>
    <d v="2023-09-09T00:00:00"/>
    <d v="2023-09-16T00:00:00"/>
    <d v="2023-09-20T00:00:00"/>
    <x v="3"/>
    <s v="India"/>
    <s v="Delhi"/>
    <s v="Bangalore"/>
    <x v="2"/>
    <s v="Mobile"/>
    <s v="Gel Pen"/>
    <s v="Corporate"/>
    <n v="46970"/>
    <n v="0.14000000000000001"/>
    <n v="8879"/>
    <n v="24"/>
    <s v="Net Banking"/>
    <s v="Low"/>
    <x v="2"/>
    <x v="8"/>
    <n v="7"/>
    <n v="11"/>
    <n v="0.18903555460932511"/>
  </r>
  <r>
    <n v="10983"/>
    <d v="2023-09-10T00:00:00"/>
    <d v="2023-09-13T00:00:00"/>
    <d v="2023-09-16T00:00:00"/>
    <x v="3"/>
    <s v="India"/>
    <s v="Delhi"/>
    <s v="Chennai"/>
    <x v="0"/>
    <s v="Chair"/>
    <s v="Spiral Notebook"/>
    <s v="Consumer"/>
    <n v="8060"/>
    <n v="0.03"/>
    <n v="10858"/>
    <n v="22"/>
    <s v="Debit Card"/>
    <s v="Critical"/>
    <x v="2"/>
    <x v="8"/>
    <n v="3"/>
    <n v="6"/>
    <n v="1.3471464019851116"/>
  </r>
  <r>
    <n v="10984"/>
    <d v="2023-09-11T00:00:00"/>
    <d v="2023-09-14T00:00:00"/>
    <d v="2023-09-17T00:00:00"/>
    <x v="0"/>
    <s v="India"/>
    <s v="Tamil Nadu"/>
    <s v="Delhi"/>
    <x v="0"/>
    <s v="Table"/>
    <s v="Spiral Notebook"/>
    <s v="Corporate"/>
    <n v="42885"/>
    <n v="0.28000000000000003"/>
    <n v="18038"/>
    <n v="12"/>
    <s v="Net Banking"/>
    <s v="High"/>
    <x v="2"/>
    <x v="8"/>
    <n v="3"/>
    <n v="6"/>
    <n v="0.42061326804243909"/>
  </r>
  <r>
    <n v="10985"/>
    <d v="2023-09-12T00:00:00"/>
    <d v="2023-09-15T00:00:00"/>
    <d v="2023-09-16T00:00:00"/>
    <x v="2"/>
    <s v="India"/>
    <s v="Maharashtra"/>
    <s v="Hyderabad"/>
    <x v="1"/>
    <s v="Pen"/>
    <s v="Gaming Laptop"/>
    <s v="Consumer"/>
    <n v="18418"/>
    <n v="0.08"/>
    <n v="1864"/>
    <n v="1"/>
    <s v="Cash"/>
    <s v="Low"/>
    <x v="2"/>
    <x v="8"/>
    <n v="3"/>
    <n v="4"/>
    <n v="0.10120534259963079"/>
  </r>
  <r>
    <n v="10986"/>
    <d v="2023-09-13T00:00:00"/>
    <d v="2023-09-18T00:00:00"/>
    <d v="2023-09-21T00:00:00"/>
    <x v="1"/>
    <s v="India"/>
    <s v="Delhi"/>
    <s v="Kochi"/>
    <x v="0"/>
    <s v="Notebook"/>
    <s v="Spiral Notebook"/>
    <s v="Home Office"/>
    <n v="50795"/>
    <n v="0.18"/>
    <n v="17979"/>
    <n v="15"/>
    <s v="Debit Card"/>
    <s v="Low"/>
    <x v="2"/>
    <x v="8"/>
    <n v="5"/>
    <n v="8"/>
    <n v="0.35395216064573287"/>
  </r>
  <r>
    <n v="10987"/>
    <d v="2023-09-14T00:00:00"/>
    <d v="2023-09-21T00:00:00"/>
    <d v="2023-09-25T00:00:00"/>
    <x v="2"/>
    <s v="India"/>
    <s v="Kerala"/>
    <s v="Hyderabad"/>
    <x v="1"/>
    <s v="Printer"/>
    <s v="Dining Table"/>
    <s v="Consumer"/>
    <n v="52000"/>
    <n v="0.18"/>
    <n v="12902"/>
    <n v="9"/>
    <s v="Cash"/>
    <s v="High"/>
    <x v="2"/>
    <x v="8"/>
    <n v="7"/>
    <n v="11"/>
    <n v="0.24811538461538463"/>
  </r>
  <r>
    <n v="10988"/>
    <d v="2023-09-15T00:00:00"/>
    <d v="2023-09-20T00:00:00"/>
    <d v="2023-09-23T00:00:00"/>
    <x v="0"/>
    <s v="India"/>
    <s v="Maharashtra"/>
    <s v="Bangalore"/>
    <x v="2"/>
    <s v="Pen"/>
    <s v="Office Chair"/>
    <s v="Corporate"/>
    <n v="55869"/>
    <n v="0.14000000000000001"/>
    <n v="10708"/>
    <n v="14"/>
    <s v="Debit Card"/>
    <s v="Medium"/>
    <x v="2"/>
    <x v="8"/>
    <n v="5"/>
    <n v="8"/>
    <n v="0.1916626393885697"/>
  </r>
  <r>
    <n v="10989"/>
    <d v="2023-09-16T00:00:00"/>
    <d v="2023-09-22T00:00:00"/>
    <d v="2023-09-24T00:00:00"/>
    <x v="1"/>
    <s v="India"/>
    <s v="Telangana"/>
    <s v="Mumbai"/>
    <x v="1"/>
    <s v="Table"/>
    <s v="Laser Printer"/>
    <s v="Corporate"/>
    <n v="23788"/>
    <n v="0.27"/>
    <n v="17035"/>
    <n v="9"/>
    <s v="UPI"/>
    <s v="Medium"/>
    <x v="2"/>
    <x v="8"/>
    <n v="6"/>
    <n v="8"/>
    <n v="0.7161173701025727"/>
  </r>
  <r>
    <n v="10990"/>
    <d v="2023-09-17T00:00:00"/>
    <d v="2023-09-20T00:00:00"/>
    <d v="2023-09-24T00:00:00"/>
    <x v="3"/>
    <s v="India"/>
    <s v="Delhi"/>
    <s v="Kochi"/>
    <x v="0"/>
    <s v="Printer"/>
    <s v="Laser Printer"/>
    <s v="Home Office"/>
    <n v="56418"/>
    <n v="0.39"/>
    <n v="17984"/>
    <n v="5"/>
    <s v="Credit Card"/>
    <s v="Critical"/>
    <x v="2"/>
    <x v="8"/>
    <n v="3"/>
    <n v="7"/>
    <n v="0.31876351519018753"/>
  </r>
  <r>
    <n v="10991"/>
    <d v="2023-09-18T00:00:00"/>
    <d v="2023-09-20T00:00:00"/>
    <d v="2023-09-21T00:00:00"/>
    <x v="2"/>
    <s v="India"/>
    <s v="Karnataka"/>
    <s v="Hyderabad"/>
    <x v="2"/>
    <s v="Pen"/>
    <s v="Office Chair"/>
    <s v="Home Office"/>
    <n v="18623"/>
    <n v="0.05"/>
    <n v="12806"/>
    <n v="21"/>
    <s v="Cash"/>
    <s v="High"/>
    <x v="2"/>
    <x v="8"/>
    <n v="2"/>
    <n v="3"/>
    <n v="0.68764431079847499"/>
  </r>
  <r>
    <n v="10992"/>
    <d v="2023-09-19T00:00:00"/>
    <d v="2023-09-24T00:00:00"/>
    <d v="2023-09-25T00:00:00"/>
    <x v="1"/>
    <s v="India"/>
    <s v="Delhi"/>
    <s v="Chennai"/>
    <x v="1"/>
    <s v="Pen"/>
    <s v="Dining Table"/>
    <s v="Home Office"/>
    <n v="21481"/>
    <n v="0.22"/>
    <n v="16366"/>
    <n v="24"/>
    <s v="Credit Card"/>
    <s v="High"/>
    <x v="2"/>
    <x v="8"/>
    <n v="5"/>
    <n v="6"/>
    <n v="0.76188259392020852"/>
  </r>
  <r>
    <n v="10993"/>
    <d v="2023-09-20T00:00:00"/>
    <d v="2023-09-26T00:00:00"/>
    <d v="2023-09-27T00:00:00"/>
    <x v="2"/>
    <s v="India"/>
    <s v="Karnataka"/>
    <s v="Hyderabad"/>
    <x v="2"/>
    <s v="Table"/>
    <s v="Laser Printer"/>
    <s v="Corporate"/>
    <n v="53525"/>
    <n v="0.06"/>
    <n v="13174"/>
    <n v="3"/>
    <s v="Debit Card"/>
    <s v="Critical"/>
    <x v="2"/>
    <x v="8"/>
    <n v="6"/>
    <n v="7"/>
    <n v="0.24612797758056984"/>
  </r>
  <r>
    <n v="10994"/>
    <d v="2023-09-21T00:00:00"/>
    <d v="2023-09-27T00:00:00"/>
    <d v="2023-09-28T00:00:00"/>
    <x v="2"/>
    <s v="India"/>
    <s v="Tamil Nadu"/>
    <s v="Kochi"/>
    <x v="0"/>
    <s v="Notebook"/>
    <s v="Gaming Laptop"/>
    <s v="Consumer"/>
    <n v="38468"/>
    <n v="0.09"/>
    <n v="16378"/>
    <n v="9"/>
    <s v="Debit Card"/>
    <s v="Low"/>
    <x v="2"/>
    <x v="8"/>
    <n v="6"/>
    <n v="7"/>
    <n v="0.4257564729125507"/>
  </r>
  <r>
    <n v="10995"/>
    <d v="2023-09-22T00:00:00"/>
    <d v="2023-09-29T00:00:00"/>
    <d v="2023-10-02T00:00:00"/>
    <x v="0"/>
    <s v="India"/>
    <s v="Karnataka"/>
    <s v="Delhi"/>
    <x v="2"/>
    <s v="Pen"/>
    <s v="Laser Printer"/>
    <s v="Corporate"/>
    <n v="26951"/>
    <n v="0.18"/>
    <n v="6972"/>
    <n v="21"/>
    <s v="UPI"/>
    <s v="Medium"/>
    <x v="2"/>
    <x v="8"/>
    <n v="7"/>
    <n v="10"/>
    <n v="0.25869169975140072"/>
  </r>
  <r>
    <n v="10996"/>
    <d v="2023-09-23T00:00:00"/>
    <d v="2023-09-28T00:00:00"/>
    <d v="2023-10-01T00:00:00"/>
    <x v="0"/>
    <s v="India"/>
    <s v="Maharashtra"/>
    <s v="Kochi"/>
    <x v="2"/>
    <s v="Laptop"/>
    <s v="Office Chair"/>
    <s v="Home Office"/>
    <n v="52749"/>
    <n v="7.0000000000000007E-2"/>
    <n v="4588"/>
    <n v="16"/>
    <s v="Credit Card"/>
    <s v="Critical"/>
    <x v="2"/>
    <x v="8"/>
    <n v="5"/>
    <n v="8"/>
    <n v="8.6977952188667079E-2"/>
  </r>
  <r>
    <n v="10997"/>
    <d v="2023-09-24T00:00:00"/>
    <d v="2023-09-29T00:00:00"/>
    <d v="2023-10-03T00:00:00"/>
    <x v="0"/>
    <s v="India"/>
    <s v="Tamil Nadu"/>
    <s v="Delhi"/>
    <x v="1"/>
    <s v="Mobile"/>
    <s v="Laser Printer"/>
    <s v="Corporate"/>
    <n v="16397"/>
    <n v="0.05"/>
    <n v="1616"/>
    <n v="4"/>
    <s v="Net Banking"/>
    <s v="Medium"/>
    <x v="2"/>
    <x v="8"/>
    <n v="5"/>
    <n v="9"/>
    <n v="9.8554613648838205E-2"/>
  </r>
  <r>
    <n v="10998"/>
    <d v="2023-09-25T00:00:00"/>
    <d v="2023-09-27T00:00:00"/>
    <d v="2023-09-30T00:00:00"/>
    <x v="0"/>
    <s v="India"/>
    <s v="Tamil Nadu"/>
    <s v="Kochi"/>
    <x v="1"/>
    <s v="Laptop"/>
    <s v="Spiral Notebook"/>
    <s v="Home Office"/>
    <n v="45706"/>
    <n v="0.25"/>
    <n v="9391"/>
    <n v="15"/>
    <s v="Debit Card"/>
    <s v="Low"/>
    <x v="2"/>
    <x v="8"/>
    <n v="2"/>
    <n v="5"/>
    <n v="0.20546536559751455"/>
  </r>
  <r>
    <n v="10999"/>
    <d v="2023-09-26T00:00:00"/>
    <d v="2023-09-28T00:00:00"/>
    <d v="2023-09-29T00:00:00"/>
    <x v="1"/>
    <s v="India"/>
    <s v="Telangana"/>
    <s v="Bangalore"/>
    <x v="2"/>
    <s v="Laptop"/>
    <s v="Gaming Laptop"/>
    <s v="Home Office"/>
    <n v="31565"/>
    <n v="0.28000000000000003"/>
    <n v="2244"/>
    <n v="2"/>
    <s v="Debit Card"/>
    <s v="High"/>
    <x v="2"/>
    <x v="8"/>
    <n v="2"/>
    <n v="3"/>
    <n v="7.1091398701092989E-2"/>
  </r>
  <r>
    <n v="11000"/>
    <d v="2023-09-27T00:00:00"/>
    <d v="2023-10-04T00:00:00"/>
    <d v="2023-10-05T00:00:00"/>
    <x v="2"/>
    <s v="India"/>
    <s v="Maharashtra"/>
    <s v="Hyderabad"/>
    <x v="2"/>
    <s v="Printer"/>
    <s v="Gaming Laptop"/>
    <s v="Consumer"/>
    <n v="23415"/>
    <n v="0.35"/>
    <n v="18471"/>
    <n v="21"/>
    <s v="Net Banking"/>
    <s v="High"/>
    <x v="2"/>
    <x v="8"/>
    <n v="7"/>
    <n v="8"/>
    <n v="0.78885329916720048"/>
  </r>
  <r>
    <n v="11001"/>
    <d v="2023-09-28T00:00:00"/>
    <d v="2023-10-05T00:00:00"/>
    <d v="2023-10-08T00:00:00"/>
    <x v="2"/>
    <s v="India"/>
    <s v="Maharashtra"/>
    <s v="Hyderabad"/>
    <x v="2"/>
    <s v="Laptop"/>
    <s v="Gaming Laptop"/>
    <s v="Home Office"/>
    <n v="49429"/>
    <n v="0.12"/>
    <n v="8351"/>
    <n v="15"/>
    <s v="Credit Card"/>
    <s v="High"/>
    <x v="2"/>
    <x v="8"/>
    <n v="7"/>
    <n v="10"/>
    <n v="0.16894940217281354"/>
  </r>
  <r>
    <n v="11002"/>
    <d v="2023-09-29T00:00:00"/>
    <d v="2023-10-04T00:00:00"/>
    <d v="2023-10-09T00:00:00"/>
    <x v="2"/>
    <s v="India"/>
    <s v="Delhi"/>
    <s v="Hyderabad"/>
    <x v="2"/>
    <s v="Table"/>
    <s v="Dining Table"/>
    <s v="Corporate"/>
    <n v="34019"/>
    <n v="0.35"/>
    <n v="-171"/>
    <n v="20"/>
    <s v="Cash"/>
    <s v="Medium"/>
    <x v="2"/>
    <x v="8"/>
    <n v="5"/>
    <n v="10"/>
    <n v="-5.0266027807989652E-3"/>
  </r>
  <r>
    <n v="11003"/>
    <d v="2023-09-30T00:00:00"/>
    <d v="2023-10-04T00:00:00"/>
    <d v="2023-10-07T00:00:00"/>
    <x v="3"/>
    <s v="India"/>
    <s v="Delhi"/>
    <s v="Hyderabad"/>
    <x v="2"/>
    <s v="Pen"/>
    <s v="Gaming Laptop"/>
    <s v="Consumer"/>
    <n v="44106"/>
    <n v="0.01"/>
    <n v="12908"/>
    <n v="17"/>
    <s v="UPI"/>
    <s v="Critical"/>
    <x v="2"/>
    <x v="8"/>
    <n v="4"/>
    <n v="7"/>
    <n v="0.29265859520246679"/>
  </r>
  <r>
    <n v="11004"/>
    <d v="2023-10-01T00:00:00"/>
    <d v="2023-10-07T00:00:00"/>
    <d v="2023-10-12T00:00:00"/>
    <x v="3"/>
    <s v="India"/>
    <s v="Kerala"/>
    <s v="Hyderabad"/>
    <x v="1"/>
    <s v="Table"/>
    <s v="Gaming Laptop"/>
    <s v="Corporate"/>
    <n v="34861"/>
    <n v="0.14000000000000001"/>
    <n v="12469"/>
    <n v="8"/>
    <s v="Cash"/>
    <s v="Medium"/>
    <x v="2"/>
    <x v="9"/>
    <n v="6"/>
    <n v="11"/>
    <n v="0.35767763403229968"/>
  </r>
  <r>
    <n v="11005"/>
    <d v="2023-10-02T00:00:00"/>
    <d v="2023-10-07T00:00:00"/>
    <d v="2023-10-08T00:00:00"/>
    <x v="2"/>
    <s v="India"/>
    <s v="Karnataka"/>
    <s v="Bangalore"/>
    <x v="1"/>
    <s v="Laptop"/>
    <s v="Gaming Laptop"/>
    <s v="Home Office"/>
    <n v="65843"/>
    <n v="0.1"/>
    <n v="11019"/>
    <n v="17"/>
    <s v="Credit Card"/>
    <s v="Low"/>
    <x v="2"/>
    <x v="9"/>
    <n v="5"/>
    <n v="6"/>
    <n v="0.16735264189055785"/>
  </r>
  <r>
    <n v="11006"/>
    <d v="2023-10-03T00:00:00"/>
    <d v="2023-10-08T00:00:00"/>
    <d v="2023-10-10T00:00:00"/>
    <x v="0"/>
    <s v="India"/>
    <s v="Kerala"/>
    <s v="Mumbai"/>
    <x v="1"/>
    <s v="Pen"/>
    <s v="Spiral Notebook"/>
    <s v="Corporate"/>
    <n v="60600"/>
    <n v="0.14000000000000001"/>
    <n v="16569"/>
    <n v="22"/>
    <s v="Net Banking"/>
    <s v="High"/>
    <x v="2"/>
    <x v="9"/>
    <n v="5"/>
    <n v="7"/>
    <n v="0.27341584158415844"/>
  </r>
  <r>
    <n v="11007"/>
    <d v="2023-10-04T00:00:00"/>
    <d v="2023-10-06T00:00:00"/>
    <d v="2023-10-07T00:00:00"/>
    <x v="3"/>
    <s v="India"/>
    <s v="Karnataka"/>
    <s v="Mumbai"/>
    <x v="2"/>
    <s v="Table"/>
    <s v="Smartphone"/>
    <s v="Corporate"/>
    <n v="60121"/>
    <n v="0.28999999999999998"/>
    <n v="2784"/>
    <n v="8"/>
    <s v="Debit Card"/>
    <s v="Critical"/>
    <x v="2"/>
    <x v="9"/>
    <n v="2"/>
    <n v="3"/>
    <n v="4.6306614993097253E-2"/>
  </r>
  <r>
    <n v="11008"/>
    <d v="2023-10-05T00:00:00"/>
    <d v="2023-10-08T00:00:00"/>
    <d v="2023-10-11T00:00:00"/>
    <x v="2"/>
    <s v="India"/>
    <s v="Tamil Nadu"/>
    <s v="Kochi"/>
    <x v="1"/>
    <s v="Notebook"/>
    <s v="Laser Printer"/>
    <s v="Home Office"/>
    <n v="27746"/>
    <n v="0.37"/>
    <n v="10467"/>
    <n v="24"/>
    <s v="Debit Card"/>
    <s v="Critical"/>
    <x v="2"/>
    <x v="9"/>
    <n v="3"/>
    <n v="6"/>
    <n v="0.37724356664023645"/>
  </r>
  <r>
    <n v="11009"/>
    <d v="2023-10-06T00:00:00"/>
    <d v="2023-10-13T00:00:00"/>
    <d v="2023-10-17T00:00:00"/>
    <x v="2"/>
    <s v="India"/>
    <s v="Tamil Nadu"/>
    <s v="Hyderabad"/>
    <x v="2"/>
    <s v="Chair"/>
    <s v="Gel Pen"/>
    <s v="Consumer"/>
    <n v="55564"/>
    <n v="0.1"/>
    <n v="7580"/>
    <n v="1"/>
    <s v="Net Banking"/>
    <s v="Critical"/>
    <x v="2"/>
    <x v="9"/>
    <n v="7"/>
    <n v="11"/>
    <n v="0.13641926427183068"/>
  </r>
  <r>
    <n v="11010"/>
    <d v="2023-10-07T00:00:00"/>
    <d v="2023-10-14T00:00:00"/>
    <d v="2023-10-18T00:00:00"/>
    <x v="2"/>
    <s v="India"/>
    <s v="Telangana"/>
    <s v="Delhi"/>
    <x v="0"/>
    <s v="Table"/>
    <s v="Office Chair"/>
    <s v="Home Office"/>
    <n v="25249"/>
    <n v="0.24"/>
    <n v="11715"/>
    <n v="11"/>
    <s v="Cash"/>
    <s v="Critical"/>
    <x v="2"/>
    <x v="9"/>
    <n v="7"/>
    <n v="11"/>
    <n v="0.46397877143649252"/>
  </r>
  <r>
    <n v="11011"/>
    <d v="2023-10-08T00:00:00"/>
    <d v="2023-10-15T00:00:00"/>
    <d v="2023-10-20T00:00:00"/>
    <x v="3"/>
    <s v="India"/>
    <s v="Delhi"/>
    <s v="Kochi"/>
    <x v="0"/>
    <s v="Laptop"/>
    <s v="Laser Printer"/>
    <s v="Consumer"/>
    <n v="12342"/>
    <n v="0.31"/>
    <n v="6692"/>
    <n v="20"/>
    <s v="Debit Card"/>
    <s v="Low"/>
    <x v="2"/>
    <x v="9"/>
    <n v="7"/>
    <n v="12"/>
    <n v="0.54221357964673478"/>
  </r>
  <r>
    <n v="11012"/>
    <d v="2023-10-09T00:00:00"/>
    <d v="2023-10-16T00:00:00"/>
    <d v="2023-10-21T00:00:00"/>
    <x v="0"/>
    <s v="India"/>
    <s v="Delhi"/>
    <s v="Kochi"/>
    <x v="0"/>
    <s v="Printer"/>
    <s v="Smartphone"/>
    <s v="Corporate"/>
    <n v="29005"/>
    <n v="0.27"/>
    <n v="18475"/>
    <n v="11"/>
    <s v="Credit Card"/>
    <s v="Medium"/>
    <x v="2"/>
    <x v="9"/>
    <n v="7"/>
    <n v="12"/>
    <n v="0.63695914497500428"/>
  </r>
  <r>
    <n v="11013"/>
    <d v="2023-10-10T00:00:00"/>
    <d v="2023-10-14T00:00:00"/>
    <d v="2023-10-18T00:00:00"/>
    <x v="2"/>
    <s v="India"/>
    <s v="Karnataka"/>
    <s v="Delhi"/>
    <x v="0"/>
    <s v="Notebook"/>
    <s v="Spiral Notebook"/>
    <s v="Consumer"/>
    <n v="36789"/>
    <n v="0.15"/>
    <n v="12981"/>
    <n v="5"/>
    <s v="Net Banking"/>
    <s v="Low"/>
    <x v="2"/>
    <x v="9"/>
    <n v="4"/>
    <n v="8"/>
    <n v="0.35285003669575143"/>
  </r>
  <r>
    <n v="11014"/>
    <d v="2023-10-11T00:00:00"/>
    <d v="2023-10-15T00:00:00"/>
    <d v="2023-10-19T00:00:00"/>
    <x v="2"/>
    <s v="India"/>
    <s v="Maharashtra"/>
    <s v="Kochi"/>
    <x v="1"/>
    <s v="Notebook"/>
    <s v="Smartphone"/>
    <s v="Corporate"/>
    <n v="7364"/>
    <n v="0.27"/>
    <n v="3421"/>
    <n v="16"/>
    <s v="Cash"/>
    <s v="Medium"/>
    <x v="2"/>
    <x v="9"/>
    <n v="4"/>
    <n v="8"/>
    <n v="0.46455730581205867"/>
  </r>
  <r>
    <n v="11015"/>
    <d v="2023-10-12T00:00:00"/>
    <d v="2023-10-17T00:00:00"/>
    <d v="2023-10-18T00:00:00"/>
    <x v="0"/>
    <s v="India"/>
    <s v="Kerala"/>
    <s v="Bangalore"/>
    <x v="2"/>
    <s v="Printer"/>
    <s v="Gel Pen"/>
    <s v="Home Office"/>
    <n v="40520"/>
    <n v="0.03"/>
    <n v="19568"/>
    <n v="18"/>
    <s v="Net Banking"/>
    <s v="Medium"/>
    <x v="2"/>
    <x v="9"/>
    <n v="5"/>
    <n v="6"/>
    <n v="0.48292201382033562"/>
  </r>
  <r>
    <n v="11016"/>
    <d v="2023-10-13T00:00:00"/>
    <d v="2023-10-18T00:00:00"/>
    <d v="2023-10-19T00:00:00"/>
    <x v="0"/>
    <s v="India"/>
    <s v="Delhi"/>
    <s v="Mumbai"/>
    <x v="2"/>
    <s v="Mobile"/>
    <s v="Gaming Laptop"/>
    <s v="Consumer"/>
    <n v="9270"/>
    <n v="0.22"/>
    <n v="14120"/>
    <n v="11"/>
    <s v="Credit Card"/>
    <s v="High"/>
    <x v="2"/>
    <x v="9"/>
    <n v="5"/>
    <n v="6"/>
    <n v="1.52319309600863"/>
  </r>
  <r>
    <n v="11017"/>
    <d v="2023-10-14T00:00:00"/>
    <d v="2023-10-20T00:00:00"/>
    <d v="2023-10-22T00:00:00"/>
    <x v="3"/>
    <s v="India"/>
    <s v="Kerala"/>
    <s v="Kochi"/>
    <x v="0"/>
    <s v="Notebook"/>
    <s v="Smartphone"/>
    <s v="Corporate"/>
    <n v="59421"/>
    <n v="0.38"/>
    <n v="1703"/>
    <n v="22"/>
    <s v="Debit Card"/>
    <s v="High"/>
    <x v="2"/>
    <x v="9"/>
    <n v="6"/>
    <n v="8"/>
    <n v="2.8659901381666415E-2"/>
  </r>
  <r>
    <n v="11018"/>
    <d v="2023-10-15T00:00:00"/>
    <d v="2023-10-18T00:00:00"/>
    <d v="2023-10-23T00:00:00"/>
    <x v="0"/>
    <s v="India"/>
    <s v="Kerala"/>
    <s v="Mumbai"/>
    <x v="1"/>
    <s v="Chair"/>
    <s v="Dining Table"/>
    <s v="Corporate"/>
    <n v="19325"/>
    <n v="0.14000000000000001"/>
    <n v="5858"/>
    <n v="10"/>
    <s v="Credit Card"/>
    <s v="Medium"/>
    <x v="2"/>
    <x v="9"/>
    <n v="3"/>
    <n v="8"/>
    <n v="0.30313065976714099"/>
  </r>
  <r>
    <n v="11019"/>
    <d v="2023-10-16T00:00:00"/>
    <d v="2023-10-19T00:00:00"/>
    <d v="2023-10-24T00:00:00"/>
    <x v="3"/>
    <s v="India"/>
    <s v="Delhi"/>
    <s v="Hyderabad"/>
    <x v="0"/>
    <s v="Mobile"/>
    <s v="Gaming Laptop"/>
    <s v="Corporate"/>
    <n v="48104"/>
    <n v="0.15"/>
    <n v="-846"/>
    <n v="18"/>
    <s v="Credit Card"/>
    <s v="High"/>
    <x v="2"/>
    <x v="9"/>
    <n v="3"/>
    <n v="8"/>
    <n v="-1.7586895060701813E-2"/>
  </r>
  <r>
    <n v="11020"/>
    <d v="2023-10-17T00:00:00"/>
    <d v="2023-10-22T00:00:00"/>
    <d v="2023-10-23T00:00:00"/>
    <x v="3"/>
    <s v="India"/>
    <s v="Kerala"/>
    <s v="Bangalore"/>
    <x v="1"/>
    <s v="Laptop"/>
    <s v="Laser Printer"/>
    <s v="Home Office"/>
    <n v="71407"/>
    <n v="0.08"/>
    <n v="3922"/>
    <n v="14"/>
    <s v="Debit Card"/>
    <s v="High"/>
    <x v="2"/>
    <x v="9"/>
    <n v="5"/>
    <n v="6"/>
    <n v="5.4924587225342054E-2"/>
  </r>
  <r>
    <n v="11021"/>
    <d v="2023-10-18T00:00:00"/>
    <d v="2023-10-24T00:00:00"/>
    <d v="2023-10-26T00:00:00"/>
    <x v="3"/>
    <s v="India"/>
    <s v="Maharashtra"/>
    <s v="Mumbai"/>
    <x v="1"/>
    <s v="Printer"/>
    <s v="Office Chair"/>
    <s v="Corporate"/>
    <n v="32351"/>
    <n v="0.15"/>
    <n v="11016"/>
    <n v="13"/>
    <s v="Cash"/>
    <s v="Medium"/>
    <x v="2"/>
    <x v="9"/>
    <n v="6"/>
    <n v="8"/>
    <n v="0.34051497635312666"/>
  </r>
  <r>
    <n v="11022"/>
    <d v="2023-10-19T00:00:00"/>
    <d v="2023-10-25T00:00:00"/>
    <d v="2023-10-26T00:00:00"/>
    <x v="1"/>
    <s v="India"/>
    <s v="Tamil Nadu"/>
    <s v="Chennai"/>
    <x v="0"/>
    <s v="Laptop"/>
    <s v="Gel Pen"/>
    <s v="Corporate"/>
    <n v="25820"/>
    <n v="0.04"/>
    <n v="5001"/>
    <n v="10"/>
    <s v="UPI"/>
    <s v="High"/>
    <x v="2"/>
    <x v="9"/>
    <n v="6"/>
    <n v="7"/>
    <n v="0.1936870642912471"/>
  </r>
  <r>
    <n v="11023"/>
    <d v="2023-10-20T00:00:00"/>
    <d v="2023-10-25T00:00:00"/>
    <d v="2023-10-28T00:00:00"/>
    <x v="2"/>
    <s v="India"/>
    <s v="Tamil Nadu"/>
    <s v="Bangalore"/>
    <x v="0"/>
    <s v="Notebook"/>
    <s v="Laser Printer"/>
    <s v="Consumer"/>
    <n v="68483"/>
    <n v="0.06"/>
    <n v="-1621"/>
    <n v="16"/>
    <s v="Net Banking"/>
    <s v="Medium"/>
    <x v="2"/>
    <x v="9"/>
    <n v="5"/>
    <n v="8"/>
    <n v="-2.3670107909992261E-2"/>
  </r>
  <r>
    <n v="11024"/>
    <d v="2023-10-21T00:00:00"/>
    <d v="2023-10-23T00:00:00"/>
    <d v="2023-10-26T00:00:00"/>
    <x v="3"/>
    <s v="India"/>
    <s v="Tamil Nadu"/>
    <s v="Chennai"/>
    <x v="0"/>
    <s v="Pen"/>
    <s v="Office Chair"/>
    <s v="Home Office"/>
    <n v="22761"/>
    <n v="0.26"/>
    <n v="9152"/>
    <n v="16"/>
    <s v="Cash"/>
    <s v="Medium"/>
    <x v="2"/>
    <x v="9"/>
    <n v="2"/>
    <n v="5"/>
    <n v="0.40209129651597031"/>
  </r>
  <r>
    <n v="11025"/>
    <d v="2023-10-22T00:00:00"/>
    <d v="2023-10-26T00:00:00"/>
    <d v="2023-10-31T00:00:00"/>
    <x v="1"/>
    <s v="India"/>
    <s v="Telangana"/>
    <s v="Kochi"/>
    <x v="1"/>
    <s v="Mobile"/>
    <s v="Dining Table"/>
    <s v="Home Office"/>
    <n v="67339"/>
    <n v="0.16"/>
    <n v="6937"/>
    <n v="19"/>
    <s v="Debit Card"/>
    <s v="Critical"/>
    <x v="2"/>
    <x v="9"/>
    <n v="4"/>
    <n v="9"/>
    <n v="0.10301608280491245"/>
  </r>
  <r>
    <n v="11026"/>
    <d v="2023-10-23T00:00:00"/>
    <d v="2023-10-29T00:00:00"/>
    <d v="2023-10-31T00:00:00"/>
    <x v="1"/>
    <s v="India"/>
    <s v="Telangana"/>
    <s v="Mumbai"/>
    <x v="1"/>
    <s v="Laptop"/>
    <s v="Gaming Laptop"/>
    <s v="Consumer"/>
    <n v="13730"/>
    <n v="0.24"/>
    <n v="19555"/>
    <n v="22"/>
    <s v="Credit Card"/>
    <s v="Low"/>
    <x v="2"/>
    <x v="9"/>
    <n v="6"/>
    <n v="8"/>
    <n v="1.4242534595775673"/>
  </r>
  <r>
    <n v="11027"/>
    <d v="2023-10-24T00:00:00"/>
    <d v="2023-10-26T00:00:00"/>
    <d v="2023-10-31T00:00:00"/>
    <x v="2"/>
    <s v="India"/>
    <s v="Tamil Nadu"/>
    <s v="Delhi"/>
    <x v="1"/>
    <s v="Mobile"/>
    <s v="Dining Table"/>
    <s v="Home Office"/>
    <n v="19849"/>
    <n v="0.38"/>
    <n v="7408"/>
    <n v="12"/>
    <s v="Credit Card"/>
    <s v="Critical"/>
    <x v="2"/>
    <x v="9"/>
    <n v="2"/>
    <n v="7"/>
    <n v="0.37321779434732227"/>
  </r>
  <r>
    <n v="11028"/>
    <d v="2023-10-25T00:00:00"/>
    <d v="2023-10-27T00:00:00"/>
    <d v="2023-10-31T00:00:00"/>
    <x v="2"/>
    <s v="India"/>
    <s v="Maharashtra"/>
    <s v="Delhi"/>
    <x v="0"/>
    <s v="Notebook"/>
    <s v="Office Chair"/>
    <s v="Home Office"/>
    <n v="57760"/>
    <n v="0.18"/>
    <n v="15997"/>
    <n v="7"/>
    <s v="Debit Card"/>
    <s v="Critical"/>
    <x v="2"/>
    <x v="9"/>
    <n v="2"/>
    <n v="6"/>
    <n v="0.27695637119113575"/>
  </r>
  <r>
    <n v="11029"/>
    <d v="2023-10-26T00:00:00"/>
    <d v="2023-10-30T00:00:00"/>
    <d v="2023-11-02T00:00:00"/>
    <x v="0"/>
    <s v="India"/>
    <s v="Delhi"/>
    <s v="Mumbai"/>
    <x v="0"/>
    <s v="Printer"/>
    <s v="Smartphone"/>
    <s v="Consumer"/>
    <n v="29506"/>
    <n v="0.37"/>
    <n v="-1696"/>
    <n v="2"/>
    <s v="Debit Card"/>
    <s v="Medium"/>
    <x v="2"/>
    <x v="9"/>
    <n v="4"/>
    <n v="7"/>
    <n v="-5.7479834609909852E-2"/>
  </r>
  <r>
    <n v="11030"/>
    <d v="2023-10-27T00:00:00"/>
    <d v="2023-10-31T00:00:00"/>
    <d v="2023-11-05T00:00:00"/>
    <x v="1"/>
    <s v="India"/>
    <s v="Kerala"/>
    <s v="Delhi"/>
    <x v="1"/>
    <s v="Pen"/>
    <s v="Smartphone"/>
    <s v="Home Office"/>
    <n v="14624"/>
    <n v="0.15"/>
    <n v="13062"/>
    <n v="12"/>
    <s v="Debit Card"/>
    <s v="High"/>
    <x v="2"/>
    <x v="9"/>
    <n v="4"/>
    <n v="9"/>
    <n v="0.89318927789934355"/>
  </r>
  <r>
    <n v="11031"/>
    <d v="2023-10-28T00:00:00"/>
    <d v="2023-10-30T00:00:00"/>
    <d v="2023-11-02T00:00:00"/>
    <x v="1"/>
    <s v="India"/>
    <s v="Maharashtra"/>
    <s v="Hyderabad"/>
    <x v="0"/>
    <s v="Table"/>
    <s v="Gaming Laptop"/>
    <s v="Consumer"/>
    <n v="32143"/>
    <n v="0.24"/>
    <n v="12228"/>
    <n v="16"/>
    <s v="Cash"/>
    <s v="High"/>
    <x v="2"/>
    <x v="9"/>
    <n v="2"/>
    <n v="5"/>
    <n v="0.38042497588899604"/>
  </r>
  <r>
    <n v="11032"/>
    <d v="2023-10-29T00:00:00"/>
    <d v="2023-11-05T00:00:00"/>
    <d v="2023-11-07T00:00:00"/>
    <x v="1"/>
    <s v="India"/>
    <s v="Maharashtra"/>
    <s v="Delhi"/>
    <x v="0"/>
    <s v="Mobile"/>
    <s v="Smartphone"/>
    <s v="Corporate"/>
    <n v="57501"/>
    <n v="0.1"/>
    <n v="-1633"/>
    <n v="12"/>
    <s v="Debit Card"/>
    <s v="Critical"/>
    <x v="2"/>
    <x v="9"/>
    <n v="7"/>
    <n v="9"/>
    <n v="-2.8399506095546163E-2"/>
  </r>
  <r>
    <n v="11033"/>
    <d v="2023-10-30T00:00:00"/>
    <d v="2023-11-05T00:00:00"/>
    <d v="2023-11-08T00:00:00"/>
    <x v="3"/>
    <s v="India"/>
    <s v="Delhi"/>
    <s v="Chennai"/>
    <x v="0"/>
    <s v="Printer"/>
    <s v="Office Chair"/>
    <s v="Corporate"/>
    <n v="61836"/>
    <n v="0.23"/>
    <n v="-1571"/>
    <n v="22"/>
    <s v="Cash"/>
    <s v="Low"/>
    <x v="2"/>
    <x v="9"/>
    <n v="6"/>
    <n v="9"/>
    <n v="-2.5405912413480822E-2"/>
  </r>
  <r>
    <n v="11034"/>
    <d v="2023-10-31T00:00:00"/>
    <d v="2023-11-02T00:00:00"/>
    <d v="2023-11-06T00:00:00"/>
    <x v="3"/>
    <s v="India"/>
    <s v="Delhi"/>
    <s v="Chennai"/>
    <x v="1"/>
    <s v="Laptop"/>
    <s v="Spiral Notebook"/>
    <s v="Consumer"/>
    <n v="45866"/>
    <n v="0.17"/>
    <n v="-968"/>
    <n v="23"/>
    <s v="Cash"/>
    <s v="Low"/>
    <x v="2"/>
    <x v="9"/>
    <n v="2"/>
    <n v="6"/>
    <n v="-2.1104957920900013E-2"/>
  </r>
  <r>
    <n v="11035"/>
    <d v="2023-11-01T00:00:00"/>
    <d v="2023-11-03T00:00:00"/>
    <d v="2023-11-05T00:00:00"/>
    <x v="1"/>
    <s v="India"/>
    <s v="Telangana"/>
    <s v="Delhi"/>
    <x v="1"/>
    <s v="Printer"/>
    <s v="Gel Pen"/>
    <s v="Consumer"/>
    <n v="5418"/>
    <n v="0.33"/>
    <n v="6392"/>
    <n v="20"/>
    <s v="Debit Card"/>
    <s v="Critical"/>
    <x v="2"/>
    <x v="10"/>
    <n v="2"/>
    <n v="4"/>
    <n v="1.1797711332595053"/>
  </r>
  <r>
    <n v="11036"/>
    <d v="2023-11-02T00:00:00"/>
    <d v="2023-11-09T00:00:00"/>
    <d v="2023-11-11T00:00:00"/>
    <x v="3"/>
    <s v="India"/>
    <s v="Tamil Nadu"/>
    <s v="Chennai"/>
    <x v="0"/>
    <s v="Printer"/>
    <s v="Laser Printer"/>
    <s v="Corporate"/>
    <n v="53642"/>
    <n v="0.02"/>
    <n v="11250"/>
    <n v="8"/>
    <s v="UPI"/>
    <s v="High"/>
    <x v="2"/>
    <x v="10"/>
    <n v="7"/>
    <n v="9"/>
    <n v="0.20972372394765296"/>
  </r>
  <r>
    <n v="11037"/>
    <d v="2023-11-03T00:00:00"/>
    <d v="2023-11-07T00:00:00"/>
    <d v="2023-11-10T00:00:00"/>
    <x v="2"/>
    <s v="India"/>
    <s v="Telangana"/>
    <s v="Delhi"/>
    <x v="0"/>
    <s v="Table"/>
    <s v="Gaming Laptop"/>
    <s v="Home Office"/>
    <n v="52511"/>
    <n v="0.18"/>
    <n v="7180"/>
    <n v="24"/>
    <s v="Credit Card"/>
    <s v="Low"/>
    <x v="2"/>
    <x v="10"/>
    <n v="4"/>
    <n v="7"/>
    <n v="0.13673325588924226"/>
  </r>
  <r>
    <n v="11038"/>
    <d v="2023-11-04T00:00:00"/>
    <d v="2023-11-07T00:00:00"/>
    <d v="2023-11-08T00:00:00"/>
    <x v="0"/>
    <s v="India"/>
    <s v="Maharashtra"/>
    <s v="Hyderabad"/>
    <x v="0"/>
    <s v="Laptop"/>
    <s v="Office Chair"/>
    <s v="Home Office"/>
    <n v="18046"/>
    <n v="0.14000000000000001"/>
    <n v="10016"/>
    <n v="8"/>
    <s v="Credit Card"/>
    <s v="Critical"/>
    <x v="2"/>
    <x v="10"/>
    <n v="3"/>
    <n v="4"/>
    <n v="0.55502604455280946"/>
  </r>
  <r>
    <n v="11039"/>
    <d v="2023-11-05T00:00:00"/>
    <d v="2023-11-07T00:00:00"/>
    <d v="2023-11-10T00:00:00"/>
    <x v="0"/>
    <s v="India"/>
    <s v="Telangana"/>
    <s v="Hyderabad"/>
    <x v="2"/>
    <s v="Laptop"/>
    <s v="Dining Table"/>
    <s v="Home Office"/>
    <n v="70287"/>
    <n v="0.28000000000000003"/>
    <n v="13786"/>
    <n v="14"/>
    <s v="Cash"/>
    <s v="Medium"/>
    <x v="2"/>
    <x v="10"/>
    <n v="2"/>
    <n v="5"/>
    <n v="0.19613868851992544"/>
  </r>
  <r>
    <n v="11040"/>
    <d v="2023-11-06T00:00:00"/>
    <d v="2023-11-12T00:00:00"/>
    <d v="2023-11-16T00:00:00"/>
    <x v="1"/>
    <s v="India"/>
    <s v="Telangana"/>
    <s v="Chennai"/>
    <x v="0"/>
    <s v="Pen"/>
    <s v="Gel Pen"/>
    <s v="Consumer"/>
    <n v="35922"/>
    <n v="0.05"/>
    <n v="4272"/>
    <n v="16"/>
    <s v="Cash"/>
    <s v="Medium"/>
    <x v="2"/>
    <x v="10"/>
    <n v="6"/>
    <n v="10"/>
    <n v="0.1189243360614665"/>
  </r>
  <r>
    <n v="11041"/>
    <d v="2023-11-07T00:00:00"/>
    <d v="2023-11-11T00:00:00"/>
    <d v="2023-11-13T00:00:00"/>
    <x v="1"/>
    <s v="India"/>
    <s v="Delhi"/>
    <s v="Delhi"/>
    <x v="1"/>
    <s v="Laptop"/>
    <s v="Dining Table"/>
    <s v="Corporate"/>
    <n v="35582"/>
    <n v="0.08"/>
    <n v="10459"/>
    <n v="19"/>
    <s v="UPI"/>
    <s v="High"/>
    <x v="2"/>
    <x v="10"/>
    <n v="4"/>
    <n v="6"/>
    <n v="0.29394075656230678"/>
  </r>
  <r>
    <n v="11042"/>
    <d v="2023-11-08T00:00:00"/>
    <d v="2023-11-12T00:00:00"/>
    <d v="2023-11-13T00:00:00"/>
    <x v="2"/>
    <s v="India"/>
    <s v="Telangana"/>
    <s v="Kochi"/>
    <x v="1"/>
    <s v="Pen"/>
    <s v="Gel Pen"/>
    <s v="Corporate"/>
    <n v="22978"/>
    <n v="0.18"/>
    <n v="2236"/>
    <n v="21"/>
    <s v="Debit Card"/>
    <s v="High"/>
    <x v="2"/>
    <x v="10"/>
    <n v="4"/>
    <n v="5"/>
    <n v="9.7310470885194539E-2"/>
  </r>
  <r>
    <n v="11043"/>
    <d v="2023-11-09T00:00:00"/>
    <d v="2023-11-14T00:00:00"/>
    <d v="2023-11-16T00:00:00"/>
    <x v="3"/>
    <s v="India"/>
    <s v="Tamil Nadu"/>
    <s v="Kochi"/>
    <x v="2"/>
    <s v="Notebook"/>
    <s v="Spiral Notebook"/>
    <s v="Corporate"/>
    <n v="4550"/>
    <n v="0.34"/>
    <n v="2915"/>
    <n v="16"/>
    <s v="Debit Card"/>
    <s v="Critical"/>
    <x v="2"/>
    <x v="10"/>
    <n v="5"/>
    <n v="7"/>
    <n v="0.64065934065934071"/>
  </r>
  <r>
    <n v="11044"/>
    <d v="2023-11-10T00:00:00"/>
    <d v="2023-11-12T00:00:00"/>
    <d v="2023-11-13T00:00:00"/>
    <x v="3"/>
    <s v="India"/>
    <s v="Karnataka"/>
    <s v="Chennai"/>
    <x v="1"/>
    <s v="Pen"/>
    <s v="Spiral Notebook"/>
    <s v="Home Office"/>
    <n v="68323"/>
    <n v="0.39"/>
    <n v="10623"/>
    <n v="9"/>
    <s v="Cash"/>
    <s v="High"/>
    <x v="2"/>
    <x v="10"/>
    <n v="2"/>
    <n v="3"/>
    <n v="0.15548204850489586"/>
  </r>
  <r>
    <n v="11045"/>
    <d v="2023-11-11T00:00:00"/>
    <d v="2023-11-18T00:00:00"/>
    <d v="2023-11-19T00:00:00"/>
    <x v="1"/>
    <s v="India"/>
    <s v="Tamil Nadu"/>
    <s v="Chennai"/>
    <x v="1"/>
    <s v="Printer"/>
    <s v="Spiral Notebook"/>
    <s v="Corporate"/>
    <n v="56514"/>
    <n v="0.28000000000000003"/>
    <n v="-1782"/>
    <n v="3"/>
    <s v="Debit Card"/>
    <s v="Medium"/>
    <x v="2"/>
    <x v="10"/>
    <n v="7"/>
    <n v="8"/>
    <n v="-3.1532009767491244E-2"/>
  </r>
  <r>
    <n v="11046"/>
    <d v="2023-11-12T00:00:00"/>
    <d v="2023-11-19T00:00:00"/>
    <d v="2023-11-23T00:00:00"/>
    <x v="2"/>
    <s v="India"/>
    <s v="Kerala"/>
    <s v="Hyderabad"/>
    <x v="0"/>
    <s v="Chair"/>
    <s v="Office Chair"/>
    <s v="Consumer"/>
    <n v="4442"/>
    <n v="0.33"/>
    <n v="3587"/>
    <n v="23"/>
    <s v="UPI"/>
    <s v="Low"/>
    <x v="2"/>
    <x v="10"/>
    <n v="7"/>
    <n v="11"/>
    <n v="0.80751913552453847"/>
  </r>
  <r>
    <n v="11047"/>
    <d v="2023-11-13T00:00:00"/>
    <d v="2023-11-16T00:00:00"/>
    <d v="2023-11-19T00:00:00"/>
    <x v="1"/>
    <s v="India"/>
    <s v="Tamil Nadu"/>
    <s v="Mumbai"/>
    <x v="2"/>
    <s v="Table"/>
    <s v="Smartphone"/>
    <s v="Home Office"/>
    <n v="50718"/>
    <n v="0.28999999999999998"/>
    <n v="8042"/>
    <n v="16"/>
    <s v="UPI"/>
    <s v="Low"/>
    <x v="2"/>
    <x v="10"/>
    <n v="3"/>
    <n v="6"/>
    <n v="0.15856303481998502"/>
  </r>
  <r>
    <n v="11048"/>
    <d v="2023-11-14T00:00:00"/>
    <d v="2023-11-20T00:00:00"/>
    <d v="2023-11-25T00:00:00"/>
    <x v="0"/>
    <s v="India"/>
    <s v="Kerala"/>
    <s v="Kochi"/>
    <x v="0"/>
    <s v="Printer"/>
    <s v="Dining Table"/>
    <s v="Corporate"/>
    <n v="42923"/>
    <n v="0.04"/>
    <n v="-853"/>
    <n v="22"/>
    <s v="Cash"/>
    <s v="Low"/>
    <x v="2"/>
    <x v="10"/>
    <n v="6"/>
    <n v="11"/>
    <n v="-1.9872795470959624E-2"/>
  </r>
  <r>
    <n v="11049"/>
    <d v="2023-11-15T00:00:00"/>
    <d v="2023-11-19T00:00:00"/>
    <d v="2023-11-21T00:00:00"/>
    <x v="0"/>
    <s v="India"/>
    <s v="Kerala"/>
    <s v="Kochi"/>
    <x v="1"/>
    <s v="Laptop"/>
    <s v="Gaming Laptop"/>
    <s v="Home Office"/>
    <n v="33142"/>
    <n v="0.28999999999999998"/>
    <n v="16218"/>
    <n v="1"/>
    <s v="Credit Card"/>
    <s v="Medium"/>
    <x v="2"/>
    <x v="10"/>
    <n v="4"/>
    <n v="6"/>
    <n v="0.48934886247058113"/>
  </r>
  <r>
    <n v="11050"/>
    <d v="2023-11-16T00:00:00"/>
    <d v="2023-11-22T00:00:00"/>
    <d v="2023-11-27T00:00:00"/>
    <x v="0"/>
    <s v="India"/>
    <s v="Maharashtra"/>
    <s v="Kochi"/>
    <x v="1"/>
    <s v="Laptop"/>
    <s v="Spiral Notebook"/>
    <s v="Consumer"/>
    <n v="49585"/>
    <n v="0.31"/>
    <n v="18009"/>
    <n v="16"/>
    <s v="Debit Card"/>
    <s v="Medium"/>
    <x v="2"/>
    <x v="10"/>
    <n v="6"/>
    <n v="11"/>
    <n v="0.36319451447010187"/>
  </r>
  <r>
    <n v="11051"/>
    <d v="2023-11-17T00:00:00"/>
    <d v="2023-11-19T00:00:00"/>
    <d v="2023-11-20T00:00:00"/>
    <x v="3"/>
    <s v="India"/>
    <s v="Kerala"/>
    <s v="Chennai"/>
    <x v="0"/>
    <s v="Chair"/>
    <s v="Smartphone"/>
    <s v="Consumer"/>
    <n v="23929"/>
    <n v="0.19"/>
    <n v="2108"/>
    <n v="18"/>
    <s v="UPI"/>
    <s v="Medium"/>
    <x v="2"/>
    <x v="10"/>
    <n v="2"/>
    <n v="3"/>
    <n v="8.8093944586067119E-2"/>
  </r>
  <r>
    <n v="11052"/>
    <d v="2023-11-18T00:00:00"/>
    <d v="2023-11-25T00:00:00"/>
    <d v="2023-11-27T00:00:00"/>
    <x v="0"/>
    <s v="India"/>
    <s v="Karnataka"/>
    <s v="Hyderabad"/>
    <x v="0"/>
    <s v="Laptop"/>
    <s v="Office Chair"/>
    <s v="Consumer"/>
    <n v="61161"/>
    <n v="0.32"/>
    <n v="19214"/>
    <n v="3"/>
    <s v="UPI"/>
    <s v="High"/>
    <x v="2"/>
    <x v="10"/>
    <n v="7"/>
    <n v="9"/>
    <n v="0.31415444482595117"/>
  </r>
  <r>
    <n v="11053"/>
    <d v="2023-11-19T00:00:00"/>
    <d v="2023-11-23T00:00:00"/>
    <d v="2023-11-27T00:00:00"/>
    <x v="3"/>
    <s v="India"/>
    <s v="Delhi"/>
    <s v="Mumbai"/>
    <x v="1"/>
    <s v="Printer"/>
    <s v="Smartphone"/>
    <s v="Consumer"/>
    <n v="10161"/>
    <n v="0.37"/>
    <n v="-1238"/>
    <n v="4"/>
    <s v="Net Banking"/>
    <s v="Low"/>
    <x v="2"/>
    <x v="10"/>
    <n v="4"/>
    <n v="8"/>
    <n v="-0.12183840173211298"/>
  </r>
  <r>
    <n v="11054"/>
    <d v="2023-11-20T00:00:00"/>
    <d v="2023-11-24T00:00:00"/>
    <d v="2023-11-27T00:00:00"/>
    <x v="1"/>
    <s v="India"/>
    <s v="Telangana"/>
    <s v="Bangalore"/>
    <x v="2"/>
    <s v="Printer"/>
    <s v="Dining Table"/>
    <s v="Consumer"/>
    <n v="1904"/>
    <n v="0.28000000000000003"/>
    <n v="4431"/>
    <n v="22"/>
    <s v="Net Banking"/>
    <s v="Medium"/>
    <x v="2"/>
    <x v="10"/>
    <n v="4"/>
    <n v="7"/>
    <n v="2.3272058823529411"/>
  </r>
  <r>
    <n v="11055"/>
    <d v="2023-11-21T00:00:00"/>
    <d v="2023-11-27T00:00:00"/>
    <d v="2023-11-30T00:00:00"/>
    <x v="3"/>
    <s v="India"/>
    <s v="Delhi"/>
    <s v="Delhi"/>
    <x v="1"/>
    <s v="Table"/>
    <s v="Spiral Notebook"/>
    <s v="Consumer"/>
    <n v="36735"/>
    <n v="0.16"/>
    <n v="10179"/>
    <n v="21"/>
    <s v="Net Banking"/>
    <s v="Low"/>
    <x v="2"/>
    <x v="10"/>
    <n v="6"/>
    <n v="9"/>
    <n v="0.27709269089424254"/>
  </r>
  <r>
    <n v="11056"/>
    <d v="2023-11-22T00:00:00"/>
    <d v="2023-11-24T00:00:00"/>
    <d v="2023-11-26T00:00:00"/>
    <x v="2"/>
    <s v="India"/>
    <s v="Telangana"/>
    <s v="Delhi"/>
    <x v="1"/>
    <s v="Laptop"/>
    <s v="Dining Table"/>
    <s v="Consumer"/>
    <n v="45680"/>
    <n v="0.14000000000000001"/>
    <n v="9289"/>
    <n v="5"/>
    <s v="Net Banking"/>
    <s v="Critical"/>
    <x v="2"/>
    <x v="10"/>
    <n v="2"/>
    <n v="4"/>
    <n v="0.20334938704028022"/>
  </r>
  <r>
    <n v="11057"/>
    <d v="2023-11-23T00:00:00"/>
    <d v="2023-11-26T00:00:00"/>
    <d v="2023-12-01T00:00:00"/>
    <x v="1"/>
    <s v="India"/>
    <s v="Karnataka"/>
    <s v="Delhi"/>
    <x v="2"/>
    <s v="Mobile"/>
    <s v="Gel Pen"/>
    <s v="Home Office"/>
    <n v="34457"/>
    <n v="0.35"/>
    <n v="13883"/>
    <n v="9"/>
    <s v="Credit Card"/>
    <s v="High"/>
    <x v="2"/>
    <x v="10"/>
    <n v="3"/>
    <n v="8"/>
    <n v="0.40290797225527469"/>
  </r>
  <r>
    <n v="11058"/>
    <d v="2023-11-24T00:00:00"/>
    <d v="2023-11-26T00:00:00"/>
    <d v="2023-11-30T00:00:00"/>
    <x v="2"/>
    <s v="India"/>
    <s v="Karnataka"/>
    <s v="Chennai"/>
    <x v="0"/>
    <s v="Printer"/>
    <s v="Dining Table"/>
    <s v="Corporate"/>
    <n v="43420"/>
    <n v="0"/>
    <n v="3887"/>
    <n v="7"/>
    <s v="Cash"/>
    <s v="Low"/>
    <x v="2"/>
    <x v="10"/>
    <n v="2"/>
    <n v="6"/>
    <n v="8.9520958083832342E-2"/>
  </r>
  <r>
    <n v="11059"/>
    <d v="2023-11-25T00:00:00"/>
    <d v="2023-11-27T00:00:00"/>
    <d v="2023-11-29T00:00:00"/>
    <x v="1"/>
    <s v="India"/>
    <s v="Telangana"/>
    <s v="Delhi"/>
    <x v="2"/>
    <s v="Laptop"/>
    <s v="Smartphone"/>
    <s v="Consumer"/>
    <n v="56962"/>
    <n v="0.26"/>
    <n v="-97"/>
    <n v="21"/>
    <s v="Net Banking"/>
    <s v="High"/>
    <x v="2"/>
    <x v="10"/>
    <n v="2"/>
    <n v="4"/>
    <n v="-1.7028896457287315E-3"/>
  </r>
  <r>
    <n v="11060"/>
    <d v="2023-11-26T00:00:00"/>
    <d v="2023-11-30T00:00:00"/>
    <d v="2023-12-05T00:00:00"/>
    <x v="2"/>
    <s v="India"/>
    <s v="Tamil Nadu"/>
    <s v="Mumbai"/>
    <x v="1"/>
    <s v="Notebook"/>
    <s v="Laser Printer"/>
    <s v="Consumer"/>
    <n v="5721"/>
    <n v="0.25"/>
    <n v="7602"/>
    <n v="10"/>
    <s v="Cash"/>
    <s v="Low"/>
    <x v="2"/>
    <x v="10"/>
    <n v="4"/>
    <n v="9"/>
    <n v="1.3287886733088621"/>
  </r>
  <r>
    <n v="11061"/>
    <d v="2023-11-27T00:00:00"/>
    <d v="2023-12-02T00:00:00"/>
    <d v="2023-12-04T00:00:00"/>
    <x v="2"/>
    <s v="India"/>
    <s v="Karnataka"/>
    <s v="Delhi"/>
    <x v="2"/>
    <s v="Mobile"/>
    <s v="Laser Printer"/>
    <s v="Corporate"/>
    <n v="18914"/>
    <n v="0.25"/>
    <n v="13558"/>
    <n v="10"/>
    <s v="Cash"/>
    <s v="Critical"/>
    <x v="2"/>
    <x v="10"/>
    <n v="5"/>
    <n v="7"/>
    <n v="0.71682351697155544"/>
  </r>
  <r>
    <n v="11062"/>
    <d v="2023-11-28T00:00:00"/>
    <d v="2023-12-02T00:00:00"/>
    <d v="2023-12-05T00:00:00"/>
    <x v="1"/>
    <s v="India"/>
    <s v="Telangana"/>
    <s v="Kochi"/>
    <x v="1"/>
    <s v="Printer"/>
    <s v="Gaming Laptop"/>
    <s v="Corporate"/>
    <n v="19166"/>
    <n v="0.13"/>
    <n v="11889"/>
    <n v="8"/>
    <s v="Credit Card"/>
    <s v="Critical"/>
    <x v="2"/>
    <x v="10"/>
    <n v="4"/>
    <n v="7"/>
    <n v="0.62031722842533654"/>
  </r>
  <r>
    <n v="11063"/>
    <d v="2023-11-29T00:00:00"/>
    <d v="2023-12-02T00:00:00"/>
    <d v="2023-12-07T00:00:00"/>
    <x v="3"/>
    <s v="India"/>
    <s v="Kerala"/>
    <s v="Mumbai"/>
    <x v="1"/>
    <s v="Mobile"/>
    <s v="Gel Pen"/>
    <s v="Home Office"/>
    <n v="52318"/>
    <n v="0.22"/>
    <n v="-99"/>
    <n v="19"/>
    <s v="Cash"/>
    <s v="Critical"/>
    <x v="2"/>
    <x v="10"/>
    <n v="3"/>
    <n v="8"/>
    <n v="-1.8922741695018923E-3"/>
  </r>
  <r>
    <n v="11064"/>
    <d v="2023-11-30T00:00:00"/>
    <d v="2023-12-05T00:00:00"/>
    <d v="2023-12-10T00:00:00"/>
    <x v="0"/>
    <s v="India"/>
    <s v="Karnataka"/>
    <s v="Delhi"/>
    <x v="1"/>
    <s v="Chair"/>
    <s v="Gel Pen"/>
    <s v="Corporate"/>
    <n v="24919"/>
    <n v="0.21"/>
    <n v="-200"/>
    <n v="1"/>
    <s v="UPI"/>
    <s v="Medium"/>
    <x v="2"/>
    <x v="10"/>
    <n v="5"/>
    <n v="10"/>
    <n v="-8.0260042537822537E-3"/>
  </r>
  <r>
    <n v="11065"/>
    <d v="2023-12-01T00:00:00"/>
    <d v="2023-12-04T00:00:00"/>
    <d v="2023-12-07T00:00:00"/>
    <x v="1"/>
    <s v="India"/>
    <s v="Telangana"/>
    <s v="Chennai"/>
    <x v="2"/>
    <s v="Chair"/>
    <s v="Dining Table"/>
    <s v="Consumer"/>
    <n v="47530"/>
    <n v="0.35"/>
    <n v="-1406"/>
    <n v="3"/>
    <s v="Cash"/>
    <s v="Low"/>
    <x v="2"/>
    <x v="11"/>
    <n v="3"/>
    <n v="6"/>
    <n v="-2.9581317062907637E-2"/>
  </r>
  <r>
    <n v="11066"/>
    <d v="2023-12-02T00:00:00"/>
    <d v="2023-12-06T00:00:00"/>
    <d v="2023-12-09T00:00:00"/>
    <x v="3"/>
    <s v="India"/>
    <s v="Telangana"/>
    <s v="Delhi"/>
    <x v="1"/>
    <s v="Notebook"/>
    <s v="Laser Printer"/>
    <s v="Corporate"/>
    <n v="12423"/>
    <n v="0.39"/>
    <n v="7230"/>
    <n v="12"/>
    <s v="Credit Card"/>
    <s v="Low"/>
    <x v="2"/>
    <x v="11"/>
    <n v="4"/>
    <n v="7"/>
    <n v="0.58198502777106975"/>
  </r>
  <r>
    <n v="11067"/>
    <d v="2023-12-03T00:00:00"/>
    <d v="2023-12-05T00:00:00"/>
    <d v="2023-12-10T00:00:00"/>
    <x v="0"/>
    <s v="India"/>
    <s v="Maharashtra"/>
    <s v="Mumbai"/>
    <x v="1"/>
    <s v="Table"/>
    <s v="Smartphone"/>
    <s v="Consumer"/>
    <n v="30263"/>
    <n v="0.16"/>
    <n v="3184"/>
    <n v="16"/>
    <s v="Cash"/>
    <s v="Critical"/>
    <x v="2"/>
    <x v="11"/>
    <n v="2"/>
    <n v="7"/>
    <n v="0.10521098370948022"/>
  </r>
  <r>
    <n v="11068"/>
    <d v="2023-12-04T00:00:00"/>
    <d v="2023-12-11T00:00:00"/>
    <d v="2023-12-14T00:00:00"/>
    <x v="3"/>
    <s v="India"/>
    <s v="Telangana"/>
    <s v="Delhi"/>
    <x v="2"/>
    <s v="Chair"/>
    <s v="Gaming Laptop"/>
    <s v="Consumer"/>
    <n v="28801"/>
    <n v="0.35"/>
    <n v="18805"/>
    <n v="18"/>
    <s v="Debit Card"/>
    <s v="Critical"/>
    <x v="2"/>
    <x v="11"/>
    <n v="7"/>
    <n v="10"/>
    <n v="0.65292871775285577"/>
  </r>
  <r>
    <n v="11069"/>
    <d v="2023-12-05T00:00:00"/>
    <d v="2023-12-12T00:00:00"/>
    <d v="2023-12-17T00:00:00"/>
    <x v="3"/>
    <s v="India"/>
    <s v="Karnataka"/>
    <s v="Chennai"/>
    <x v="2"/>
    <s v="Mobile"/>
    <s v="Laser Printer"/>
    <s v="Home Office"/>
    <n v="16077"/>
    <n v="0.19"/>
    <n v="6276"/>
    <n v="7"/>
    <s v="UPI"/>
    <s v="Low"/>
    <x v="2"/>
    <x v="11"/>
    <n v="7"/>
    <n v="12"/>
    <n v="0.39037133793618212"/>
  </r>
  <r>
    <n v="11070"/>
    <d v="2023-12-06T00:00:00"/>
    <d v="2023-12-11T00:00:00"/>
    <d v="2023-12-12T00:00:00"/>
    <x v="1"/>
    <s v="India"/>
    <s v="Delhi"/>
    <s v="Bangalore"/>
    <x v="2"/>
    <s v="Mobile"/>
    <s v="Smartphone"/>
    <s v="Corporate"/>
    <n v="44125"/>
    <n v="0.33"/>
    <n v="12956"/>
    <n v="18"/>
    <s v="Credit Card"/>
    <s v="Critical"/>
    <x v="2"/>
    <x v="11"/>
    <n v="5"/>
    <n v="6"/>
    <n v="0.29362039660056655"/>
  </r>
  <r>
    <n v="11071"/>
    <d v="2023-12-07T00:00:00"/>
    <d v="2023-12-14T00:00:00"/>
    <d v="2023-12-15T00:00:00"/>
    <x v="0"/>
    <s v="India"/>
    <s v="Karnataka"/>
    <s v="Mumbai"/>
    <x v="1"/>
    <s v="Table"/>
    <s v="Smartphone"/>
    <s v="Consumer"/>
    <n v="71394"/>
    <n v="0.1"/>
    <n v="2683"/>
    <n v="6"/>
    <s v="Debit Card"/>
    <s v="Medium"/>
    <x v="2"/>
    <x v="11"/>
    <n v="7"/>
    <n v="8"/>
    <n v="3.758018881138471E-2"/>
  </r>
  <r>
    <n v="11072"/>
    <d v="2023-12-08T00:00:00"/>
    <d v="2023-12-15T00:00:00"/>
    <d v="2023-12-16T00:00:00"/>
    <x v="3"/>
    <s v="India"/>
    <s v="Tamil Nadu"/>
    <s v="Mumbai"/>
    <x v="1"/>
    <s v="Laptop"/>
    <s v="Spiral Notebook"/>
    <s v="Home Office"/>
    <n v="44423"/>
    <n v="0.24"/>
    <n v="2868"/>
    <n v="24"/>
    <s v="Debit Card"/>
    <s v="High"/>
    <x v="2"/>
    <x v="11"/>
    <n v="7"/>
    <n v="8"/>
    <n v="6.4561150755239397E-2"/>
  </r>
  <r>
    <n v="11073"/>
    <d v="2023-12-09T00:00:00"/>
    <d v="2023-12-13T00:00:00"/>
    <d v="2023-12-14T00:00:00"/>
    <x v="0"/>
    <s v="India"/>
    <s v="Karnataka"/>
    <s v="Chennai"/>
    <x v="0"/>
    <s v="Printer"/>
    <s v="Spiral Notebook"/>
    <s v="Consumer"/>
    <n v="46722"/>
    <n v="0.03"/>
    <n v="-529"/>
    <n v="23"/>
    <s v="UPI"/>
    <s v="High"/>
    <x v="2"/>
    <x v="11"/>
    <n v="4"/>
    <n v="5"/>
    <n v="-1.1322289285561405E-2"/>
  </r>
  <r>
    <n v="11074"/>
    <d v="2023-12-10T00:00:00"/>
    <d v="2023-12-15T00:00:00"/>
    <d v="2023-12-17T00:00:00"/>
    <x v="2"/>
    <s v="India"/>
    <s v="Kerala"/>
    <s v="Chennai"/>
    <x v="0"/>
    <s v="Pen"/>
    <s v="Gaming Laptop"/>
    <s v="Corporate"/>
    <n v="37468"/>
    <n v="0.06"/>
    <n v="6522"/>
    <n v="24"/>
    <s v="Credit Card"/>
    <s v="Critical"/>
    <x v="2"/>
    <x v="11"/>
    <n v="5"/>
    <n v="7"/>
    <n v="0.17406853848617487"/>
  </r>
  <r>
    <n v="11075"/>
    <d v="2023-12-11T00:00:00"/>
    <d v="2023-12-14T00:00:00"/>
    <d v="2023-12-15T00:00:00"/>
    <x v="1"/>
    <s v="India"/>
    <s v="Kerala"/>
    <s v="Delhi"/>
    <x v="1"/>
    <s v="Chair"/>
    <s v="Gel Pen"/>
    <s v="Consumer"/>
    <n v="15434"/>
    <n v="0.26"/>
    <n v="14680"/>
    <n v="6"/>
    <s v="UPI"/>
    <s v="Critical"/>
    <x v="2"/>
    <x v="11"/>
    <n v="3"/>
    <n v="4"/>
    <n v="0.95114681871193474"/>
  </r>
  <r>
    <n v="11076"/>
    <d v="2023-12-12T00:00:00"/>
    <d v="2023-12-18T00:00:00"/>
    <d v="2023-12-23T00:00:00"/>
    <x v="0"/>
    <s v="India"/>
    <s v="Kerala"/>
    <s v="Mumbai"/>
    <x v="0"/>
    <s v="Printer"/>
    <s v="Office Chair"/>
    <s v="Corporate"/>
    <n v="51247"/>
    <n v="0.05"/>
    <n v="6018"/>
    <n v="18"/>
    <s v="Credit Card"/>
    <s v="Medium"/>
    <x v="2"/>
    <x v="11"/>
    <n v="6"/>
    <n v="11"/>
    <n v="0.11743126426912795"/>
  </r>
  <r>
    <n v="11077"/>
    <d v="2023-12-13T00:00:00"/>
    <d v="2023-12-19T00:00:00"/>
    <d v="2023-12-23T00:00:00"/>
    <x v="2"/>
    <s v="India"/>
    <s v="Karnataka"/>
    <s v="Chennai"/>
    <x v="1"/>
    <s v="Chair"/>
    <s v="Dining Table"/>
    <s v="Home Office"/>
    <n v="5160"/>
    <n v="0.12"/>
    <n v="10090"/>
    <n v="5"/>
    <s v="UPI"/>
    <s v="Low"/>
    <x v="2"/>
    <x v="11"/>
    <n v="6"/>
    <n v="10"/>
    <n v="1.9554263565891472"/>
  </r>
  <r>
    <n v="11078"/>
    <d v="2023-12-14T00:00:00"/>
    <d v="2023-12-17T00:00:00"/>
    <d v="2023-12-20T00:00:00"/>
    <x v="1"/>
    <s v="India"/>
    <s v="Karnataka"/>
    <s v="Mumbai"/>
    <x v="2"/>
    <s v="Laptop"/>
    <s v="Smartphone"/>
    <s v="Home Office"/>
    <n v="4754"/>
    <n v="0.01"/>
    <n v="17837"/>
    <n v="8"/>
    <s v="Debit Card"/>
    <s v="High"/>
    <x v="2"/>
    <x v="11"/>
    <n v="3"/>
    <n v="6"/>
    <n v="3.7519983172065627"/>
  </r>
  <r>
    <n v="11079"/>
    <d v="2023-12-15T00:00:00"/>
    <d v="2023-12-18T00:00:00"/>
    <d v="2023-12-21T00:00:00"/>
    <x v="1"/>
    <s v="India"/>
    <s v="Maharashtra"/>
    <s v="Delhi"/>
    <x v="2"/>
    <s v="Table"/>
    <s v="Office Chair"/>
    <s v="Home Office"/>
    <n v="30070"/>
    <n v="0.09"/>
    <n v="17820"/>
    <n v="4"/>
    <s v="Cash"/>
    <s v="Medium"/>
    <x v="2"/>
    <x v="11"/>
    <n v="3"/>
    <n v="6"/>
    <n v="0.59261722647156634"/>
  </r>
  <r>
    <n v="11080"/>
    <d v="2023-12-16T00:00:00"/>
    <d v="2023-12-19T00:00:00"/>
    <d v="2023-12-23T00:00:00"/>
    <x v="1"/>
    <s v="India"/>
    <s v="Delhi"/>
    <s v="Hyderabad"/>
    <x v="2"/>
    <s v="Table"/>
    <s v="Spiral Notebook"/>
    <s v="Home Office"/>
    <n v="38308"/>
    <n v="0.19"/>
    <n v="13991"/>
    <n v="18"/>
    <s v="Net Banking"/>
    <s v="Low"/>
    <x v="2"/>
    <x v="11"/>
    <n v="3"/>
    <n v="7"/>
    <n v="0.36522397410462565"/>
  </r>
  <r>
    <n v="11081"/>
    <d v="2023-12-17T00:00:00"/>
    <d v="2023-12-22T00:00:00"/>
    <d v="2023-12-27T00:00:00"/>
    <x v="0"/>
    <s v="India"/>
    <s v="Tamil Nadu"/>
    <s v="Hyderabad"/>
    <x v="1"/>
    <s v="Printer"/>
    <s v="Spiral Notebook"/>
    <s v="Home Office"/>
    <n v="5289"/>
    <n v="0.25"/>
    <n v="6586"/>
    <n v="9"/>
    <s v="Debit Card"/>
    <s v="High"/>
    <x v="2"/>
    <x v="11"/>
    <n v="5"/>
    <n v="10"/>
    <n v="1.2452259406314994"/>
  </r>
  <r>
    <n v="11082"/>
    <d v="2023-12-18T00:00:00"/>
    <d v="2023-12-25T00:00:00"/>
    <d v="2023-12-28T00:00:00"/>
    <x v="1"/>
    <s v="India"/>
    <s v="Telangana"/>
    <s v="Hyderabad"/>
    <x v="2"/>
    <s v="Notebook"/>
    <s v="Laser Printer"/>
    <s v="Consumer"/>
    <n v="37378"/>
    <n v="0.1"/>
    <n v="14310"/>
    <n v="19"/>
    <s v="Net Banking"/>
    <s v="Medium"/>
    <x v="2"/>
    <x v="11"/>
    <n v="7"/>
    <n v="10"/>
    <n v="0.38284552410508854"/>
  </r>
  <r>
    <n v="11083"/>
    <d v="2023-12-19T00:00:00"/>
    <d v="2023-12-23T00:00:00"/>
    <d v="2023-12-25T00:00:00"/>
    <x v="3"/>
    <s v="India"/>
    <s v="Tamil Nadu"/>
    <s v="Mumbai"/>
    <x v="1"/>
    <s v="Chair"/>
    <s v="Dining Table"/>
    <s v="Corporate"/>
    <n v="15923"/>
    <n v="0.03"/>
    <n v="14402"/>
    <n v="12"/>
    <s v="Debit Card"/>
    <s v="Medium"/>
    <x v="2"/>
    <x v="11"/>
    <n v="4"/>
    <n v="6"/>
    <n v="0.904477799409659"/>
  </r>
  <r>
    <n v="11084"/>
    <d v="2023-12-20T00:00:00"/>
    <d v="2023-12-26T00:00:00"/>
    <d v="2023-12-29T00:00:00"/>
    <x v="2"/>
    <s v="India"/>
    <s v="Telangana"/>
    <s v="Chennai"/>
    <x v="2"/>
    <s v="Notebook"/>
    <s v="Gaming Laptop"/>
    <s v="Consumer"/>
    <n v="15751"/>
    <n v="0.38"/>
    <n v="5957"/>
    <n v="11"/>
    <s v="Debit Card"/>
    <s v="Medium"/>
    <x v="2"/>
    <x v="11"/>
    <n v="6"/>
    <n v="9"/>
    <n v="0.37819820963748335"/>
  </r>
  <r>
    <n v="11085"/>
    <d v="2023-12-21T00:00:00"/>
    <d v="2023-12-24T00:00:00"/>
    <d v="2023-12-27T00:00:00"/>
    <x v="3"/>
    <s v="India"/>
    <s v="Karnataka"/>
    <s v="Hyderabad"/>
    <x v="1"/>
    <s v="Pen"/>
    <s v="Dining Table"/>
    <s v="Home Office"/>
    <n v="34578"/>
    <n v="0.28000000000000003"/>
    <n v="9450"/>
    <n v="2"/>
    <s v="Net Banking"/>
    <s v="Critical"/>
    <x v="2"/>
    <x v="11"/>
    <n v="3"/>
    <n v="6"/>
    <n v="0.2732951587714732"/>
  </r>
  <r>
    <n v="11086"/>
    <d v="2023-12-22T00:00:00"/>
    <d v="2023-12-27T00:00:00"/>
    <d v="2023-12-29T00:00:00"/>
    <x v="0"/>
    <s v="India"/>
    <s v="Maharashtra"/>
    <s v="Chennai"/>
    <x v="0"/>
    <s v="Laptop"/>
    <s v="Gel Pen"/>
    <s v="Corporate"/>
    <n v="39766"/>
    <n v="0.25"/>
    <n v="11157"/>
    <n v="18"/>
    <s v="Net Banking"/>
    <s v="Low"/>
    <x v="2"/>
    <x v="11"/>
    <n v="5"/>
    <n v="7"/>
    <n v="0.28056631293064427"/>
  </r>
  <r>
    <n v="11087"/>
    <d v="2023-12-23T00:00:00"/>
    <d v="2023-12-25T00:00:00"/>
    <d v="2023-12-26T00:00:00"/>
    <x v="3"/>
    <s v="India"/>
    <s v="Maharashtra"/>
    <s v="Bangalore"/>
    <x v="0"/>
    <s v="Table"/>
    <s v="Spiral Notebook"/>
    <s v="Corporate"/>
    <n v="30571"/>
    <n v="0.16"/>
    <n v="742"/>
    <n v="15"/>
    <s v="Cash"/>
    <s v="Low"/>
    <x v="2"/>
    <x v="11"/>
    <n v="2"/>
    <n v="3"/>
    <n v="2.4271368290209677E-2"/>
  </r>
  <r>
    <n v="11088"/>
    <d v="2023-12-24T00:00:00"/>
    <d v="2023-12-28T00:00:00"/>
    <d v="2023-12-30T00:00:00"/>
    <x v="0"/>
    <s v="India"/>
    <s v="Telangana"/>
    <s v="Chennai"/>
    <x v="2"/>
    <s v="Printer"/>
    <s v="Dining Table"/>
    <s v="Corporate"/>
    <n v="1726"/>
    <n v="0.08"/>
    <n v="6824"/>
    <n v="15"/>
    <s v="Debit Card"/>
    <s v="High"/>
    <x v="2"/>
    <x v="11"/>
    <n v="4"/>
    <n v="6"/>
    <n v="3.9536500579374274"/>
  </r>
  <r>
    <n v="11089"/>
    <d v="2023-12-25T00:00:00"/>
    <d v="2023-12-31T00:00:00"/>
    <d v="2024-01-01T00:00:00"/>
    <x v="0"/>
    <s v="India"/>
    <s v="Maharashtra"/>
    <s v="Hyderabad"/>
    <x v="1"/>
    <s v="Printer"/>
    <s v="Smartphone"/>
    <s v="Consumer"/>
    <n v="54576"/>
    <n v="0.11"/>
    <n v="14062"/>
    <n v="7"/>
    <s v="Credit Card"/>
    <s v="Critical"/>
    <x v="2"/>
    <x v="11"/>
    <n v="6"/>
    <n v="7"/>
    <n v="0.25765904426854297"/>
  </r>
  <r>
    <n v="11090"/>
    <d v="2023-12-26T00:00:00"/>
    <d v="2023-12-30T00:00:00"/>
    <d v="2024-01-02T00:00:00"/>
    <x v="2"/>
    <s v="India"/>
    <s v="Karnataka"/>
    <s v="Delhi"/>
    <x v="0"/>
    <s v="Mobile"/>
    <s v="Spiral Notebook"/>
    <s v="Home Office"/>
    <n v="28396"/>
    <n v="0.18"/>
    <n v="11309"/>
    <n v="21"/>
    <s v="Debit Card"/>
    <s v="High"/>
    <x v="2"/>
    <x v="11"/>
    <n v="4"/>
    <n v="7"/>
    <n v="0.39826031835469783"/>
  </r>
  <r>
    <n v="11091"/>
    <d v="2023-12-27T00:00:00"/>
    <d v="2023-12-29T00:00:00"/>
    <d v="2024-01-02T00:00:00"/>
    <x v="1"/>
    <s v="India"/>
    <s v="Tamil Nadu"/>
    <s v="Chennai"/>
    <x v="0"/>
    <s v="Chair"/>
    <s v="Smartphone"/>
    <s v="Consumer"/>
    <n v="23221"/>
    <n v="0.36"/>
    <n v="8399"/>
    <n v="9"/>
    <s v="Cash"/>
    <s v="Low"/>
    <x v="2"/>
    <x v="11"/>
    <n v="2"/>
    <n v="6"/>
    <n v="0.36169846259850996"/>
  </r>
  <r>
    <n v="11092"/>
    <d v="2023-12-28T00:00:00"/>
    <d v="2023-12-30T00:00:00"/>
    <d v="2023-12-31T00:00:00"/>
    <x v="3"/>
    <s v="India"/>
    <s v="Maharashtra"/>
    <s v="Mumbai"/>
    <x v="1"/>
    <s v="Printer"/>
    <s v="Office Chair"/>
    <s v="Home Office"/>
    <n v="28173"/>
    <n v="0.31"/>
    <n v="3401"/>
    <n v="11"/>
    <s v="UPI"/>
    <s v="High"/>
    <x v="2"/>
    <x v="11"/>
    <n v="2"/>
    <n v="3"/>
    <n v="0.12071841834380435"/>
  </r>
  <r>
    <n v="11093"/>
    <d v="2023-12-29T00:00:00"/>
    <d v="2024-01-01T00:00:00"/>
    <d v="2024-01-03T00:00:00"/>
    <x v="3"/>
    <s v="India"/>
    <s v="Telangana"/>
    <s v="Bangalore"/>
    <x v="1"/>
    <s v="Mobile"/>
    <s v="Dining Table"/>
    <s v="Corporate"/>
    <n v="55606"/>
    <n v="0.36"/>
    <n v="16777"/>
    <n v="5"/>
    <s v="Credit Card"/>
    <s v="High"/>
    <x v="2"/>
    <x v="11"/>
    <n v="3"/>
    <n v="5"/>
    <n v="0.30171204546271985"/>
  </r>
  <r>
    <n v="11094"/>
    <d v="2023-12-30T00:00:00"/>
    <d v="2024-01-01T00:00:00"/>
    <d v="2024-01-05T00:00:00"/>
    <x v="2"/>
    <s v="India"/>
    <s v="Maharashtra"/>
    <s v="Bangalore"/>
    <x v="2"/>
    <s v="Table"/>
    <s v="Spiral Notebook"/>
    <s v="Corporate"/>
    <n v="73838"/>
    <n v="0.03"/>
    <n v="11909"/>
    <n v="7"/>
    <s v="UPI"/>
    <s v="Low"/>
    <x v="2"/>
    <x v="11"/>
    <n v="2"/>
    <n v="6"/>
    <n v="0.16128551694249574"/>
  </r>
  <r>
    <n v="11095"/>
    <d v="2023-12-31T00:00:00"/>
    <d v="2024-01-07T00:00:00"/>
    <d v="2024-01-09T00:00:00"/>
    <x v="1"/>
    <s v="India"/>
    <s v="Karnataka"/>
    <s v="Kochi"/>
    <x v="0"/>
    <s v="Laptop"/>
    <s v="Gel Pen"/>
    <s v="Consumer"/>
    <n v="68049"/>
    <n v="0.36"/>
    <n v="14533"/>
    <n v="13"/>
    <s v="UPI"/>
    <s v="High"/>
    <x v="2"/>
    <x v="11"/>
    <n v="7"/>
    <n v="9"/>
    <n v="0.21356669458772357"/>
  </r>
  <r>
    <n v="11096"/>
    <d v="2024-01-01T00:00:00"/>
    <d v="2024-01-07T00:00:00"/>
    <d v="2024-01-11T00:00:00"/>
    <x v="2"/>
    <s v="India"/>
    <s v="Tamil Nadu"/>
    <s v="Kochi"/>
    <x v="0"/>
    <s v="Pen"/>
    <s v="Smartphone"/>
    <s v="Home Office"/>
    <n v="7506"/>
    <n v="0.24"/>
    <n v="5051"/>
    <n v="21"/>
    <s v="UPI"/>
    <s v="Medium"/>
    <x v="3"/>
    <x v="0"/>
    <n v="6"/>
    <n v="10"/>
    <n v="0.67292832400746072"/>
  </r>
  <r>
    <n v="11097"/>
    <d v="2024-01-02T00:00:00"/>
    <d v="2024-01-06T00:00:00"/>
    <d v="2024-01-09T00:00:00"/>
    <x v="3"/>
    <s v="India"/>
    <s v="Delhi"/>
    <s v="Delhi"/>
    <x v="0"/>
    <s v="Chair"/>
    <s v="Gel Pen"/>
    <s v="Home Office"/>
    <n v="5593"/>
    <n v="0.13"/>
    <n v="-650"/>
    <n v="12"/>
    <s v="UPI"/>
    <s v="Medium"/>
    <x v="3"/>
    <x v="0"/>
    <n v="4"/>
    <n v="7"/>
    <n v="-0.11621669944573575"/>
  </r>
  <r>
    <n v="11098"/>
    <d v="2024-01-03T00:00:00"/>
    <d v="2024-01-08T00:00:00"/>
    <d v="2024-01-13T00:00:00"/>
    <x v="3"/>
    <s v="India"/>
    <s v="Telangana"/>
    <s v="Mumbai"/>
    <x v="0"/>
    <s v="Table"/>
    <s v="Office Chair"/>
    <s v="Home Office"/>
    <n v="63120"/>
    <n v="0.08"/>
    <n v="18779"/>
    <n v="15"/>
    <s v="Net Banking"/>
    <s v="Critical"/>
    <x v="3"/>
    <x v="0"/>
    <n v="5"/>
    <n v="10"/>
    <n v="0.2975126742712294"/>
  </r>
  <r>
    <n v="11099"/>
    <d v="2024-01-04T00:00:00"/>
    <d v="2024-01-11T00:00:00"/>
    <d v="2024-01-15T00:00:00"/>
    <x v="3"/>
    <s v="India"/>
    <s v="Delhi"/>
    <s v="Chennai"/>
    <x v="0"/>
    <s v="Mobile"/>
    <s v="Office Chair"/>
    <s v="Consumer"/>
    <n v="24807"/>
    <n v="0.35"/>
    <n v="11104"/>
    <n v="21"/>
    <s v="Cash"/>
    <s v="Low"/>
    <x v="3"/>
    <x v="0"/>
    <n v="7"/>
    <n v="11"/>
    <n v="0.44761559237312049"/>
  </r>
  <r>
    <n v="11100"/>
    <d v="2024-01-05T00:00:00"/>
    <d v="2024-01-11T00:00:00"/>
    <d v="2024-01-15T00:00:00"/>
    <x v="0"/>
    <s v="India"/>
    <s v="Kerala"/>
    <s v="Bangalore"/>
    <x v="0"/>
    <s v="Table"/>
    <s v="Laser Printer"/>
    <s v="Home Office"/>
    <n v="9724"/>
    <n v="0.09"/>
    <n v="5561"/>
    <n v="18"/>
    <s v="UPI"/>
    <s v="Medium"/>
    <x v="3"/>
    <x v="0"/>
    <n v="6"/>
    <n v="10"/>
    <n v="0.57188399835458659"/>
  </r>
  <r>
    <n v="11101"/>
    <d v="2024-01-06T00:00:00"/>
    <d v="2024-01-11T00:00:00"/>
    <d v="2024-01-14T00:00:00"/>
    <x v="3"/>
    <s v="India"/>
    <s v="Tamil Nadu"/>
    <s v="Mumbai"/>
    <x v="0"/>
    <s v="Printer"/>
    <s v="Smartphone"/>
    <s v="Home Office"/>
    <n v="623"/>
    <n v="0.11"/>
    <n v="7537"/>
    <n v="6"/>
    <s v="Debit Card"/>
    <s v="High"/>
    <x v="3"/>
    <x v="0"/>
    <n v="5"/>
    <n v="8"/>
    <n v="12.097913322632424"/>
  </r>
  <r>
    <n v="11102"/>
    <d v="2024-01-07T00:00:00"/>
    <d v="2024-01-14T00:00:00"/>
    <d v="2024-01-17T00:00:00"/>
    <x v="2"/>
    <s v="India"/>
    <s v="Maharashtra"/>
    <s v="Hyderabad"/>
    <x v="2"/>
    <s v="Chair"/>
    <s v="Gaming Laptop"/>
    <s v="Corporate"/>
    <n v="13732"/>
    <n v="0.3"/>
    <n v="19752"/>
    <n v="16"/>
    <s v="Cash"/>
    <s v="High"/>
    <x v="3"/>
    <x v="0"/>
    <n v="7"/>
    <n v="10"/>
    <n v="1.4383920769006699"/>
  </r>
  <r>
    <n v="11103"/>
    <d v="2024-01-08T00:00:00"/>
    <d v="2024-01-11T00:00:00"/>
    <d v="2024-01-16T00:00:00"/>
    <x v="0"/>
    <s v="India"/>
    <s v="Telangana"/>
    <s v="Bangalore"/>
    <x v="0"/>
    <s v="Notebook"/>
    <s v="Office Chair"/>
    <s v="Home Office"/>
    <n v="43226"/>
    <n v="0.16"/>
    <n v="7315"/>
    <n v="15"/>
    <s v="Debit Card"/>
    <s v="Low"/>
    <x v="3"/>
    <x v="0"/>
    <n v="3"/>
    <n v="8"/>
    <n v="0.16922685420811548"/>
  </r>
  <r>
    <n v="11104"/>
    <d v="2024-01-09T00:00:00"/>
    <d v="2024-01-14T00:00:00"/>
    <d v="2024-01-18T00:00:00"/>
    <x v="1"/>
    <s v="India"/>
    <s v="Karnataka"/>
    <s v="Hyderabad"/>
    <x v="1"/>
    <s v="Laptop"/>
    <s v="Smartphone"/>
    <s v="Home Office"/>
    <n v="25863"/>
    <n v="0.06"/>
    <n v="277"/>
    <n v="5"/>
    <s v="Cash"/>
    <s v="Low"/>
    <x v="3"/>
    <x v="0"/>
    <n v="5"/>
    <n v="9"/>
    <n v="1.0710281096547191E-2"/>
  </r>
  <r>
    <n v="11105"/>
    <d v="2024-01-10T00:00:00"/>
    <d v="2024-01-13T00:00:00"/>
    <d v="2024-01-18T00:00:00"/>
    <x v="1"/>
    <s v="India"/>
    <s v="Kerala"/>
    <s v="Bangalore"/>
    <x v="1"/>
    <s v="Chair"/>
    <s v="Office Chair"/>
    <s v="Consumer"/>
    <n v="52379"/>
    <n v="0.26"/>
    <n v="5758"/>
    <n v="3"/>
    <s v="Net Banking"/>
    <s v="High"/>
    <x v="3"/>
    <x v="0"/>
    <n v="3"/>
    <n v="8"/>
    <n v="0.10992955191966246"/>
  </r>
  <r>
    <n v="11106"/>
    <d v="2024-01-11T00:00:00"/>
    <d v="2024-01-17T00:00:00"/>
    <d v="2024-01-20T00:00:00"/>
    <x v="2"/>
    <s v="India"/>
    <s v="Delhi"/>
    <s v="Hyderabad"/>
    <x v="0"/>
    <s v="Laptop"/>
    <s v="Spiral Notebook"/>
    <s v="Consumer"/>
    <n v="20795"/>
    <n v="0.03"/>
    <n v="12030"/>
    <n v="11"/>
    <s v="UPI"/>
    <s v="High"/>
    <x v="3"/>
    <x v="0"/>
    <n v="6"/>
    <n v="9"/>
    <n v="0.57850444818465974"/>
  </r>
  <r>
    <n v="11107"/>
    <d v="2024-01-12T00:00:00"/>
    <d v="2024-01-18T00:00:00"/>
    <d v="2024-01-20T00:00:00"/>
    <x v="1"/>
    <s v="India"/>
    <s v="Tamil Nadu"/>
    <s v="Kochi"/>
    <x v="2"/>
    <s v="Chair"/>
    <s v="Smartphone"/>
    <s v="Consumer"/>
    <n v="48174"/>
    <n v="0.32"/>
    <n v="2546"/>
    <n v="18"/>
    <s v="Cash"/>
    <s v="Medium"/>
    <x v="3"/>
    <x v="0"/>
    <n v="6"/>
    <n v="8"/>
    <n v="5.2850085108149626E-2"/>
  </r>
  <r>
    <n v="11108"/>
    <d v="2024-01-13T00:00:00"/>
    <d v="2024-01-20T00:00:00"/>
    <d v="2024-01-22T00:00:00"/>
    <x v="1"/>
    <s v="India"/>
    <s v="Karnataka"/>
    <s v="Hyderabad"/>
    <x v="2"/>
    <s v="Mobile"/>
    <s v="Gel Pen"/>
    <s v="Corporate"/>
    <n v="70837"/>
    <n v="0.02"/>
    <n v="6167"/>
    <n v="8"/>
    <s v="Debit Card"/>
    <s v="Medium"/>
    <x v="3"/>
    <x v="0"/>
    <n v="7"/>
    <n v="9"/>
    <n v="8.7059022827053661E-2"/>
  </r>
  <r>
    <n v="11109"/>
    <d v="2024-01-14T00:00:00"/>
    <d v="2024-01-18T00:00:00"/>
    <d v="2024-01-20T00:00:00"/>
    <x v="3"/>
    <s v="India"/>
    <s v="Maharashtra"/>
    <s v="Delhi"/>
    <x v="1"/>
    <s v="Pen"/>
    <s v="Dining Table"/>
    <s v="Corporate"/>
    <n v="5769"/>
    <n v="0.13"/>
    <n v="7493"/>
    <n v="9"/>
    <s v="Credit Card"/>
    <s v="Low"/>
    <x v="3"/>
    <x v="0"/>
    <n v="4"/>
    <n v="6"/>
    <n v="1.2988386202114752"/>
  </r>
  <r>
    <n v="11110"/>
    <d v="2024-01-15T00:00:00"/>
    <d v="2024-01-22T00:00:00"/>
    <d v="2024-01-23T00:00:00"/>
    <x v="1"/>
    <s v="India"/>
    <s v="Karnataka"/>
    <s v="Kochi"/>
    <x v="1"/>
    <s v="Chair"/>
    <s v="Office Chair"/>
    <s v="Consumer"/>
    <n v="47581"/>
    <n v="0.32"/>
    <n v="8859"/>
    <n v="17"/>
    <s v="UPI"/>
    <s v="High"/>
    <x v="3"/>
    <x v="0"/>
    <n v="7"/>
    <n v="8"/>
    <n v="0.18618776402345474"/>
  </r>
  <r>
    <n v="11111"/>
    <d v="2024-01-16T00:00:00"/>
    <d v="2024-01-19T00:00:00"/>
    <d v="2024-01-20T00:00:00"/>
    <x v="2"/>
    <s v="India"/>
    <s v="Maharashtra"/>
    <s v="Delhi"/>
    <x v="0"/>
    <s v="Mobile"/>
    <s v="Smartphone"/>
    <s v="Corporate"/>
    <n v="45051"/>
    <n v="0.2"/>
    <n v="-1926"/>
    <n v="2"/>
    <s v="Debit Card"/>
    <s v="Medium"/>
    <x v="3"/>
    <x v="0"/>
    <n v="3"/>
    <n v="4"/>
    <n v="-4.2751548245321971E-2"/>
  </r>
  <r>
    <n v="11112"/>
    <d v="2024-01-17T00:00:00"/>
    <d v="2024-01-19T00:00:00"/>
    <d v="2024-01-23T00:00:00"/>
    <x v="1"/>
    <s v="India"/>
    <s v="Kerala"/>
    <s v="Chennai"/>
    <x v="1"/>
    <s v="Pen"/>
    <s v="Gel Pen"/>
    <s v="Consumer"/>
    <n v="19664"/>
    <n v="0.39"/>
    <n v="4660"/>
    <n v="24"/>
    <s v="Credit Card"/>
    <s v="Critical"/>
    <x v="3"/>
    <x v="0"/>
    <n v="2"/>
    <n v="6"/>
    <n v="0.23698128559804718"/>
  </r>
  <r>
    <n v="11113"/>
    <d v="2024-01-18T00:00:00"/>
    <d v="2024-01-22T00:00:00"/>
    <d v="2024-01-23T00:00:00"/>
    <x v="0"/>
    <s v="India"/>
    <s v="Delhi"/>
    <s v="Bangalore"/>
    <x v="1"/>
    <s v="Mobile"/>
    <s v="Gaming Laptop"/>
    <s v="Home Office"/>
    <n v="69070"/>
    <n v="0.25"/>
    <n v="18344"/>
    <n v="6"/>
    <s v="Cash"/>
    <s v="Medium"/>
    <x v="3"/>
    <x v="0"/>
    <n v="4"/>
    <n v="5"/>
    <n v="0.2655856377587954"/>
  </r>
  <r>
    <n v="11114"/>
    <d v="2024-01-19T00:00:00"/>
    <d v="2024-01-24T00:00:00"/>
    <d v="2024-01-29T00:00:00"/>
    <x v="2"/>
    <s v="India"/>
    <s v="Maharashtra"/>
    <s v="Kochi"/>
    <x v="2"/>
    <s v="Printer"/>
    <s v="Laser Printer"/>
    <s v="Home Office"/>
    <n v="5157"/>
    <n v="0.26"/>
    <n v="6710"/>
    <n v="5"/>
    <s v="Debit Card"/>
    <s v="High"/>
    <x v="3"/>
    <x v="0"/>
    <n v="5"/>
    <n v="10"/>
    <n v="1.301144076013186"/>
  </r>
  <r>
    <n v="11115"/>
    <d v="2024-01-20T00:00:00"/>
    <d v="2024-01-27T00:00:00"/>
    <d v="2024-01-29T00:00:00"/>
    <x v="2"/>
    <s v="India"/>
    <s v="Kerala"/>
    <s v="Kochi"/>
    <x v="1"/>
    <s v="Printer"/>
    <s v="Gel Pen"/>
    <s v="Consumer"/>
    <n v="73803"/>
    <n v="0.34"/>
    <n v="6279"/>
    <n v="6"/>
    <s v="Credit Card"/>
    <s v="Critical"/>
    <x v="3"/>
    <x v="0"/>
    <n v="7"/>
    <n v="9"/>
    <n v="8.5077842364131545E-2"/>
  </r>
  <r>
    <n v="11116"/>
    <d v="2024-01-21T00:00:00"/>
    <d v="2024-01-25T00:00:00"/>
    <d v="2024-01-27T00:00:00"/>
    <x v="3"/>
    <s v="India"/>
    <s v="Karnataka"/>
    <s v="Delhi"/>
    <x v="0"/>
    <s v="Notebook"/>
    <s v="Laser Printer"/>
    <s v="Corporate"/>
    <n v="66054"/>
    <n v="0.37"/>
    <n v="8564"/>
    <n v="24"/>
    <s v="UPI"/>
    <s v="Critical"/>
    <x v="3"/>
    <x v="0"/>
    <n v="4"/>
    <n v="6"/>
    <n v="0.12965149725981773"/>
  </r>
  <r>
    <n v="11117"/>
    <d v="2024-01-22T00:00:00"/>
    <d v="2024-01-24T00:00:00"/>
    <d v="2024-01-28T00:00:00"/>
    <x v="1"/>
    <s v="India"/>
    <s v="Delhi"/>
    <s v="Hyderabad"/>
    <x v="0"/>
    <s v="Pen"/>
    <s v="Laser Printer"/>
    <s v="Consumer"/>
    <n v="69615"/>
    <n v="0.03"/>
    <n v="9020"/>
    <n v="13"/>
    <s v="Debit Card"/>
    <s v="High"/>
    <x v="3"/>
    <x v="0"/>
    <n v="2"/>
    <n v="6"/>
    <n v="0.12956977662860017"/>
  </r>
  <r>
    <n v="11118"/>
    <d v="2024-01-23T00:00:00"/>
    <d v="2024-01-25T00:00:00"/>
    <d v="2024-01-28T00:00:00"/>
    <x v="0"/>
    <s v="India"/>
    <s v="Tamil Nadu"/>
    <s v="Chennai"/>
    <x v="0"/>
    <s v="Chair"/>
    <s v="Dining Table"/>
    <s v="Consumer"/>
    <n v="8190"/>
    <n v="0.35"/>
    <n v="3829"/>
    <n v="8"/>
    <s v="Debit Card"/>
    <s v="Critical"/>
    <x v="3"/>
    <x v="0"/>
    <n v="2"/>
    <n v="5"/>
    <n v="0.46752136752136753"/>
  </r>
  <r>
    <n v="11119"/>
    <d v="2024-01-24T00:00:00"/>
    <d v="2024-01-26T00:00:00"/>
    <d v="2024-01-27T00:00:00"/>
    <x v="3"/>
    <s v="India"/>
    <s v="Telangana"/>
    <s v="Hyderabad"/>
    <x v="2"/>
    <s v="Printer"/>
    <s v="Spiral Notebook"/>
    <s v="Corporate"/>
    <n v="5024"/>
    <n v="0.31"/>
    <n v="-276"/>
    <n v="18"/>
    <s v="Credit Card"/>
    <s v="High"/>
    <x v="3"/>
    <x v="0"/>
    <n v="2"/>
    <n v="3"/>
    <n v="-5.4936305732484078E-2"/>
  </r>
  <r>
    <n v="11120"/>
    <d v="2024-01-25T00:00:00"/>
    <d v="2024-01-27T00:00:00"/>
    <d v="2024-02-01T00:00:00"/>
    <x v="0"/>
    <s v="India"/>
    <s v="Maharashtra"/>
    <s v="Hyderabad"/>
    <x v="0"/>
    <s v="Printer"/>
    <s v="Dining Table"/>
    <s v="Home Office"/>
    <n v="27663"/>
    <n v="0.34"/>
    <n v="14279"/>
    <n v="6"/>
    <s v="Cash"/>
    <s v="Low"/>
    <x v="3"/>
    <x v="0"/>
    <n v="2"/>
    <n v="7"/>
    <n v="0.51617684271409459"/>
  </r>
  <r>
    <n v="11121"/>
    <d v="2024-01-26T00:00:00"/>
    <d v="2024-02-01T00:00:00"/>
    <d v="2024-02-03T00:00:00"/>
    <x v="2"/>
    <s v="India"/>
    <s v="Tamil Nadu"/>
    <s v="Kochi"/>
    <x v="0"/>
    <s v="Notebook"/>
    <s v="Office Chair"/>
    <s v="Corporate"/>
    <n v="20583"/>
    <n v="0.31"/>
    <n v="7587"/>
    <n v="4"/>
    <s v="Cash"/>
    <s v="Low"/>
    <x v="3"/>
    <x v="0"/>
    <n v="6"/>
    <n v="8"/>
    <n v="0.36860515959772627"/>
  </r>
  <r>
    <n v="11122"/>
    <d v="2024-01-27T00:00:00"/>
    <d v="2024-01-31T00:00:00"/>
    <d v="2024-02-03T00:00:00"/>
    <x v="0"/>
    <s v="India"/>
    <s v="Karnataka"/>
    <s v="Bangalore"/>
    <x v="1"/>
    <s v="Laptop"/>
    <s v="Spiral Notebook"/>
    <s v="Home Office"/>
    <n v="69131"/>
    <n v="0.33"/>
    <n v="7889"/>
    <n v="21"/>
    <s v="Credit Card"/>
    <s v="Low"/>
    <x v="3"/>
    <x v="0"/>
    <n v="4"/>
    <n v="7"/>
    <n v="0.11411667703345822"/>
  </r>
  <r>
    <n v="11123"/>
    <d v="2024-01-28T00:00:00"/>
    <d v="2024-01-31T00:00:00"/>
    <d v="2024-02-03T00:00:00"/>
    <x v="0"/>
    <s v="India"/>
    <s v="Delhi"/>
    <s v="Mumbai"/>
    <x v="0"/>
    <s v="Mobile"/>
    <s v="Office Chair"/>
    <s v="Home Office"/>
    <n v="50933"/>
    <n v="0.03"/>
    <n v="7344"/>
    <n v="4"/>
    <s v="Debit Card"/>
    <s v="Low"/>
    <x v="3"/>
    <x v="0"/>
    <n v="3"/>
    <n v="6"/>
    <n v="0.14418942532346415"/>
  </r>
  <r>
    <n v="11124"/>
    <d v="2024-01-29T00:00:00"/>
    <d v="2024-01-31T00:00:00"/>
    <d v="2024-02-02T00:00:00"/>
    <x v="0"/>
    <s v="India"/>
    <s v="Karnataka"/>
    <s v="Hyderabad"/>
    <x v="1"/>
    <s v="Chair"/>
    <s v="Office Chair"/>
    <s v="Consumer"/>
    <n v="9924"/>
    <n v="0.3"/>
    <n v="12482"/>
    <n v="6"/>
    <s v="UPI"/>
    <s v="Medium"/>
    <x v="3"/>
    <x v="0"/>
    <n v="2"/>
    <n v="4"/>
    <n v="1.2577589681580008"/>
  </r>
  <r>
    <n v="11125"/>
    <d v="2024-01-30T00:00:00"/>
    <d v="2024-02-03T00:00:00"/>
    <d v="2024-02-08T00:00:00"/>
    <x v="2"/>
    <s v="India"/>
    <s v="Delhi"/>
    <s v="Bangalore"/>
    <x v="2"/>
    <s v="Printer"/>
    <s v="Laser Printer"/>
    <s v="Consumer"/>
    <n v="39223"/>
    <n v="0.09"/>
    <n v="5661"/>
    <n v="23"/>
    <s v="UPI"/>
    <s v="Critical"/>
    <x v="3"/>
    <x v="0"/>
    <n v="4"/>
    <n v="9"/>
    <n v="0.14432858271932283"/>
  </r>
  <r>
    <n v="11126"/>
    <d v="2024-01-31T00:00:00"/>
    <d v="2024-02-06T00:00:00"/>
    <d v="2024-02-09T00:00:00"/>
    <x v="2"/>
    <s v="India"/>
    <s v="Telangana"/>
    <s v="Delhi"/>
    <x v="1"/>
    <s v="Notebook"/>
    <s v="Laser Printer"/>
    <s v="Home Office"/>
    <n v="42954"/>
    <n v="0.33"/>
    <n v="15226"/>
    <n v="9"/>
    <s v="Cash"/>
    <s v="High"/>
    <x v="3"/>
    <x v="0"/>
    <n v="6"/>
    <n v="9"/>
    <n v="0.35447222610234203"/>
  </r>
  <r>
    <n v="11127"/>
    <d v="2024-02-01T00:00:00"/>
    <d v="2024-02-07T00:00:00"/>
    <d v="2024-02-12T00:00:00"/>
    <x v="3"/>
    <s v="India"/>
    <s v="Maharashtra"/>
    <s v="Hyderabad"/>
    <x v="1"/>
    <s v="Mobile"/>
    <s v="Laser Printer"/>
    <s v="Home Office"/>
    <n v="56283"/>
    <n v="0.09"/>
    <n v="-186"/>
    <n v="5"/>
    <s v="Net Banking"/>
    <s v="High"/>
    <x v="3"/>
    <x v="1"/>
    <n v="6"/>
    <n v="11"/>
    <n v="-3.3047278929694579E-3"/>
  </r>
  <r>
    <n v="11128"/>
    <d v="2024-02-02T00:00:00"/>
    <d v="2024-02-09T00:00:00"/>
    <d v="2024-02-11T00:00:00"/>
    <x v="1"/>
    <s v="India"/>
    <s v="Maharashtra"/>
    <s v="Hyderabad"/>
    <x v="2"/>
    <s v="Laptop"/>
    <s v="Spiral Notebook"/>
    <s v="Home Office"/>
    <n v="34699"/>
    <n v="0.17"/>
    <n v="6781"/>
    <n v="11"/>
    <s v="Debit Card"/>
    <s v="High"/>
    <x v="3"/>
    <x v="1"/>
    <n v="7"/>
    <n v="9"/>
    <n v="0.19542349923628924"/>
  </r>
  <r>
    <n v="11129"/>
    <d v="2024-02-03T00:00:00"/>
    <d v="2024-02-09T00:00:00"/>
    <d v="2024-02-11T00:00:00"/>
    <x v="3"/>
    <s v="India"/>
    <s v="Kerala"/>
    <s v="Chennai"/>
    <x v="0"/>
    <s v="Table"/>
    <s v="Spiral Notebook"/>
    <s v="Home Office"/>
    <n v="9752"/>
    <n v="0.38"/>
    <n v="12327"/>
    <n v="20"/>
    <s v="Cash"/>
    <s v="Critical"/>
    <x v="3"/>
    <x v="1"/>
    <n v="6"/>
    <n v="8"/>
    <n v="1.2640484003281378"/>
  </r>
  <r>
    <n v="11130"/>
    <d v="2024-02-04T00:00:00"/>
    <d v="2024-02-11T00:00:00"/>
    <d v="2024-02-15T00:00:00"/>
    <x v="1"/>
    <s v="India"/>
    <s v="Maharashtra"/>
    <s v="Mumbai"/>
    <x v="0"/>
    <s v="Table"/>
    <s v="Gaming Laptop"/>
    <s v="Home Office"/>
    <n v="26689"/>
    <n v="0.23"/>
    <n v="10527"/>
    <n v="18"/>
    <s v="Cash"/>
    <s v="Medium"/>
    <x v="3"/>
    <x v="1"/>
    <n v="7"/>
    <n v="11"/>
    <n v="0.39443216306343437"/>
  </r>
  <r>
    <n v="11131"/>
    <d v="2024-02-05T00:00:00"/>
    <d v="2024-02-12T00:00:00"/>
    <d v="2024-02-16T00:00:00"/>
    <x v="1"/>
    <s v="India"/>
    <s v="Tamil Nadu"/>
    <s v="Chennai"/>
    <x v="1"/>
    <s v="Laptop"/>
    <s v="Gel Pen"/>
    <s v="Corporate"/>
    <n v="29578"/>
    <n v="0.34"/>
    <n v="3024"/>
    <n v="19"/>
    <s v="UPI"/>
    <s v="High"/>
    <x v="3"/>
    <x v="1"/>
    <n v="7"/>
    <n v="11"/>
    <n v="0.10223814997633376"/>
  </r>
  <r>
    <n v="11132"/>
    <d v="2024-02-06T00:00:00"/>
    <d v="2024-02-10T00:00:00"/>
    <d v="2024-02-11T00:00:00"/>
    <x v="3"/>
    <s v="India"/>
    <s v="Telangana"/>
    <s v="Mumbai"/>
    <x v="2"/>
    <s v="Mobile"/>
    <s v="Dining Table"/>
    <s v="Consumer"/>
    <n v="42587"/>
    <n v="0.09"/>
    <n v="2662"/>
    <n v="21"/>
    <s v="Credit Card"/>
    <s v="Low"/>
    <x v="3"/>
    <x v="1"/>
    <n v="4"/>
    <n v="5"/>
    <n v="6.250733792002254E-2"/>
  </r>
  <r>
    <n v="11133"/>
    <d v="2024-02-07T00:00:00"/>
    <d v="2024-02-12T00:00:00"/>
    <d v="2024-02-15T00:00:00"/>
    <x v="2"/>
    <s v="India"/>
    <s v="Karnataka"/>
    <s v="Delhi"/>
    <x v="0"/>
    <s v="Pen"/>
    <s v="Laser Printer"/>
    <s v="Corporate"/>
    <n v="47849"/>
    <n v="0.24"/>
    <n v="15214"/>
    <n v="18"/>
    <s v="Credit Card"/>
    <s v="High"/>
    <x v="3"/>
    <x v="1"/>
    <n v="5"/>
    <n v="8"/>
    <n v="0.31795857802670902"/>
  </r>
  <r>
    <n v="11134"/>
    <d v="2024-02-08T00:00:00"/>
    <d v="2024-02-11T00:00:00"/>
    <d v="2024-02-13T00:00:00"/>
    <x v="0"/>
    <s v="India"/>
    <s v="Telangana"/>
    <s v="Chennai"/>
    <x v="1"/>
    <s v="Laptop"/>
    <s v="Laser Printer"/>
    <s v="Home Office"/>
    <n v="23107"/>
    <n v="0.18"/>
    <n v="14704"/>
    <n v="10"/>
    <s v="Net Banking"/>
    <s v="Critical"/>
    <x v="3"/>
    <x v="1"/>
    <n v="3"/>
    <n v="5"/>
    <n v="0.63634396503224133"/>
  </r>
  <r>
    <n v="11135"/>
    <d v="2024-02-09T00:00:00"/>
    <d v="2024-02-13T00:00:00"/>
    <d v="2024-02-18T00:00:00"/>
    <x v="1"/>
    <s v="India"/>
    <s v="Telangana"/>
    <s v="Chennai"/>
    <x v="1"/>
    <s v="Chair"/>
    <s v="Dining Table"/>
    <s v="Home Office"/>
    <n v="5816"/>
    <n v="0.11"/>
    <n v="11849"/>
    <n v="9"/>
    <s v="Debit Card"/>
    <s v="Medium"/>
    <x v="3"/>
    <x v="1"/>
    <n v="4"/>
    <n v="9"/>
    <n v="2.0373108665749657"/>
  </r>
  <r>
    <n v="11136"/>
    <d v="2024-02-10T00:00:00"/>
    <d v="2024-02-13T00:00:00"/>
    <d v="2024-02-16T00:00:00"/>
    <x v="3"/>
    <s v="India"/>
    <s v="Telangana"/>
    <s v="Chennai"/>
    <x v="2"/>
    <s v="Notebook"/>
    <s v="Gaming Laptop"/>
    <s v="Corporate"/>
    <n v="66033"/>
    <n v="0.03"/>
    <n v="2570"/>
    <n v="15"/>
    <s v="Cash"/>
    <s v="High"/>
    <x v="3"/>
    <x v="1"/>
    <n v="3"/>
    <n v="6"/>
    <n v="3.8919933972407735E-2"/>
  </r>
  <r>
    <n v="11137"/>
    <d v="2024-02-11T00:00:00"/>
    <d v="2024-02-16T00:00:00"/>
    <d v="2024-02-21T00:00:00"/>
    <x v="1"/>
    <s v="India"/>
    <s v="Telangana"/>
    <s v="Chennai"/>
    <x v="2"/>
    <s v="Laptop"/>
    <s v="Gaming Laptop"/>
    <s v="Corporate"/>
    <n v="35764"/>
    <n v="0.26"/>
    <n v="45"/>
    <n v="21"/>
    <s v="UPI"/>
    <s v="Low"/>
    <x v="3"/>
    <x v="1"/>
    <n v="5"/>
    <n v="10"/>
    <n v="1.2582485180628565E-3"/>
  </r>
  <r>
    <n v="11138"/>
    <d v="2024-02-12T00:00:00"/>
    <d v="2024-02-17T00:00:00"/>
    <d v="2024-02-20T00:00:00"/>
    <x v="2"/>
    <s v="India"/>
    <s v="Telangana"/>
    <s v="Delhi"/>
    <x v="0"/>
    <s v="Laptop"/>
    <s v="Spiral Notebook"/>
    <s v="Corporate"/>
    <n v="65760"/>
    <n v="0.35"/>
    <n v="15795"/>
    <n v="23"/>
    <s v="Cash"/>
    <s v="High"/>
    <x v="3"/>
    <x v="1"/>
    <n v="5"/>
    <n v="8"/>
    <n v="0.24019160583941607"/>
  </r>
  <r>
    <n v="11139"/>
    <d v="2024-02-13T00:00:00"/>
    <d v="2024-02-17T00:00:00"/>
    <d v="2024-02-21T00:00:00"/>
    <x v="1"/>
    <s v="India"/>
    <s v="Telangana"/>
    <s v="Bangalore"/>
    <x v="0"/>
    <s v="Printer"/>
    <s v="Laser Printer"/>
    <s v="Home Office"/>
    <n v="73600"/>
    <n v="0.09"/>
    <n v="11130"/>
    <n v="5"/>
    <s v="Debit Card"/>
    <s v="High"/>
    <x v="3"/>
    <x v="1"/>
    <n v="4"/>
    <n v="8"/>
    <n v="0.15122282608695653"/>
  </r>
  <r>
    <n v="11140"/>
    <d v="2024-02-14T00:00:00"/>
    <d v="2024-02-16T00:00:00"/>
    <d v="2024-02-18T00:00:00"/>
    <x v="3"/>
    <s v="India"/>
    <s v="Delhi"/>
    <s v="Bangalore"/>
    <x v="0"/>
    <s v="Printer"/>
    <s v="Gel Pen"/>
    <s v="Corporate"/>
    <n v="10264"/>
    <n v="0.02"/>
    <n v="17887"/>
    <n v="2"/>
    <s v="Cash"/>
    <s v="Low"/>
    <x v="3"/>
    <x v="1"/>
    <n v="2"/>
    <n v="4"/>
    <n v="1.7426929072486359"/>
  </r>
  <r>
    <n v="11141"/>
    <d v="2024-02-15T00:00:00"/>
    <d v="2024-02-18T00:00:00"/>
    <d v="2024-02-20T00:00:00"/>
    <x v="0"/>
    <s v="India"/>
    <s v="Delhi"/>
    <s v="Hyderabad"/>
    <x v="0"/>
    <s v="Laptop"/>
    <s v="Laser Printer"/>
    <s v="Corporate"/>
    <n v="27680"/>
    <n v="0.02"/>
    <n v="6602"/>
    <n v="8"/>
    <s v="Credit Card"/>
    <s v="Critical"/>
    <x v="3"/>
    <x v="1"/>
    <n v="3"/>
    <n v="5"/>
    <n v="0.23851156069364163"/>
  </r>
  <r>
    <n v="11142"/>
    <d v="2024-02-16T00:00:00"/>
    <d v="2024-02-21T00:00:00"/>
    <d v="2024-02-26T00:00:00"/>
    <x v="3"/>
    <s v="India"/>
    <s v="Kerala"/>
    <s v="Mumbai"/>
    <x v="2"/>
    <s v="Notebook"/>
    <s v="Laser Printer"/>
    <s v="Corporate"/>
    <n v="28323"/>
    <n v="0.22"/>
    <n v="240"/>
    <n v="18"/>
    <s v="Net Banking"/>
    <s v="Low"/>
    <x v="3"/>
    <x v="1"/>
    <n v="5"/>
    <n v="10"/>
    <n v="8.4736786357377403E-3"/>
  </r>
  <r>
    <n v="11143"/>
    <d v="2024-02-17T00:00:00"/>
    <d v="2024-02-24T00:00:00"/>
    <d v="2024-02-28T00:00:00"/>
    <x v="1"/>
    <s v="India"/>
    <s v="Delhi"/>
    <s v="Delhi"/>
    <x v="0"/>
    <s v="Table"/>
    <s v="Gaming Laptop"/>
    <s v="Home Office"/>
    <n v="50742"/>
    <n v="0.02"/>
    <n v="5204"/>
    <n v="2"/>
    <s v="Debit Card"/>
    <s v="Low"/>
    <x v="3"/>
    <x v="1"/>
    <n v="7"/>
    <n v="11"/>
    <n v="0.10255803870560877"/>
  </r>
  <r>
    <n v="11144"/>
    <d v="2024-02-18T00:00:00"/>
    <d v="2024-02-25T00:00:00"/>
    <d v="2024-02-27T00:00:00"/>
    <x v="1"/>
    <s v="India"/>
    <s v="Delhi"/>
    <s v="Kochi"/>
    <x v="2"/>
    <s v="Mobile"/>
    <s v="Dining Table"/>
    <s v="Corporate"/>
    <n v="66979"/>
    <n v="0.28000000000000003"/>
    <n v="9342"/>
    <n v="3"/>
    <s v="Net Banking"/>
    <s v="Low"/>
    <x v="3"/>
    <x v="1"/>
    <n v="7"/>
    <n v="9"/>
    <n v="0.1394765523522298"/>
  </r>
  <r>
    <n v="11145"/>
    <d v="2024-02-19T00:00:00"/>
    <d v="2024-02-26T00:00:00"/>
    <d v="2024-02-28T00:00:00"/>
    <x v="3"/>
    <s v="India"/>
    <s v="Kerala"/>
    <s v="Hyderabad"/>
    <x v="0"/>
    <s v="Chair"/>
    <s v="Gel Pen"/>
    <s v="Consumer"/>
    <n v="1830"/>
    <n v="0.23"/>
    <n v="12137"/>
    <n v="1"/>
    <s v="Credit Card"/>
    <s v="Medium"/>
    <x v="3"/>
    <x v="1"/>
    <n v="7"/>
    <n v="9"/>
    <n v="6.6322404371584698"/>
  </r>
  <r>
    <n v="11146"/>
    <d v="2024-02-20T00:00:00"/>
    <d v="2024-02-24T00:00:00"/>
    <d v="2024-02-27T00:00:00"/>
    <x v="0"/>
    <s v="India"/>
    <s v="Maharashtra"/>
    <s v="Chennai"/>
    <x v="0"/>
    <s v="Chair"/>
    <s v="Spiral Notebook"/>
    <s v="Home Office"/>
    <n v="69690"/>
    <n v="0.15"/>
    <n v="13770"/>
    <n v="4"/>
    <s v="Credit Card"/>
    <s v="Critical"/>
    <x v="3"/>
    <x v="1"/>
    <n v="4"/>
    <n v="7"/>
    <n v="0.19758932414980629"/>
  </r>
  <r>
    <n v="11147"/>
    <d v="2024-02-21T00:00:00"/>
    <d v="2024-02-24T00:00:00"/>
    <d v="2024-02-26T00:00:00"/>
    <x v="0"/>
    <s v="India"/>
    <s v="Maharashtra"/>
    <s v="Hyderabad"/>
    <x v="0"/>
    <s v="Chair"/>
    <s v="Office Chair"/>
    <s v="Corporate"/>
    <n v="7892"/>
    <n v="0.13"/>
    <n v="8711"/>
    <n v="9"/>
    <s v="Net Banking"/>
    <s v="Critical"/>
    <x v="3"/>
    <x v="1"/>
    <n v="3"/>
    <n v="5"/>
    <n v="1.1037759756715662"/>
  </r>
  <r>
    <n v="11148"/>
    <d v="2024-02-22T00:00:00"/>
    <d v="2024-02-28T00:00:00"/>
    <d v="2024-03-01T00:00:00"/>
    <x v="0"/>
    <s v="India"/>
    <s v="Tamil Nadu"/>
    <s v="Mumbai"/>
    <x v="2"/>
    <s v="Printer"/>
    <s v="Laser Printer"/>
    <s v="Consumer"/>
    <n v="63645"/>
    <n v="0.33"/>
    <n v="12309"/>
    <n v="6"/>
    <s v="Credit Card"/>
    <s v="Medium"/>
    <x v="3"/>
    <x v="1"/>
    <n v="6"/>
    <n v="8"/>
    <n v="0.19340089559274098"/>
  </r>
  <r>
    <n v="11149"/>
    <d v="2024-02-23T00:00:00"/>
    <d v="2024-02-26T00:00:00"/>
    <d v="2024-03-02T00:00:00"/>
    <x v="2"/>
    <s v="India"/>
    <s v="Kerala"/>
    <s v="Bangalore"/>
    <x v="2"/>
    <s v="Printer"/>
    <s v="Office Chair"/>
    <s v="Corporate"/>
    <n v="30557"/>
    <n v="0.27"/>
    <n v="-1556"/>
    <n v="13"/>
    <s v="Credit Card"/>
    <s v="Critical"/>
    <x v="3"/>
    <x v="1"/>
    <n v="3"/>
    <n v="8"/>
    <n v="-5.0921229178257026E-2"/>
  </r>
  <r>
    <n v="11150"/>
    <d v="2024-02-24T00:00:00"/>
    <d v="2024-03-01T00:00:00"/>
    <d v="2024-03-03T00:00:00"/>
    <x v="0"/>
    <s v="India"/>
    <s v="Maharashtra"/>
    <s v="Delhi"/>
    <x v="2"/>
    <s v="Chair"/>
    <s v="Office Chair"/>
    <s v="Consumer"/>
    <n v="74959"/>
    <n v="0.13"/>
    <n v="10796"/>
    <n v="23"/>
    <s v="Cash"/>
    <s v="Medium"/>
    <x v="3"/>
    <x v="1"/>
    <n v="6"/>
    <n v="8"/>
    <n v="0.14402540055230192"/>
  </r>
  <r>
    <n v="11151"/>
    <d v="2024-02-25T00:00:00"/>
    <d v="2024-03-03T00:00:00"/>
    <d v="2024-03-05T00:00:00"/>
    <x v="2"/>
    <s v="India"/>
    <s v="Karnataka"/>
    <s v="Kochi"/>
    <x v="0"/>
    <s v="Chair"/>
    <s v="Smartphone"/>
    <s v="Home Office"/>
    <n v="1363"/>
    <n v="0.05"/>
    <n v="11394"/>
    <n v="4"/>
    <s v="Cash"/>
    <s v="Medium"/>
    <x v="3"/>
    <x v="1"/>
    <n v="7"/>
    <n v="9"/>
    <n v="8.3595011005135724"/>
  </r>
  <r>
    <n v="11152"/>
    <d v="2024-02-26T00:00:00"/>
    <d v="2024-02-28T00:00:00"/>
    <d v="2024-03-03T00:00:00"/>
    <x v="2"/>
    <s v="India"/>
    <s v="Kerala"/>
    <s v="Hyderabad"/>
    <x v="2"/>
    <s v="Laptop"/>
    <s v="Spiral Notebook"/>
    <s v="Corporate"/>
    <n v="62782"/>
    <n v="0.16"/>
    <n v="14850"/>
    <n v="14"/>
    <s v="Debit Card"/>
    <s v="Medium"/>
    <x v="3"/>
    <x v="1"/>
    <n v="2"/>
    <n v="6"/>
    <n v="0.23653276416807364"/>
  </r>
  <r>
    <n v="11153"/>
    <d v="2024-02-27T00:00:00"/>
    <d v="2024-03-01T00:00:00"/>
    <d v="2024-03-02T00:00:00"/>
    <x v="3"/>
    <s v="India"/>
    <s v="Karnataka"/>
    <s v="Kochi"/>
    <x v="2"/>
    <s v="Printer"/>
    <s v="Dining Table"/>
    <s v="Corporate"/>
    <n v="74499"/>
    <n v="0.16"/>
    <n v="5869"/>
    <n v="7"/>
    <s v="Credit Card"/>
    <s v="Low"/>
    <x v="3"/>
    <x v="1"/>
    <n v="3"/>
    <n v="4"/>
    <n v="7.8779580933972262E-2"/>
  </r>
  <r>
    <n v="11154"/>
    <d v="2024-02-28T00:00:00"/>
    <d v="2024-03-01T00:00:00"/>
    <d v="2024-03-02T00:00:00"/>
    <x v="2"/>
    <s v="India"/>
    <s v="Karnataka"/>
    <s v="Kochi"/>
    <x v="1"/>
    <s v="Table"/>
    <s v="Dining Table"/>
    <s v="Consumer"/>
    <n v="22621"/>
    <n v="0.05"/>
    <n v="5893"/>
    <n v="10"/>
    <s v="Cash"/>
    <s v="Critical"/>
    <x v="3"/>
    <x v="1"/>
    <n v="2"/>
    <n v="3"/>
    <n v="0.26051014544007778"/>
  </r>
  <r>
    <n v="11155"/>
    <d v="2024-02-29T00:00:00"/>
    <d v="2024-03-04T00:00:00"/>
    <d v="2024-03-07T00:00:00"/>
    <x v="1"/>
    <s v="India"/>
    <s v="Maharashtra"/>
    <s v="Delhi"/>
    <x v="2"/>
    <s v="Notebook"/>
    <s v="Gaming Laptop"/>
    <s v="Consumer"/>
    <n v="49225"/>
    <n v="0.12"/>
    <n v="4439"/>
    <n v="11"/>
    <s v="Debit Card"/>
    <s v="Critical"/>
    <x v="3"/>
    <x v="1"/>
    <n v="4"/>
    <n v="7"/>
    <n v="9.0177755205688173E-2"/>
  </r>
  <r>
    <n v="11156"/>
    <d v="2024-03-01T00:00:00"/>
    <d v="2024-03-07T00:00:00"/>
    <d v="2024-03-12T00:00:00"/>
    <x v="3"/>
    <s v="India"/>
    <s v="Kerala"/>
    <s v="Mumbai"/>
    <x v="1"/>
    <s v="Table"/>
    <s v="Office Chair"/>
    <s v="Corporate"/>
    <n v="59896"/>
    <n v="0.14000000000000001"/>
    <n v="-574"/>
    <n v="9"/>
    <s v="Credit Card"/>
    <s v="Low"/>
    <x v="3"/>
    <x v="2"/>
    <n v="6"/>
    <n v="11"/>
    <n v="-9.5832776813142787E-3"/>
  </r>
  <r>
    <n v="11157"/>
    <d v="2024-03-02T00:00:00"/>
    <d v="2024-03-06T00:00:00"/>
    <d v="2024-03-08T00:00:00"/>
    <x v="1"/>
    <s v="India"/>
    <s v="Karnataka"/>
    <s v="Mumbai"/>
    <x v="0"/>
    <s v="Pen"/>
    <s v="Laser Printer"/>
    <s v="Corporate"/>
    <n v="22062"/>
    <n v="0.17"/>
    <n v="17933"/>
    <n v="3"/>
    <s v="Net Banking"/>
    <s v="Medium"/>
    <x v="3"/>
    <x v="2"/>
    <n v="4"/>
    <n v="6"/>
    <n v="0.81284561689783341"/>
  </r>
  <r>
    <n v="11158"/>
    <d v="2024-03-03T00:00:00"/>
    <d v="2024-03-10T00:00:00"/>
    <d v="2024-03-14T00:00:00"/>
    <x v="2"/>
    <s v="India"/>
    <s v="Karnataka"/>
    <s v="Mumbai"/>
    <x v="0"/>
    <s v="Notebook"/>
    <s v="Gel Pen"/>
    <s v="Corporate"/>
    <n v="31089"/>
    <n v="0.28000000000000003"/>
    <n v="17000"/>
    <n v="22"/>
    <s v="Credit Card"/>
    <s v="High"/>
    <x v="3"/>
    <x v="2"/>
    <n v="7"/>
    <n v="11"/>
    <n v="0.54681720222586772"/>
  </r>
  <r>
    <n v="11159"/>
    <d v="2024-03-04T00:00:00"/>
    <d v="2024-03-07T00:00:00"/>
    <d v="2024-03-09T00:00:00"/>
    <x v="0"/>
    <s v="India"/>
    <s v="Telangana"/>
    <s v="Bangalore"/>
    <x v="2"/>
    <s v="Chair"/>
    <s v="Gel Pen"/>
    <s v="Home Office"/>
    <n v="50170"/>
    <n v="0.18"/>
    <n v="7878"/>
    <n v="6"/>
    <s v="Cash"/>
    <s v="High"/>
    <x v="3"/>
    <x v="2"/>
    <n v="3"/>
    <n v="5"/>
    <n v="0.15702611122184573"/>
  </r>
  <r>
    <n v="11160"/>
    <d v="2024-03-05T00:00:00"/>
    <d v="2024-03-11T00:00:00"/>
    <d v="2024-03-15T00:00:00"/>
    <x v="0"/>
    <s v="India"/>
    <s v="Telangana"/>
    <s v="Kochi"/>
    <x v="2"/>
    <s v="Printer"/>
    <s v="Dining Table"/>
    <s v="Consumer"/>
    <n v="67589"/>
    <n v="0.23"/>
    <n v="9519"/>
    <n v="13"/>
    <s v="Net Banking"/>
    <s v="High"/>
    <x v="3"/>
    <x v="2"/>
    <n v="6"/>
    <n v="10"/>
    <n v="0.14083652665374544"/>
  </r>
  <r>
    <n v="11161"/>
    <d v="2024-03-06T00:00:00"/>
    <d v="2024-03-13T00:00:00"/>
    <d v="2024-03-16T00:00:00"/>
    <x v="3"/>
    <s v="India"/>
    <s v="Telangana"/>
    <s v="Chennai"/>
    <x v="1"/>
    <s v="Table"/>
    <s v="Gaming Laptop"/>
    <s v="Corporate"/>
    <n v="71835"/>
    <n v="0.1"/>
    <n v="3177"/>
    <n v="20"/>
    <s v="Net Banking"/>
    <s v="Medium"/>
    <x v="3"/>
    <x v="2"/>
    <n v="7"/>
    <n v="10"/>
    <n v="4.4226352056796828E-2"/>
  </r>
  <r>
    <n v="11162"/>
    <d v="2024-03-07T00:00:00"/>
    <d v="2024-03-14T00:00:00"/>
    <d v="2024-03-18T00:00:00"/>
    <x v="2"/>
    <s v="India"/>
    <s v="Karnataka"/>
    <s v="Kochi"/>
    <x v="2"/>
    <s v="Table"/>
    <s v="Gaming Laptop"/>
    <s v="Home Office"/>
    <n v="26290"/>
    <n v="0.32"/>
    <n v="13052"/>
    <n v="13"/>
    <s v="Credit Card"/>
    <s v="Critical"/>
    <x v="3"/>
    <x v="2"/>
    <n v="7"/>
    <n v="11"/>
    <n v="0.49646253328261697"/>
  </r>
  <r>
    <n v="11163"/>
    <d v="2024-03-08T00:00:00"/>
    <d v="2024-03-14T00:00:00"/>
    <d v="2024-03-16T00:00:00"/>
    <x v="0"/>
    <s v="India"/>
    <s v="Kerala"/>
    <s v="Kochi"/>
    <x v="1"/>
    <s v="Mobile"/>
    <s v="Laser Printer"/>
    <s v="Home Office"/>
    <n v="3594"/>
    <n v="0.24"/>
    <n v="19696"/>
    <n v="15"/>
    <s v="Net Banking"/>
    <s v="High"/>
    <x v="3"/>
    <x v="2"/>
    <n v="6"/>
    <n v="8"/>
    <n v="5.4802448525319978"/>
  </r>
  <r>
    <n v="11164"/>
    <d v="2024-03-09T00:00:00"/>
    <d v="2024-03-13T00:00:00"/>
    <d v="2024-03-16T00:00:00"/>
    <x v="2"/>
    <s v="India"/>
    <s v="Karnataka"/>
    <s v="Chennai"/>
    <x v="2"/>
    <s v="Mobile"/>
    <s v="Spiral Notebook"/>
    <s v="Consumer"/>
    <n v="30928"/>
    <n v="0.27"/>
    <n v="14129"/>
    <n v="19"/>
    <s v="Cash"/>
    <s v="Low"/>
    <x v="3"/>
    <x v="2"/>
    <n v="4"/>
    <n v="7"/>
    <n v="0.45683523021210554"/>
  </r>
  <r>
    <n v="11165"/>
    <d v="2024-03-10T00:00:00"/>
    <d v="2024-03-14T00:00:00"/>
    <d v="2024-03-16T00:00:00"/>
    <x v="2"/>
    <s v="India"/>
    <s v="Karnataka"/>
    <s v="Mumbai"/>
    <x v="2"/>
    <s v="Pen"/>
    <s v="Dining Table"/>
    <s v="Corporate"/>
    <n v="68084"/>
    <n v="0.18"/>
    <n v="14093"/>
    <n v="13"/>
    <s v="Credit Card"/>
    <s v="High"/>
    <x v="3"/>
    <x v="2"/>
    <n v="4"/>
    <n v="6"/>
    <n v="0.20699430115739381"/>
  </r>
  <r>
    <n v="11166"/>
    <d v="2024-03-11T00:00:00"/>
    <d v="2024-03-16T00:00:00"/>
    <d v="2024-03-21T00:00:00"/>
    <x v="0"/>
    <s v="India"/>
    <s v="Karnataka"/>
    <s v="Hyderabad"/>
    <x v="0"/>
    <s v="Notebook"/>
    <s v="Smartphone"/>
    <s v="Home Office"/>
    <n v="46330"/>
    <n v="0.03"/>
    <n v="18790"/>
    <n v="5"/>
    <s v="UPI"/>
    <s v="Medium"/>
    <x v="3"/>
    <x v="2"/>
    <n v="5"/>
    <n v="10"/>
    <n v="0.40556874595294623"/>
  </r>
  <r>
    <n v="11167"/>
    <d v="2024-03-12T00:00:00"/>
    <d v="2024-03-17T00:00:00"/>
    <d v="2024-03-20T00:00:00"/>
    <x v="3"/>
    <s v="India"/>
    <s v="Karnataka"/>
    <s v="Chennai"/>
    <x v="2"/>
    <s v="Table"/>
    <s v="Dining Table"/>
    <s v="Home Office"/>
    <n v="66229"/>
    <n v="0.25"/>
    <n v="6940"/>
    <n v="1"/>
    <s v="Credit Card"/>
    <s v="High"/>
    <x v="3"/>
    <x v="2"/>
    <n v="5"/>
    <n v="8"/>
    <n v="0.10478793277869211"/>
  </r>
  <r>
    <n v="11168"/>
    <d v="2024-03-13T00:00:00"/>
    <d v="2024-03-19T00:00:00"/>
    <d v="2024-03-20T00:00:00"/>
    <x v="1"/>
    <s v="India"/>
    <s v="Telangana"/>
    <s v="Kochi"/>
    <x v="2"/>
    <s v="Laptop"/>
    <s v="Laser Printer"/>
    <s v="Consumer"/>
    <n v="38454"/>
    <n v="0.23"/>
    <n v="379"/>
    <n v="8"/>
    <s v="Net Banking"/>
    <s v="Medium"/>
    <x v="3"/>
    <x v="2"/>
    <n v="6"/>
    <n v="7"/>
    <n v="9.855931762625475E-3"/>
  </r>
  <r>
    <n v="11169"/>
    <d v="2024-03-14T00:00:00"/>
    <d v="2024-03-18T00:00:00"/>
    <d v="2024-03-22T00:00:00"/>
    <x v="3"/>
    <s v="India"/>
    <s v="Maharashtra"/>
    <s v="Mumbai"/>
    <x v="2"/>
    <s v="Chair"/>
    <s v="Gel Pen"/>
    <s v="Corporate"/>
    <n v="14413"/>
    <n v="0.33"/>
    <n v="17210"/>
    <n v="2"/>
    <s v="UPI"/>
    <s v="Medium"/>
    <x v="3"/>
    <x v="2"/>
    <n v="4"/>
    <n v="8"/>
    <n v="1.194060917227503"/>
  </r>
  <r>
    <n v="11170"/>
    <d v="2024-03-15T00:00:00"/>
    <d v="2024-03-17T00:00:00"/>
    <d v="2024-03-18T00:00:00"/>
    <x v="2"/>
    <s v="India"/>
    <s v="Karnataka"/>
    <s v="Delhi"/>
    <x v="1"/>
    <s v="Chair"/>
    <s v="Laser Printer"/>
    <s v="Home Office"/>
    <n v="46699"/>
    <n v="0.23"/>
    <n v="8236"/>
    <n v="11"/>
    <s v="UPI"/>
    <s v="High"/>
    <x v="3"/>
    <x v="2"/>
    <n v="2"/>
    <n v="3"/>
    <n v="0.17636351956144672"/>
  </r>
  <r>
    <n v="11171"/>
    <d v="2024-03-16T00:00:00"/>
    <d v="2024-03-18T00:00:00"/>
    <d v="2024-03-19T00:00:00"/>
    <x v="3"/>
    <s v="India"/>
    <s v="Kerala"/>
    <s v="Hyderabad"/>
    <x v="2"/>
    <s v="Table"/>
    <s v="Laser Printer"/>
    <s v="Consumer"/>
    <n v="54685"/>
    <n v="0.35"/>
    <n v="17576"/>
    <n v="9"/>
    <s v="Cash"/>
    <s v="Medium"/>
    <x v="3"/>
    <x v="2"/>
    <n v="2"/>
    <n v="3"/>
    <n v="0.3214044070586084"/>
  </r>
  <r>
    <n v="11172"/>
    <d v="2024-03-17T00:00:00"/>
    <d v="2024-03-23T00:00:00"/>
    <d v="2024-03-25T00:00:00"/>
    <x v="1"/>
    <s v="India"/>
    <s v="Maharashtra"/>
    <s v="Hyderabad"/>
    <x v="2"/>
    <s v="Notebook"/>
    <s v="Smartphone"/>
    <s v="Consumer"/>
    <n v="28552"/>
    <n v="0.24"/>
    <n v="8130"/>
    <n v="24"/>
    <s v="UPI"/>
    <s v="Critical"/>
    <x v="3"/>
    <x v="2"/>
    <n v="6"/>
    <n v="8"/>
    <n v="0.28474362566545253"/>
  </r>
  <r>
    <n v="11173"/>
    <d v="2024-03-18T00:00:00"/>
    <d v="2024-03-23T00:00:00"/>
    <d v="2024-03-26T00:00:00"/>
    <x v="0"/>
    <s v="India"/>
    <s v="Delhi"/>
    <s v="Mumbai"/>
    <x v="0"/>
    <s v="Laptop"/>
    <s v="Laser Printer"/>
    <s v="Corporate"/>
    <n v="44010"/>
    <n v="0.08"/>
    <n v="17925"/>
    <n v="1"/>
    <s v="Credit Card"/>
    <s v="High"/>
    <x v="3"/>
    <x v="2"/>
    <n v="5"/>
    <n v="8"/>
    <n v="0.40729379686434902"/>
  </r>
  <r>
    <n v="11174"/>
    <d v="2024-03-19T00:00:00"/>
    <d v="2024-03-24T00:00:00"/>
    <d v="2024-03-25T00:00:00"/>
    <x v="0"/>
    <s v="India"/>
    <s v="Telangana"/>
    <s v="Bangalore"/>
    <x v="2"/>
    <s v="Chair"/>
    <s v="Gel Pen"/>
    <s v="Home Office"/>
    <n v="11479"/>
    <n v="0.39"/>
    <n v="6267"/>
    <n v="19"/>
    <s v="UPI"/>
    <s v="Medium"/>
    <x v="3"/>
    <x v="2"/>
    <n v="5"/>
    <n v="6"/>
    <n v="0.54595348026831603"/>
  </r>
  <r>
    <n v="11175"/>
    <d v="2024-03-20T00:00:00"/>
    <d v="2024-03-26T00:00:00"/>
    <d v="2024-03-29T00:00:00"/>
    <x v="1"/>
    <s v="India"/>
    <s v="Karnataka"/>
    <s v="Delhi"/>
    <x v="2"/>
    <s v="Pen"/>
    <s v="Gaming Laptop"/>
    <s v="Home Office"/>
    <n v="56343"/>
    <n v="0.27"/>
    <n v="7669"/>
    <n v="20"/>
    <s v="Net Banking"/>
    <s v="Critical"/>
    <x v="3"/>
    <x v="2"/>
    <n v="6"/>
    <n v="9"/>
    <n v="0.13611273805086702"/>
  </r>
  <r>
    <n v="11176"/>
    <d v="2024-03-21T00:00:00"/>
    <d v="2024-03-23T00:00:00"/>
    <d v="2024-03-27T00:00:00"/>
    <x v="0"/>
    <s v="India"/>
    <s v="Kerala"/>
    <s v="Hyderabad"/>
    <x v="2"/>
    <s v="Laptop"/>
    <s v="Dining Table"/>
    <s v="Corporate"/>
    <n v="6291"/>
    <n v="0.13"/>
    <n v="6957"/>
    <n v="12"/>
    <s v="UPI"/>
    <s v="High"/>
    <x v="3"/>
    <x v="2"/>
    <n v="2"/>
    <n v="6"/>
    <n v="1.105865522174535"/>
  </r>
  <r>
    <n v="11177"/>
    <d v="2024-03-22T00:00:00"/>
    <d v="2024-03-24T00:00:00"/>
    <d v="2024-03-28T00:00:00"/>
    <x v="1"/>
    <s v="India"/>
    <s v="Telangana"/>
    <s v="Bangalore"/>
    <x v="2"/>
    <s v="Notebook"/>
    <s v="Smartphone"/>
    <s v="Consumer"/>
    <n v="53801"/>
    <n v="0.11"/>
    <n v="14073"/>
    <n v="12"/>
    <s v="Credit Card"/>
    <s v="Low"/>
    <x v="3"/>
    <x v="2"/>
    <n v="2"/>
    <n v="6"/>
    <n v="0.26157506366052674"/>
  </r>
  <r>
    <n v="11178"/>
    <d v="2024-03-23T00:00:00"/>
    <d v="2024-03-27T00:00:00"/>
    <d v="2024-03-28T00:00:00"/>
    <x v="0"/>
    <s v="India"/>
    <s v="Telangana"/>
    <s v="Mumbai"/>
    <x v="2"/>
    <s v="Pen"/>
    <s v="Smartphone"/>
    <s v="Home Office"/>
    <n v="73936"/>
    <n v="0.38"/>
    <n v="6624"/>
    <n v="11"/>
    <s v="Net Banking"/>
    <s v="Low"/>
    <x v="3"/>
    <x v="2"/>
    <n v="4"/>
    <n v="5"/>
    <n v="8.9590997619562865E-2"/>
  </r>
  <r>
    <n v="11179"/>
    <d v="2024-03-24T00:00:00"/>
    <d v="2024-03-28T00:00:00"/>
    <d v="2024-03-30T00:00:00"/>
    <x v="3"/>
    <s v="India"/>
    <s v="Delhi"/>
    <s v="Bangalore"/>
    <x v="1"/>
    <s v="Pen"/>
    <s v="Smartphone"/>
    <s v="Home Office"/>
    <n v="55596"/>
    <n v="0.38"/>
    <n v="-1166"/>
    <n v="20"/>
    <s v="Credit Card"/>
    <s v="Critical"/>
    <x v="3"/>
    <x v="2"/>
    <n v="4"/>
    <n v="6"/>
    <n v="-2.0972731851212317E-2"/>
  </r>
  <r>
    <n v="11180"/>
    <d v="2024-03-25T00:00:00"/>
    <d v="2024-03-27T00:00:00"/>
    <d v="2024-03-31T00:00:00"/>
    <x v="0"/>
    <s v="India"/>
    <s v="Telangana"/>
    <s v="Hyderabad"/>
    <x v="1"/>
    <s v="Pen"/>
    <s v="Dining Table"/>
    <s v="Corporate"/>
    <n v="8570"/>
    <n v="0.33"/>
    <n v="19940"/>
    <n v="20"/>
    <s v="Cash"/>
    <s v="Medium"/>
    <x v="3"/>
    <x v="2"/>
    <n v="2"/>
    <n v="6"/>
    <n v="2.326721120186698"/>
  </r>
  <r>
    <n v="11181"/>
    <d v="2024-03-26T00:00:00"/>
    <d v="2024-03-30T00:00:00"/>
    <d v="2024-04-03T00:00:00"/>
    <x v="0"/>
    <s v="India"/>
    <s v="Maharashtra"/>
    <s v="Hyderabad"/>
    <x v="0"/>
    <s v="Chair"/>
    <s v="Gaming Laptop"/>
    <s v="Home Office"/>
    <n v="25198"/>
    <n v="0.14000000000000001"/>
    <n v="19445"/>
    <n v="2"/>
    <s v="Credit Card"/>
    <s v="Critical"/>
    <x v="3"/>
    <x v="2"/>
    <n v="4"/>
    <n v="8"/>
    <n v="0.77168822922454161"/>
  </r>
  <r>
    <n v="11182"/>
    <d v="2024-03-27T00:00:00"/>
    <d v="2024-04-01T00:00:00"/>
    <d v="2024-04-06T00:00:00"/>
    <x v="3"/>
    <s v="India"/>
    <s v="Telangana"/>
    <s v="Bangalore"/>
    <x v="2"/>
    <s v="Notebook"/>
    <s v="Spiral Notebook"/>
    <s v="Home Office"/>
    <n v="67273"/>
    <n v="0.22"/>
    <n v="14961"/>
    <n v="8"/>
    <s v="Cash"/>
    <s v="Medium"/>
    <x v="3"/>
    <x v="2"/>
    <n v="5"/>
    <n v="10"/>
    <n v="0.22239234165266897"/>
  </r>
  <r>
    <n v="11183"/>
    <d v="2024-03-28T00:00:00"/>
    <d v="2024-04-04T00:00:00"/>
    <d v="2024-04-06T00:00:00"/>
    <x v="1"/>
    <s v="India"/>
    <s v="Delhi"/>
    <s v="Mumbai"/>
    <x v="1"/>
    <s v="Pen"/>
    <s v="Office Chair"/>
    <s v="Corporate"/>
    <n v="25120"/>
    <n v="0.36"/>
    <n v="8058"/>
    <n v="21"/>
    <s v="Debit Card"/>
    <s v="Critical"/>
    <x v="3"/>
    <x v="2"/>
    <n v="7"/>
    <n v="9"/>
    <n v="0.32078025477707006"/>
  </r>
  <r>
    <n v="11184"/>
    <d v="2024-03-29T00:00:00"/>
    <d v="2024-04-05T00:00:00"/>
    <d v="2024-04-06T00:00:00"/>
    <x v="1"/>
    <s v="India"/>
    <s v="Karnataka"/>
    <s v="Bangalore"/>
    <x v="2"/>
    <s v="Laptop"/>
    <s v="Office Chair"/>
    <s v="Consumer"/>
    <n v="61060"/>
    <n v="0.17"/>
    <n v="5698"/>
    <n v="3"/>
    <s v="Net Banking"/>
    <s v="Critical"/>
    <x v="3"/>
    <x v="2"/>
    <n v="7"/>
    <n v="8"/>
    <n v="9.3318047821814604E-2"/>
  </r>
  <r>
    <n v="11185"/>
    <d v="2024-03-30T00:00:00"/>
    <d v="2024-04-03T00:00:00"/>
    <d v="2024-04-06T00:00:00"/>
    <x v="1"/>
    <s v="India"/>
    <s v="Delhi"/>
    <s v="Hyderabad"/>
    <x v="2"/>
    <s v="Table"/>
    <s v="Gaming Laptop"/>
    <s v="Home Office"/>
    <n v="63525"/>
    <n v="0.3"/>
    <n v="999"/>
    <n v="23"/>
    <s v="Net Banking"/>
    <s v="Low"/>
    <x v="3"/>
    <x v="2"/>
    <n v="4"/>
    <n v="7"/>
    <n v="1.5726092089728454E-2"/>
  </r>
  <r>
    <n v="11186"/>
    <d v="2024-03-31T00:00:00"/>
    <d v="2024-04-06T00:00:00"/>
    <d v="2024-04-11T00:00:00"/>
    <x v="0"/>
    <s v="India"/>
    <s v="Maharashtra"/>
    <s v="Kochi"/>
    <x v="2"/>
    <s v="Laptop"/>
    <s v="Dining Table"/>
    <s v="Home Office"/>
    <n v="43978"/>
    <n v="0.12"/>
    <n v="5109"/>
    <n v="23"/>
    <s v="Cash"/>
    <s v="Medium"/>
    <x v="3"/>
    <x v="2"/>
    <n v="6"/>
    <n v="11"/>
    <n v="0.11617172222474874"/>
  </r>
  <r>
    <n v="11187"/>
    <d v="2024-04-01T00:00:00"/>
    <d v="2024-04-06T00:00:00"/>
    <d v="2024-04-09T00:00:00"/>
    <x v="1"/>
    <s v="India"/>
    <s v="Kerala"/>
    <s v="Bangalore"/>
    <x v="1"/>
    <s v="Pen"/>
    <s v="Gel Pen"/>
    <s v="Consumer"/>
    <n v="48910"/>
    <n v="0.05"/>
    <n v="12294"/>
    <n v="23"/>
    <s v="Cash"/>
    <s v="Medium"/>
    <x v="3"/>
    <x v="3"/>
    <n v="5"/>
    <n v="8"/>
    <n v="0.25135964015538742"/>
  </r>
  <r>
    <n v="11188"/>
    <d v="2024-04-02T00:00:00"/>
    <d v="2024-04-08T00:00:00"/>
    <d v="2024-04-11T00:00:00"/>
    <x v="3"/>
    <s v="India"/>
    <s v="Telangana"/>
    <s v="Delhi"/>
    <x v="1"/>
    <s v="Pen"/>
    <s v="Laser Printer"/>
    <s v="Home Office"/>
    <n v="8046"/>
    <n v="0.21"/>
    <n v="5086"/>
    <n v="19"/>
    <s v="Net Banking"/>
    <s v="Low"/>
    <x v="3"/>
    <x v="3"/>
    <n v="6"/>
    <n v="9"/>
    <n v="0.63211533681332344"/>
  </r>
  <r>
    <n v="11189"/>
    <d v="2024-04-03T00:00:00"/>
    <d v="2024-04-07T00:00:00"/>
    <d v="2024-04-08T00:00:00"/>
    <x v="3"/>
    <s v="India"/>
    <s v="Delhi"/>
    <s v="Bangalore"/>
    <x v="1"/>
    <s v="Chair"/>
    <s v="Dining Table"/>
    <s v="Consumer"/>
    <n v="74698"/>
    <n v="0.28000000000000003"/>
    <n v="681"/>
    <n v="10"/>
    <s v="Cash"/>
    <s v="Medium"/>
    <x v="3"/>
    <x v="3"/>
    <n v="4"/>
    <n v="5"/>
    <n v="9.1167099520736827E-3"/>
  </r>
  <r>
    <n v="11190"/>
    <d v="2024-04-04T00:00:00"/>
    <d v="2024-04-10T00:00:00"/>
    <d v="2024-04-13T00:00:00"/>
    <x v="3"/>
    <s v="India"/>
    <s v="Kerala"/>
    <s v="Bangalore"/>
    <x v="0"/>
    <s v="Chair"/>
    <s v="Smartphone"/>
    <s v="Consumer"/>
    <n v="12782"/>
    <n v="0.18"/>
    <n v="4884"/>
    <n v="9"/>
    <s v="Net Banking"/>
    <s v="Critical"/>
    <x v="3"/>
    <x v="3"/>
    <n v="6"/>
    <n v="9"/>
    <n v="0.38209982788296043"/>
  </r>
  <r>
    <n v="11191"/>
    <d v="2024-04-05T00:00:00"/>
    <d v="2024-04-07T00:00:00"/>
    <d v="2024-04-09T00:00:00"/>
    <x v="3"/>
    <s v="India"/>
    <s v="Maharashtra"/>
    <s v="Delhi"/>
    <x v="0"/>
    <s v="Chair"/>
    <s v="Laser Printer"/>
    <s v="Consumer"/>
    <n v="11112"/>
    <n v="0.08"/>
    <n v="17880"/>
    <n v="14"/>
    <s v="Debit Card"/>
    <s v="Medium"/>
    <x v="3"/>
    <x v="3"/>
    <n v="2"/>
    <n v="4"/>
    <n v="1.6090712742980562"/>
  </r>
  <r>
    <n v="11192"/>
    <d v="2024-04-06T00:00:00"/>
    <d v="2024-04-12T00:00:00"/>
    <d v="2024-04-17T00:00:00"/>
    <x v="1"/>
    <s v="India"/>
    <s v="Telangana"/>
    <s v="Bangalore"/>
    <x v="1"/>
    <s v="Table"/>
    <s v="Gel Pen"/>
    <s v="Corporate"/>
    <n v="73538"/>
    <n v="0.01"/>
    <n v="-276"/>
    <n v="1"/>
    <s v="UPI"/>
    <s v="Medium"/>
    <x v="3"/>
    <x v="3"/>
    <n v="6"/>
    <n v="11"/>
    <n v="-3.7531616307215315E-3"/>
  </r>
  <r>
    <n v="11193"/>
    <d v="2024-04-07T00:00:00"/>
    <d v="2024-04-14T00:00:00"/>
    <d v="2024-04-18T00:00:00"/>
    <x v="2"/>
    <s v="India"/>
    <s v="Kerala"/>
    <s v="Kochi"/>
    <x v="0"/>
    <s v="Printer"/>
    <s v="Gel Pen"/>
    <s v="Corporate"/>
    <n v="15527"/>
    <n v="0.38"/>
    <n v="8060"/>
    <n v="24"/>
    <s v="Credit Card"/>
    <s v="Critical"/>
    <x v="3"/>
    <x v="3"/>
    <n v="7"/>
    <n v="11"/>
    <n v="0.51909576866104201"/>
  </r>
  <r>
    <n v="11194"/>
    <d v="2024-04-08T00:00:00"/>
    <d v="2024-04-10T00:00:00"/>
    <d v="2024-04-13T00:00:00"/>
    <x v="2"/>
    <s v="India"/>
    <s v="Maharashtra"/>
    <s v="Delhi"/>
    <x v="0"/>
    <s v="Printer"/>
    <s v="Smartphone"/>
    <s v="Corporate"/>
    <n v="29336"/>
    <n v="0.23"/>
    <n v="5768"/>
    <n v="9"/>
    <s v="UPI"/>
    <s v="Critical"/>
    <x v="3"/>
    <x v="3"/>
    <n v="2"/>
    <n v="5"/>
    <n v="0.19661848922825198"/>
  </r>
  <r>
    <n v="11195"/>
    <d v="2024-04-09T00:00:00"/>
    <d v="2024-04-12T00:00:00"/>
    <d v="2024-04-17T00:00:00"/>
    <x v="2"/>
    <s v="India"/>
    <s v="Karnataka"/>
    <s v="Chennai"/>
    <x v="1"/>
    <s v="Chair"/>
    <s v="Laser Printer"/>
    <s v="Consumer"/>
    <n v="67138"/>
    <n v="0.1"/>
    <n v="13939"/>
    <n v="19"/>
    <s v="Cash"/>
    <s v="Critical"/>
    <x v="3"/>
    <x v="3"/>
    <n v="3"/>
    <n v="8"/>
    <n v="0.20761714677231971"/>
  </r>
  <r>
    <n v="11196"/>
    <d v="2024-04-10T00:00:00"/>
    <d v="2024-04-15T00:00:00"/>
    <d v="2024-04-19T00:00:00"/>
    <x v="3"/>
    <s v="India"/>
    <s v="Kerala"/>
    <s v="Bangalore"/>
    <x v="2"/>
    <s v="Table"/>
    <s v="Smartphone"/>
    <s v="Corporate"/>
    <n v="15045"/>
    <n v="0.13"/>
    <n v="7710"/>
    <n v="1"/>
    <s v="Net Banking"/>
    <s v="High"/>
    <x v="3"/>
    <x v="3"/>
    <n v="5"/>
    <n v="9"/>
    <n v="0.51246261216350952"/>
  </r>
  <r>
    <n v="11197"/>
    <d v="2024-04-11T00:00:00"/>
    <d v="2024-04-13T00:00:00"/>
    <d v="2024-04-14T00:00:00"/>
    <x v="1"/>
    <s v="India"/>
    <s v="Telangana"/>
    <s v="Hyderabad"/>
    <x v="2"/>
    <s v="Mobile"/>
    <s v="Gaming Laptop"/>
    <s v="Consumer"/>
    <n v="39412"/>
    <n v="0.34"/>
    <n v="16600"/>
    <n v="24"/>
    <s v="Net Banking"/>
    <s v="Medium"/>
    <x v="3"/>
    <x v="3"/>
    <n v="2"/>
    <n v="3"/>
    <n v="0.42119151527453569"/>
  </r>
  <r>
    <n v="11198"/>
    <d v="2024-04-12T00:00:00"/>
    <d v="2024-04-17T00:00:00"/>
    <d v="2024-04-21T00:00:00"/>
    <x v="1"/>
    <s v="India"/>
    <s v="Telangana"/>
    <s v="Delhi"/>
    <x v="0"/>
    <s v="Pen"/>
    <s v="Gel Pen"/>
    <s v="Consumer"/>
    <n v="20065"/>
    <n v="0.33"/>
    <n v="5078"/>
    <n v="22"/>
    <s v="Credit Card"/>
    <s v="Medium"/>
    <x v="3"/>
    <x v="3"/>
    <n v="5"/>
    <n v="9"/>
    <n v="0.253077498131074"/>
  </r>
  <r>
    <n v="11199"/>
    <d v="2024-04-13T00:00:00"/>
    <d v="2024-04-15T00:00:00"/>
    <d v="2024-04-18T00:00:00"/>
    <x v="2"/>
    <s v="India"/>
    <s v="Kerala"/>
    <s v="Chennai"/>
    <x v="1"/>
    <s v="Mobile"/>
    <s v="Gaming Laptop"/>
    <s v="Consumer"/>
    <n v="8864"/>
    <n v="7.0000000000000007E-2"/>
    <n v="-99"/>
    <n v="15"/>
    <s v="Cash"/>
    <s v="Low"/>
    <x v="3"/>
    <x v="3"/>
    <n v="2"/>
    <n v="5"/>
    <n v="-1.1168772563176896E-2"/>
  </r>
  <r>
    <n v="11200"/>
    <d v="2024-04-14T00:00:00"/>
    <d v="2024-04-16T00:00:00"/>
    <d v="2024-04-20T00:00:00"/>
    <x v="3"/>
    <s v="India"/>
    <s v="Telangana"/>
    <s v="Kochi"/>
    <x v="1"/>
    <s v="Mobile"/>
    <s v="Spiral Notebook"/>
    <s v="Home Office"/>
    <n v="64581"/>
    <n v="0.27"/>
    <n v="18450"/>
    <n v="22"/>
    <s v="UPI"/>
    <s v="High"/>
    <x v="3"/>
    <x v="3"/>
    <n v="2"/>
    <n v="6"/>
    <n v="0.28568774097644817"/>
  </r>
  <r>
    <n v="11201"/>
    <d v="2024-04-15T00:00:00"/>
    <d v="2024-04-20T00:00:00"/>
    <d v="2024-04-24T00:00:00"/>
    <x v="0"/>
    <s v="India"/>
    <s v="Tamil Nadu"/>
    <s v="Delhi"/>
    <x v="1"/>
    <s v="Notebook"/>
    <s v="Gaming Laptop"/>
    <s v="Consumer"/>
    <n v="74776"/>
    <n v="0.08"/>
    <n v="964"/>
    <n v="9"/>
    <s v="Debit Card"/>
    <s v="High"/>
    <x v="3"/>
    <x v="3"/>
    <n v="5"/>
    <n v="9"/>
    <n v="1.2891836953033059E-2"/>
  </r>
  <r>
    <n v="11202"/>
    <d v="2024-04-16T00:00:00"/>
    <d v="2024-04-18T00:00:00"/>
    <d v="2024-04-20T00:00:00"/>
    <x v="1"/>
    <s v="India"/>
    <s v="Kerala"/>
    <s v="Delhi"/>
    <x v="1"/>
    <s v="Laptop"/>
    <s v="Dining Table"/>
    <s v="Home Office"/>
    <n v="53157"/>
    <n v="0.17"/>
    <n v="165"/>
    <n v="24"/>
    <s v="Cash"/>
    <s v="Critical"/>
    <x v="3"/>
    <x v="3"/>
    <n v="2"/>
    <n v="4"/>
    <n v="3.1040126417969413E-3"/>
  </r>
  <r>
    <n v="11203"/>
    <d v="2024-04-17T00:00:00"/>
    <d v="2024-04-23T00:00:00"/>
    <d v="2024-04-27T00:00:00"/>
    <x v="2"/>
    <s v="India"/>
    <s v="Kerala"/>
    <s v="Mumbai"/>
    <x v="0"/>
    <s v="Table"/>
    <s v="Office Chair"/>
    <s v="Home Office"/>
    <n v="20532"/>
    <n v="0.19"/>
    <n v="13255"/>
    <n v="1"/>
    <s v="Credit Card"/>
    <s v="High"/>
    <x v="3"/>
    <x v="3"/>
    <n v="6"/>
    <n v="10"/>
    <n v="0.64557763491135789"/>
  </r>
  <r>
    <n v="11204"/>
    <d v="2024-04-18T00:00:00"/>
    <d v="2024-04-23T00:00:00"/>
    <d v="2024-04-26T00:00:00"/>
    <x v="0"/>
    <s v="India"/>
    <s v="Delhi"/>
    <s v="Mumbai"/>
    <x v="0"/>
    <s v="Table"/>
    <s v="Dining Table"/>
    <s v="Consumer"/>
    <n v="61693"/>
    <n v="0.18"/>
    <n v="7219"/>
    <n v="4"/>
    <s v="Debit Card"/>
    <s v="Critical"/>
    <x v="3"/>
    <x v="3"/>
    <n v="5"/>
    <n v="8"/>
    <n v="0.11701489634156226"/>
  </r>
  <r>
    <n v="11205"/>
    <d v="2024-04-19T00:00:00"/>
    <d v="2024-04-21T00:00:00"/>
    <d v="2024-04-23T00:00:00"/>
    <x v="3"/>
    <s v="India"/>
    <s v="Maharashtra"/>
    <s v="Bangalore"/>
    <x v="1"/>
    <s v="Laptop"/>
    <s v="Smartphone"/>
    <s v="Home Office"/>
    <n v="23240"/>
    <n v="0.17"/>
    <n v="11794"/>
    <n v="4"/>
    <s v="Net Banking"/>
    <s v="Critical"/>
    <x v="3"/>
    <x v="3"/>
    <n v="2"/>
    <n v="4"/>
    <n v="0.50748709122203095"/>
  </r>
  <r>
    <n v="11206"/>
    <d v="2024-04-20T00:00:00"/>
    <d v="2024-04-25T00:00:00"/>
    <d v="2024-04-27T00:00:00"/>
    <x v="3"/>
    <s v="India"/>
    <s v="Delhi"/>
    <s v="Hyderabad"/>
    <x v="1"/>
    <s v="Mobile"/>
    <s v="Dining Table"/>
    <s v="Consumer"/>
    <n v="51122"/>
    <n v="0.37"/>
    <n v="17618"/>
    <n v="20"/>
    <s v="Net Banking"/>
    <s v="Low"/>
    <x v="3"/>
    <x v="3"/>
    <n v="5"/>
    <n v="7"/>
    <n v="0.34462657955479048"/>
  </r>
  <r>
    <n v="11207"/>
    <d v="2024-04-21T00:00:00"/>
    <d v="2024-04-24T00:00:00"/>
    <d v="2024-04-26T00:00:00"/>
    <x v="0"/>
    <s v="India"/>
    <s v="Karnataka"/>
    <s v="Kochi"/>
    <x v="0"/>
    <s v="Pen"/>
    <s v="Gaming Laptop"/>
    <s v="Corporate"/>
    <n v="65504"/>
    <n v="0.17"/>
    <n v="967"/>
    <n v="19"/>
    <s v="Cash"/>
    <s v="High"/>
    <x v="3"/>
    <x v="3"/>
    <n v="3"/>
    <n v="5"/>
    <n v="1.4762457254518808E-2"/>
  </r>
  <r>
    <n v="11208"/>
    <d v="2024-04-22T00:00:00"/>
    <d v="2024-04-25T00:00:00"/>
    <d v="2024-04-26T00:00:00"/>
    <x v="0"/>
    <s v="India"/>
    <s v="Maharashtra"/>
    <s v="Delhi"/>
    <x v="0"/>
    <s v="Chair"/>
    <s v="Spiral Notebook"/>
    <s v="Corporate"/>
    <n v="23104"/>
    <n v="0.21"/>
    <n v="1244"/>
    <n v="14"/>
    <s v="Debit Card"/>
    <s v="Medium"/>
    <x v="3"/>
    <x v="3"/>
    <n v="3"/>
    <n v="4"/>
    <n v="5.3843490304709141E-2"/>
  </r>
  <r>
    <n v="11209"/>
    <d v="2024-04-23T00:00:00"/>
    <d v="2024-04-27T00:00:00"/>
    <d v="2024-05-02T00:00:00"/>
    <x v="3"/>
    <s v="India"/>
    <s v="Delhi"/>
    <s v="Kochi"/>
    <x v="0"/>
    <s v="Printer"/>
    <s v="Gel Pen"/>
    <s v="Home Office"/>
    <n v="54972"/>
    <n v="0.21"/>
    <n v="2273"/>
    <n v="20"/>
    <s v="Credit Card"/>
    <s v="Low"/>
    <x v="3"/>
    <x v="3"/>
    <n v="4"/>
    <n v="9"/>
    <n v="4.1348322782507461E-2"/>
  </r>
  <r>
    <n v="11210"/>
    <d v="2024-04-24T00:00:00"/>
    <d v="2024-04-27T00:00:00"/>
    <d v="2024-04-28T00:00:00"/>
    <x v="1"/>
    <s v="India"/>
    <s v="Kerala"/>
    <s v="Bangalore"/>
    <x v="1"/>
    <s v="Mobile"/>
    <s v="Dining Table"/>
    <s v="Consumer"/>
    <n v="26884"/>
    <n v="0.28000000000000003"/>
    <n v="4694"/>
    <n v="10"/>
    <s v="UPI"/>
    <s v="Critical"/>
    <x v="3"/>
    <x v="3"/>
    <n v="3"/>
    <n v="4"/>
    <n v="0.17460199375092991"/>
  </r>
  <r>
    <n v="11211"/>
    <d v="2024-04-25T00:00:00"/>
    <d v="2024-05-01T00:00:00"/>
    <d v="2024-05-04T00:00:00"/>
    <x v="2"/>
    <s v="India"/>
    <s v="Delhi"/>
    <s v="Delhi"/>
    <x v="2"/>
    <s v="Chair"/>
    <s v="Spiral Notebook"/>
    <s v="Corporate"/>
    <n v="38143"/>
    <n v="0.31"/>
    <n v="12744"/>
    <n v="10"/>
    <s v="Debit Card"/>
    <s v="Medium"/>
    <x v="3"/>
    <x v="3"/>
    <n v="6"/>
    <n v="9"/>
    <n v="0.33411110819809664"/>
  </r>
  <r>
    <n v="11212"/>
    <d v="2024-04-26T00:00:00"/>
    <d v="2024-05-03T00:00:00"/>
    <d v="2024-05-04T00:00:00"/>
    <x v="0"/>
    <s v="India"/>
    <s v="Telangana"/>
    <s v="Hyderabad"/>
    <x v="1"/>
    <s v="Printer"/>
    <s v="Office Chair"/>
    <s v="Consumer"/>
    <n v="50385"/>
    <n v="0.3"/>
    <n v="15123"/>
    <n v="11"/>
    <s v="Net Banking"/>
    <s v="High"/>
    <x v="3"/>
    <x v="3"/>
    <n v="7"/>
    <n v="8"/>
    <n v="0.30014885382554329"/>
  </r>
  <r>
    <n v="11213"/>
    <d v="2024-04-27T00:00:00"/>
    <d v="2024-05-04T00:00:00"/>
    <d v="2024-05-05T00:00:00"/>
    <x v="2"/>
    <s v="India"/>
    <s v="Telangana"/>
    <s v="Kochi"/>
    <x v="2"/>
    <s v="Laptop"/>
    <s v="Office Chair"/>
    <s v="Corporate"/>
    <n v="43776"/>
    <n v="0.16"/>
    <n v="19826"/>
    <n v="10"/>
    <s v="Debit Card"/>
    <s v="Low"/>
    <x v="3"/>
    <x v="3"/>
    <n v="7"/>
    <n v="8"/>
    <n v="0.45289656432748537"/>
  </r>
  <r>
    <n v="11214"/>
    <d v="2024-04-28T00:00:00"/>
    <d v="2024-05-02T00:00:00"/>
    <d v="2024-05-03T00:00:00"/>
    <x v="0"/>
    <s v="India"/>
    <s v="Delhi"/>
    <s v="Mumbai"/>
    <x v="1"/>
    <s v="Notebook"/>
    <s v="Spiral Notebook"/>
    <s v="Corporate"/>
    <n v="52405"/>
    <n v="0.18"/>
    <n v="-1175"/>
    <n v="10"/>
    <s v="Net Banking"/>
    <s v="Medium"/>
    <x v="3"/>
    <x v="3"/>
    <n v="4"/>
    <n v="5"/>
    <n v="-2.2421524663677129E-2"/>
  </r>
  <r>
    <n v="11215"/>
    <d v="2024-04-29T00:00:00"/>
    <d v="2024-05-01T00:00:00"/>
    <d v="2024-05-02T00:00:00"/>
    <x v="3"/>
    <s v="India"/>
    <s v="Delhi"/>
    <s v="Delhi"/>
    <x v="2"/>
    <s v="Notebook"/>
    <s v="Dining Table"/>
    <s v="Consumer"/>
    <n v="8835"/>
    <n v="0.03"/>
    <n v="-525"/>
    <n v="18"/>
    <s v="Cash"/>
    <s v="High"/>
    <x v="3"/>
    <x v="3"/>
    <n v="2"/>
    <n v="3"/>
    <n v="-5.9422750424448216E-2"/>
  </r>
  <r>
    <n v="11216"/>
    <d v="2024-04-30T00:00:00"/>
    <d v="2024-05-04T00:00:00"/>
    <d v="2024-05-06T00:00:00"/>
    <x v="0"/>
    <s v="India"/>
    <s v="Delhi"/>
    <s v="Bangalore"/>
    <x v="0"/>
    <s v="Laptop"/>
    <s v="Laser Printer"/>
    <s v="Home Office"/>
    <n v="10925"/>
    <n v="0.28999999999999998"/>
    <n v="-1027"/>
    <n v="14"/>
    <s v="Credit Card"/>
    <s v="Medium"/>
    <x v="3"/>
    <x v="3"/>
    <n v="4"/>
    <n v="6"/>
    <n v="-9.4004576659038899E-2"/>
  </r>
  <r>
    <n v="11217"/>
    <d v="2024-05-01T00:00:00"/>
    <d v="2024-05-04T00:00:00"/>
    <d v="2024-05-06T00:00:00"/>
    <x v="1"/>
    <s v="India"/>
    <s v="Maharashtra"/>
    <s v="Kochi"/>
    <x v="1"/>
    <s v="Mobile"/>
    <s v="Spiral Notebook"/>
    <s v="Corporate"/>
    <n v="51575"/>
    <n v="7.0000000000000007E-2"/>
    <n v="1405"/>
    <n v="19"/>
    <s v="Credit Card"/>
    <s v="High"/>
    <x v="3"/>
    <x v="4"/>
    <n v="3"/>
    <n v="5"/>
    <n v="2.7241880756180319E-2"/>
  </r>
  <r>
    <n v="11218"/>
    <d v="2024-05-02T00:00:00"/>
    <d v="2024-05-07T00:00:00"/>
    <d v="2024-05-11T00:00:00"/>
    <x v="1"/>
    <s v="India"/>
    <s v="Tamil Nadu"/>
    <s v="Kochi"/>
    <x v="2"/>
    <s v="Printer"/>
    <s v="Dining Table"/>
    <s v="Consumer"/>
    <n v="33885"/>
    <n v="0.12"/>
    <n v="2739"/>
    <n v="13"/>
    <s v="Net Banking"/>
    <s v="Low"/>
    <x v="3"/>
    <x v="4"/>
    <n v="5"/>
    <n v="9"/>
    <n v="8.0832226648959712E-2"/>
  </r>
  <r>
    <n v="11219"/>
    <d v="2024-05-03T00:00:00"/>
    <d v="2024-05-06T00:00:00"/>
    <d v="2024-05-07T00:00:00"/>
    <x v="2"/>
    <s v="India"/>
    <s v="Maharashtra"/>
    <s v="Mumbai"/>
    <x v="1"/>
    <s v="Laptop"/>
    <s v="Smartphone"/>
    <s v="Corporate"/>
    <n v="17409"/>
    <n v="0.01"/>
    <n v="7111"/>
    <n v="23"/>
    <s v="Net Banking"/>
    <s v="High"/>
    <x v="3"/>
    <x v="4"/>
    <n v="3"/>
    <n v="4"/>
    <n v="0.4084668849445689"/>
  </r>
  <r>
    <n v="11220"/>
    <d v="2024-05-04T00:00:00"/>
    <d v="2024-05-09T00:00:00"/>
    <d v="2024-05-14T00:00:00"/>
    <x v="2"/>
    <s v="India"/>
    <s v="Karnataka"/>
    <s v="Delhi"/>
    <x v="2"/>
    <s v="Laptop"/>
    <s v="Gel Pen"/>
    <s v="Home Office"/>
    <n v="59416"/>
    <n v="0.33"/>
    <n v="1366"/>
    <n v="12"/>
    <s v="UPI"/>
    <s v="Low"/>
    <x v="3"/>
    <x v="4"/>
    <n v="5"/>
    <n v="10"/>
    <n v="2.2990440285444998E-2"/>
  </r>
  <r>
    <n v="11221"/>
    <d v="2024-05-05T00:00:00"/>
    <d v="2024-05-10T00:00:00"/>
    <d v="2024-05-12T00:00:00"/>
    <x v="3"/>
    <s v="India"/>
    <s v="Kerala"/>
    <s v="Kochi"/>
    <x v="2"/>
    <s v="Laptop"/>
    <s v="Smartphone"/>
    <s v="Consumer"/>
    <n v="46972"/>
    <n v="0.01"/>
    <n v="14312"/>
    <n v="10"/>
    <s v="Net Banking"/>
    <s v="Critical"/>
    <x v="3"/>
    <x v="4"/>
    <n v="5"/>
    <n v="7"/>
    <n v="0.30469215702971986"/>
  </r>
  <r>
    <n v="11222"/>
    <d v="2024-05-06T00:00:00"/>
    <d v="2024-05-11T00:00:00"/>
    <d v="2024-05-14T00:00:00"/>
    <x v="2"/>
    <s v="India"/>
    <s v="Tamil Nadu"/>
    <s v="Delhi"/>
    <x v="2"/>
    <s v="Chair"/>
    <s v="Laser Printer"/>
    <s v="Home Office"/>
    <n v="70425"/>
    <n v="0.28999999999999998"/>
    <n v="19417"/>
    <n v="20"/>
    <s v="Cash"/>
    <s v="Low"/>
    <x v="3"/>
    <x v="4"/>
    <n v="5"/>
    <n v="8"/>
    <n v="0.27571175008874688"/>
  </r>
  <r>
    <n v="11223"/>
    <d v="2024-05-07T00:00:00"/>
    <d v="2024-05-14T00:00:00"/>
    <d v="2024-05-18T00:00:00"/>
    <x v="2"/>
    <s v="India"/>
    <s v="Delhi"/>
    <s v="Mumbai"/>
    <x v="2"/>
    <s v="Mobile"/>
    <s v="Dining Table"/>
    <s v="Consumer"/>
    <n v="41913"/>
    <n v="0.12"/>
    <n v="-157"/>
    <n v="23"/>
    <s v="Net Banking"/>
    <s v="Critical"/>
    <x v="3"/>
    <x v="4"/>
    <n v="7"/>
    <n v="11"/>
    <n v="-3.7458545081478301E-3"/>
  </r>
  <r>
    <n v="11224"/>
    <d v="2024-05-08T00:00:00"/>
    <d v="2024-05-13T00:00:00"/>
    <d v="2024-05-17T00:00:00"/>
    <x v="2"/>
    <s v="India"/>
    <s v="Tamil Nadu"/>
    <s v="Delhi"/>
    <x v="2"/>
    <s v="Notebook"/>
    <s v="Gaming Laptop"/>
    <s v="Corporate"/>
    <n v="14019"/>
    <n v="0.38"/>
    <n v="13015"/>
    <n v="14"/>
    <s v="Debit Card"/>
    <s v="High"/>
    <x v="3"/>
    <x v="4"/>
    <n v="5"/>
    <n v="9"/>
    <n v="0.92838290890933728"/>
  </r>
  <r>
    <n v="11225"/>
    <d v="2024-05-09T00:00:00"/>
    <d v="2024-05-16T00:00:00"/>
    <d v="2024-05-18T00:00:00"/>
    <x v="1"/>
    <s v="India"/>
    <s v="Telangana"/>
    <s v="Chennai"/>
    <x v="2"/>
    <s v="Pen"/>
    <s v="Laser Printer"/>
    <s v="Corporate"/>
    <n v="10008"/>
    <n v="0.31"/>
    <n v="14831"/>
    <n v="8"/>
    <s v="Cash"/>
    <s v="Low"/>
    <x v="3"/>
    <x v="4"/>
    <n v="7"/>
    <n v="9"/>
    <n v="1.4819144684252599"/>
  </r>
  <r>
    <n v="11226"/>
    <d v="2024-05-10T00:00:00"/>
    <d v="2024-05-15T00:00:00"/>
    <d v="2024-05-16T00:00:00"/>
    <x v="1"/>
    <s v="India"/>
    <s v="Telangana"/>
    <s v="Chennai"/>
    <x v="2"/>
    <s v="Laptop"/>
    <s v="Dining Table"/>
    <s v="Corporate"/>
    <n v="53992"/>
    <n v="0.06"/>
    <n v="4666"/>
    <n v="10"/>
    <s v="Credit Card"/>
    <s v="Low"/>
    <x v="3"/>
    <x v="4"/>
    <n v="5"/>
    <n v="6"/>
    <n v="8.6420210401540964E-2"/>
  </r>
  <r>
    <n v="11227"/>
    <d v="2024-05-11T00:00:00"/>
    <d v="2024-05-13T00:00:00"/>
    <d v="2024-05-16T00:00:00"/>
    <x v="2"/>
    <s v="India"/>
    <s v="Tamil Nadu"/>
    <s v="Chennai"/>
    <x v="0"/>
    <s v="Notebook"/>
    <s v="Smartphone"/>
    <s v="Consumer"/>
    <n v="63559"/>
    <n v="0.28999999999999998"/>
    <n v="3228"/>
    <n v="22"/>
    <s v="Credit Card"/>
    <s v="Medium"/>
    <x v="3"/>
    <x v="4"/>
    <n v="2"/>
    <n v="5"/>
    <n v="5.0787457323117104E-2"/>
  </r>
  <r>
    <n v="11228"/>
    <d v="2024-05-12T00:00:00"/>
    <d v="2024-05-18T00:00:00"/>
    <d v="2024-05-22T00:00:00"/>
    <x v="2"/>
    <s v="India"/>
    <s v="Karnataka"/>
    <s v="Mumbai"/>
    <x v="2"/>
    <s v="Printer"/>
    <s v="Gaming Laptop"/>
    <s v="Corporate"/>
    <n v="12204"/>
    <n v="0.18"/>
    <n v="16098"/>
    <n v="4"/>
    <s v="Cash"/>
    <s v="Low"/>
    <x v="3"/>
    <x v="4"/>
    <n v="6"/>
    <n v="10"/>
    <n v="1.3190757128810227"/>
  </r>
  <r>
    <n v="11229"/>
    <d v="2024-05-13T00:00:00"/>
    <d v="2024-05-15T00:00:00"/>
    <d v="2024-05-20T00:00:00"/>
    <x v="1"/>
    <s v="India"/>
    <s v="Tamil Nadu"/>
    <s v="Chennai"/>
    <x v="0"/>
    <s v="Notebook"/>
    <s v="Dining Table"/>
    <s v="Home Office"/>
    <n v="29143"/>
    <n v="0.26"/>
    <n v="17814"/>
    <n v="10"/>
    <s v="UPI"/>
    <s v="Medium"/>
    <x v="3"/>
    <x v="4"/>
    <n v="2"/>
    <n v="7"/>
    <n v="0.611261709501424"/>
  </r>
  <r>
    <n v="11230"/>
    <d v="2024-05-14T00:00:00"/>
    <d v="2024-05-21T00:00:00"/>
    <d v="2024-05-24T00:00:00"/>
    <x v="1"/>
    <s v="India"/>
    <s v="Maharashtra"/>
    <s v="Delhi"/>
    <x v="0"/>
    <s v="Notebook"/>
    <s v="Spiral Notebook"/>
    <s v="Consumer"/>
    <n v="10838"/>
    <n v="0.16"/>
    <n v="-40"/>
    <n v="7"/>
    <s v="Debit Card"/>
    <s v="High"/>
    <x v="3"/>
    <x v="4"/>
    <n v="7"/>
    <n v="10"/>
    <n v="-3.6907178446207787E-3"/>
  </r>
  <r>
    <n v="11231"/>
    <d v="2024-05-15T00:00:00"/>
    <d v="2024-05-17T00:00:00"/>
    <d v="2024-05-19T00:00:00"/>
    <x v="0"/>
    <s v="India"/>
    <s v="Delhi"/>
    <s v="Delhi"/>
    <x v="1"/>
    <s v="Chair"/>
    <s v="Spiral Notebook"/>
    <s v="Corporate"/>
    <n v="38407"/>
    <n v="0.13"/>
    <n v="5942"/>
    <n v="11"/>
    <s v="Cash"/>
    <s v="Critical"/>
    <x v="3"/>
    <x v="4"/>
    <n v="2"/>
    <n v="4"/>
    <n v="0.15471138073788632"/>
  </r>
  <r>
    <n v="11232"/>
    <d v="2024-05-16T00:00:00"/>
    <d v="2024-05-21T00:00:00"/>
    <d v="2024-05-25T00:00:00"/>
    <x v="3"/>
    <s v="India"/>
    <s v="Kerala"/>
    <s v="Delhi"/>
    <x v="0"/>
    <s v="Printer"/>
    <s v="Gaming Laptop"/>
    <s v="Corporate"/>
    <n v="15095"/>
    <n v="0.37"/>
    <n v="5662"/>
    <n v="10"/>
    <s v="UPI"/>
    <s v="Critical"/>
    <x v="3"/>
    <x v="4"/>
    <n v="5"/>
    <n v="9"/>
    <n v="0.3750910897648228"/>
  </r>
  <r>
    <n v="11233"/>
    <d v="2024-05-17T00:00:00"/>
    <d v="2024-05-19T00:00:00"/>
    <d v="2024-05-23T00:00:00"/>
    <x v="3"/>
    <s v="India"/>
    <s v="Tamil Nadu"/>
    <s v="Chennai"/>
    <x v="0"/>
    <s v="Mobile"/>
    <s v="Laser Printer"/>
    <s v="Home Office"/>
    <n v="52689"/>
    <n v="0.18"/>
    <n v="3748"/>
    <n v="3"/>
    <s v="Net Banking"/>
    <s v="Critical"/>
    <x v="3"/>
    <x v="4"/>
    <n v="2"/>
    <n v="6"/>
    <n v="7.1134392377915689E-2"/>
  </r>
  <r>
    <n v="11234"/>
    <d v="2024-05-18T00:00:00"/>
    <d v="2024-05-20T00:00:00"/>
    <d v="2024-05-23T00:00:00"/>
    <x v="3"/>
    <s v="India"/>
    <s v="Kerala"/>
    <s v="Kochi"/>
    <x v="1"/>
    <s v="Laptop"/>
    <s v="Office Chair"/>
    <s v="Corporate"/>
    <n v="1125"/>
    <n v="0.12"/>
    <n v="17836"/>
    <n v="23"/>
    <s v="Net Banking"/>
    <s v="Medium"/>
    <x v="3"/>
    <x v="4"/>
    <n v="2"/>
    <n v="5"/>
    <n v="15.854222222222223"/>
  </r>
  <r>
    <n v="11235"/>
    <d v="2024-05-19T00:00:00"/>
    <d v="2024-05-26T00:00:00"/>
    <d v="2024-05-27T00:00:00"/>
    <x v="2"/>
    <s v="India"/>
    <s v="Telangana"/>
    <s v="Delhi"/>
    <x v="1"/>
    <s v="Pen"/>
    <s v="Office Chair"/>
    <s v="Corporate"/>
    <n v="57279"/>
    <n v="0.02"/>
    <n v="14305"/>
    <n v="17"/>
    <s v="Net Banking"/>
    <s v="Critical"/>
    <x v="3"/>
    <x v="4"/>
    <n v="7"/>
    <n v="8"/>
    <n v="0.24974248852109848"/>
  </r>
  <r>
    <n v="11236"/>
    <d v="2024-05-20T00:00:00"/>
    <d v="2024-05-25T00:00:00"/>
    <d v="2024-05-29T00:00:00"/>
    <x v="0"/>
    <s v="India"/>
    <s v="Tamil Nadu"/>
    <s v="Chennai"/>
    <x v="0"/>
    <s v="Notebook"/>
    <s v="Spiral Notebook"/>
    <s v="Home Office"/>
    <n v="20206"/>
    <n v="7.0000000000000007E-2"/>
    <n v="13523"/>
    <n v="1"/>
    <s v="UPI"/>
    <s v="Critical"/>
    <x v="3"/>
    <x v="4"/>
    <n v="5"/>
    <n v="9"/>
    <n v="0.6692566564386816"/>
  </r>
  <r>
    <n v="11237"/>
    <d v="2024-05-21T00:00:00"/>
    <d v="2024-05-24T00:00:00"/>
    <d v="2024-05-28T00:00:00"/>
    <x v="3"/>
    <s v="India"/>
    <s v="Telangana"/>
    <s v="Delhi"/>
    <x v="1"/>
    <s v="Notebook"/>
    <s v="Gaming Laptop"/>
    <s v="Home Office"/>
    <n v="61064"/>
    <n v="0.26"/>
    <n v="3140"/>
    <n v="24"/>
    <s v="Debit Card"/>
    <s v="Critical"/>
    <x v="3"/>
    <x v="4"/>
    <n v="3"/>
    <n v="7"/>
    <n v="5.1421459452377832E-2"/>
  </r>
  <r>
    <n v="11238"/>
    <d v="2024-05-22T00:00:00"/>
    <d v="2024-05-24T00:00:00"/>
    <d v="2024-05-26T00:00:00"/>
    <x v="0"/>
    <s v="India"/>
    <s v="Telangana"/>
    <s v="Bangalore"/>
    <x v="0"/>
    <s v="Table"/>
    <s v="Gaming Laptop"/>
    <s v="Corporate"/>
    <n v="34633"/>
    <n v="0.17"/>
    <n v="13469"/>
    <n v="10"/>
    <s v="UPI"/>
    <s v="High"/>
    <x v="3"/>
    <x v="4"/>
    <n v="2"/>
    <n v="4"/>
    <n v="0.38890653423035831"/>
  </r>
  <r>
    <n v="11239"/>
    <d v="2024-05-23T00:00:00"/>
    <d v="2024-05-28T00:00:00"/>
    <d v="2024-06-02T00:00:00"/>
    <x v="2"/>
    <s v="India"/>
    <s v="Tamil Nadu"/>
    <s v="Hyderabad"/>
    <x v="1"/>
    <s v="Pen"/>
    <s v="Office Chair"/>
    <s v="Corporate"/>
    <n v="34307"/>
    <n v="0.21"/>
    <n v="16016"/>
    <n v="10"/>
    <s v="Cash"/>
    <s v="Low"/>
    <x v="3"/>
    <x v="4"/>
    <n v="5"/>
    <n v="10"/>
    <n v="0.46684350132625996"/>
  </r>
  <r>
    <n v="11240"/>
    <d v="2024-05-24T00:00:00"/>
    <d v="2024-05-31T00:00:00"/>
    <d v="2024-06-01T00:00:00"/>
    <x v="2"/>
    <s v="India"/>
    <s v="Kerala"/>
    <s v="Kochi"/>
    <x v="2"/>
    <s v="Chair"/>
    <s v="Dining Table"/>
    <s v="Home Office"/>
    <n v="8510"/>
    <n v="0.23"/>
    <n v="5653"/>
    <n v="10"/>
    <s v="Credit Card"/>
    <s v="High"/>
    <x v="3"/>
    <x v="4"/>
    <n v="7"/>
    <n v="8"/>
    <n v="0.66427732079905988"/>
  </r>
  <r>
    <n v="11241"/>
    <d v="2024-05-25T00:00:00"/>
    <d v="2024-05-29T00:00:00"/>
    <d v="2024-05-30T00:00:00"/>
    <x v="3"/>
    <s v="India"/>
    <s v="Maharashtra"/>
    <s v="Delhi"/>
    <x v="2"/>
    <s v="Laptop"/>
    <s v="Gel Pen"/>
    <s v="Consumer"/>
    <n v="67889"/>
    <n v="0.04"/>
    <n v="14731"/>
    <n v="4"/>
    <s v="Debit Card"/>
    <s v="Critical"/>
    <x v="3"/>
    <x v="4"/>
    <n v="4"/>
    <n v="5"/>
    <n v="0.21698655157683866"/>
  </r>
  <r>
    <n v="11242"/>
    <d v="2024-05-26T00:00:00"/>
    <d v="2024-05-30T00:00:00"/>
    <d v="2024-06-03T00:00:00"/>
    <x v="1"/>
    <s v="India"/>
    <s v="Kerala"/>
    <s v="Mumbai"/>
    <x v="1"/>
    <s v="Printer"/>
    <s v="Dining Table"/>
    <s v="Corporate"/>
    <n v="64850"/>
    <n v="0.23"/>
    <n v="6557"/>
    <n v="1"/>
    <s v="Credit Card"/>
    <s v="High"/>
    <x v="3"/>
    <x v="4"/>
    <n v="4"/>
    <n v="8"/>
    <n v="0.10111025443330764"/>
  </r>
  <r>
    <n v="11243"/>
    <d v="2024-05-27T00:00:00"/>
    <d v="2024-06-02T00:00:00"/>
    <d v="2024-06-04T00:00:00"/>
    <x v="1"/>
    <s v="India"/>
    <s v="Telangana"/>
    <s v="Kochi"/>
    <x v="1"/>
    <s v="Laptop"/>
    <s v="Smartphone"/>
    <s v="Consumer"/>
    <n v="45947"/>
    <n v="0.06"/>
    <n v="17816"/>
    <n v="8"/>
    <s v="Cash"/>
    <s v="Medium"/>
    <x v="3"/>
    <x v="4"/>
    <n v="6"/>
    <n v="8"/>
    <n v="0.38775110453348421"/>
  </r>
  <r>
    <n v="11244"/>
    <d v="2024-05-28T00:00:00"/>
    <d v="2024-05-31T00:00:00"/>
    <d v="2024-06-03T00:00:00"/>
    <x v="3"/>
    <s v="India"/>
    <s v="Tamil Nadu"/>
    <s v="Mumbai"/>
    <x v="0"/>
    <s v="Table"/>
    <s v="Smartphone"/>
    <s v="Consumer"/>
    <n v="66074"/>
    <n v="0.28999999999999998"/>
    <n v="16847"/>
    <n v="20"/>
    <s v="Credit Card"/>
    <s v="High"/>
    <x v="3"/>
    <x v="4"/>
    <n v="3"/>
    <n v="6"/>
    <n v="0.25497169839876505"/>
  </r>
  <r>
    <n v="11245"/>
    <d v="2024-05-29T00:00:00"/>
    <d v="2024-06-05T00:00:00"/>
    <d v="2024-06-10T00:00:00"/>
    <x v="0"/>
    <s v="India"/>
    <s v="Delhi"/>
    <s v="Mumbai"/>
    <x v="2"/>
    <s v="Laptop"/>
    <s v="Laser Printer"/>
    <s v="Consumer"/>
    <n v="43599"/>
    <n v="0.2"/>
    <n v="16249"/>
    <n v="9"/>
    <s v="Net Banking"/>
    <s v="High"/>
    <x v="3"/>
    <x v="4"/>
    <n v="7"/>
    <n v="12"/>
    <n v="0.37269203422096836"/>
  </r>
  <r>
    <n v="11246"/>
    <d v="2024-05-30T00:00:00"/>
    <d v="2024-06-04T00:00:00"/>
    <d v="2024-06-08T00:00:00"/>
    <x v="0"/>
    <s v="India"/>
    <s v="Karnataka"/>
    <s v="Hyderabad"/>
    <x v="0"/>
    <s v="Notebook"/>
    <s v="Gaming Laptop"/>
    <s v="Home Office"/>
    <n v="21914"/>
    <n v="0.32"/>
    <n v="3450"/>
    <n v="5"/>
    <s v="UPI"/>
    <s v="Critical"/>
    <x v="3"/>
    <x v="4"/>
    <n v="5"/>
    <n v="9"/>
    <n v="0.1574336040887104"/>
  </r>
  <r>
    <n v="11247"/>
    <d v="2024-05-31T00:00:00"/>
    <d v="2024-06-04T00:00:00"/>
    <d v="2024-06-07T00:00:00"/>
    <x v="3"/>
    <s v="India"/>
    <s v="Delhi"/>
    <s v="Mumbai"/>
    <x v="2"/>
    <s v="Table"/>
    <s v="Gaming Laptop"/>
    <s v="Corporate"/>
    <n v="69146"/>
    <n v="0.06"/>
    <n v="8417"/>
    <n v="10"/>
    <s v="UPI"/>
    <s v="Critical"/>
    <x v="3"/>
    <x v="4"/>
    <n v="4"/>
    <n v="7"/>
    <n v="0.12172793798628988"/>
  </r>
  <r>
    <n v="11248"/>
    <d v="2024-06-01T00:00:00"/>
    <d v="2024-06-03T00:00:00"/>
    <d v="2024-06-05T00:00:00"/>
    <x v="0"/>
    <s v="India"/>
    <s v="Kerala"/>
    <s v="Hyderabad"/>
    <x v="1"/>
    <s v="Printer"/>
    <s v="Smartphone"/>
    <s v="Home Office"/>
    <n v="20057"/>
    <n v="0.18"/>
    <n v="8418"/>
    <n v="2"/>
    <s v="Debit Card"/>
    <s v="High"/>
    <x v="3"/>
    <x v="5"/>
    <n v="2"/>
    <n v="4"/>
    <n v="0.41970384404447325"/>
  </r>
  <r>
    <n v="11249"/>
    <d v="2024-06-02T00:00:00"/>
    <d v="2024-06-06T00:00:00"/>
    <d v="2024-06-07T00:00:00"/>
    <x v="1"/>
    <s v="India"/>
    <s v="Kerala"/>
    <s v="Bangalore"/>
    <x v="2"/>
    <s v="Notebook"/>
    <s v="Gel Pen"/>
    <s v="Corporate"/>
    <n v="72629"/>
    <n v="7.0000000000000007E-2"/>
    <n v="888"/>
    <n v="5"/>
    <s v="Credit Card"/>
    <s v="Low"/>
    <x v="3"/>
    <x v="5"/>
    <n v="4"/>
    <n v="5"/>
    <n v="1.2226521086618293E-2"/>
  </r>
  <r>
    <n v="11250"/>
    <d v="2024-06-03T00:00:00"/>
    <d v="2024-06-05T00:00:00"/>
    <d v="2024-06-10T00:00:00"/>
    <x v="2"/>
    <s v="India"/>
    <s v="Maharashtra"/>
    <s v="Delhi"/>
    <x v="0"/>
    <s v="Chair"/>
    <s v="Gel Pen"/>
    <s v="Home Office"/>
    <n v="50415"/>
    <n v="0.24"/>
    <n v="13130"/>
    <n v="14"/>
    <s v="UPI"/>
    <s v="High"/>
    <x v="3"/>
    <x v="5"/>
    <n v="2"/>
    <n v="7"/>
    <n v="0.26043836159873052"/>
  </r>
  <r>
    <n v="11251"/>
    <d v="2024-06-04T00:00:00"/>
    <d v="2024-06-07T00:00:00"/>
    <d v="2024-06-09T00:00:00"/>
    <x v="0"/>
    <s v="India"/>
    <s v="Telangana"/>
    <s v="Bangalore"/>
    <x v="1"/>
    <s v="Mobile"/>
    <s v="Office Chair"/>
    <s v="Home Office"/>
    <n v="18684"/>
    <n v="0.03"/>
    <n v="3107"/>
    <n v="15"/>
    <s v="UPI"/>
    <s v="Critical"/>
    <x v="3"/>
    <x v="5"/>
    <n v="3"/>
    <n v="5"/>
    <n v="0.16629201455791051"/>
  </r>
  <r>
    <n v="11252"/>
    <d v="2024-06-05T00:00:00"/>
    <d v="2024-06-08T00:00:00"/>
    <d v="2024-06-10T00:00:00"/>
    <x v="0"/>
    <s v="India"/>
    <s v="Maharashtra"/>
    <s v="Mumbai"/>
    <x v="1"/>
    <s v="Mobile"/>
    <s v="Laser Printer"/>
    <s v="Consumer"/>
    <n v="56668"/>
    <n v="0.16"/>
    <n v="11962"/>
    <n v="24"/>
    <s v="UPI"/>
    <s v="Critical"/>
    <x v="3"/>
    <x v="5"/>
    <n v="3"/>
    <n v="5"/>
    <n v="0.21108915084350957"/>
  </r>
  <r>
    <n v="11253"/>
    <d v="2024-06-06T00:00:00"/>
    <d v="2024-06-13T00:00:00"/>
    <d v="2024-06-18T00:00:00"/>
    <x v="2"/>
    <s v="India"/>
    <s v="Delhi"/>
    <s v="Kochi"/>
    <x v="0"/>
    <s v="Pen"/>
    <s v="Gel Pen"/>
    <s v="Consumer"/>
    <n v="47284"/>
    <n v="0.21"/>
    <n v="10499"/>
    <n v="19"/>
    <s v="Debit Card"/>
    <s v="High"/>
    <x v="3"/>
    <x v="5"/>
    <n v="7"/>
    <n v="12"/>
    <n v="0.22204128246341256"/>
  </r>
  <r>
    <n v="11254"/>
    <d v="2024-06-07T00:00:00"/>
    <d v="2024-06-13T00:00:00"/>
    <d v="2024-06-15T00:00:00"/>
    <x v="3"/>
    <s v="India"/>
    <s v="Delhi"/>
    <s v="Chennai"/>
    <x v="0"/>
    <s v="Mobile"/>
    <s v="Spiral Notebook"/>
    <s v="Consumer"/>
    <n v="64457"/>
    <n v="0.4"/>
    <n v="5788"/>
    <n v="15"/>
    <s v="Net Banking"/>
    <s v="High"/>
    <x v="3"/>
    <x v="5"/>
    <n v="6"/>
    <n v="8"/>
    <n v="8.9796298307398728E-2"/>
  </r>
  <r>
    <n v="11255"/>
    <d v="2024-06-08T00:00:00"/>
    <d v="2024-06-12T00:00:00"/>
    <d v="2024-06-13T00:00:00"/>
    <x v="3"/>
    <s v="India"/>
    <s v="Delhi"/>
    <s v="Chennai"/>
    <x v="1"/>
    <s v="Chair"/>
    <s v="Gel Pen"/>
    <s v="Corporate"/>
    <n v="14345"/>
    <n v="0.15"/>
    <n v="5078"/>
    <n v="21"/>
    <s v="UPI"/>
    <s v="Critical"/>
    <x v="3"/>
    <x v="5"/>
    <n v="4"/>
    <n v="5"/>
    <n v="0.35399093760892297"/>
  </r>
  <r>
    <n v="11256"/>
    <d v="2024-06-09T00:00:00"/>
    <d v="2024-06-12T00:00:00"/>
    <d v="2024-06-14T00:00:00"/>
    <x v="0"/>
    <s v="India"/>
    <s v="Telangana"/>
    <s v="Kochi"/>
    <x v="1"/>
    <s v="Laptop"/>
    <s v="Laser Printer"/>
    <s v="Corporate"/>
    <n v="12176"/>
    <n v="0.21"/>
    <n v="7240"/>
    <n v="16"/>
    <s v="Net Banking"/>
    <s v="Low"/>
    <x v="3"/>
    <x v="5"/>
    <n v="3"/>
    <n v="5"/>
    <n v="0.59461235216819974"/>
  </r>
  <r>
    <n v="11257"/>
    <d v="2024-06-10T00:00:00"/>
    <d v="2024-06-13T00:00:00"/>
    <d v="2024-06-14T00:00:00"/>
    <x v="0"/>
    <s v="India"/>
    <s v="Tamil Nadu"/>
    <s v="Hyderabad"/>
    <x v="1"/>
    <s v="Notebook"/>
    <s v="Dining Table"/>
    <s v="Corporate"/>
    <n v="30496"/>
    <n v="0.06"/>
    <n v="-1672"/>
    <n v="17"/>
    <s v="Net Banking"/>
    <s v="High"/>
    <x v="3"/>
    <x v="5"/>
    <n v="3"/>
    <n v="4"/>
    <n v="-5.4826862539349423E-2"/>
  </r>
  <r>
    <n v="11258"/>
    <d v="2024-06-11T00:00:00"/>
    <d v="2024-06-18T00:00:00"/>
    <d v="2024-06-20T00:00:00"/>
    <x v="3"/>
    <s v="India"/>
    <s v="Delhi"/>
    <s v="Chennai"/>
    <x v="1"/>
    <s v="Notebook"/>
    <s v="Dining Table"/>
    <s v="Corporate"/>
    <n v="12696"/>
    <n v="0.08"/>
    <n v="15488"/>
    <n v="14"/>
    <s v="Credit Card"/>
    <s v="Low"/>
    <x v="3"/>
    <x v="5"/>
    <n v="7"/>
    <n v="9"/>
    <n v="1.2199117832388153"/>
  </r>
  <r>
    <n v="11259"/>
    <d v="2024-06-12T00:00:00"/>
    <d v="2024-06-15T00:00:00"/>
    <d v="2024-06-18T00:00:00"/>
    <x v="3"/>
    <s v="India"/>
    <s v="Maharashtra"/>
    <s v="Kochi"/>
    <x v="1"/>
    <s v="Mobile"/>
    <s v="Dining Table"/>
    <s v="Home Office"/>
    <n v="8972"/>
    <n v="0.1"/>
    <n v="1601"/>
    <n v="1"/>
    <s v="Credit Card"/>
    <s v="High"/>
    <x v="3"/>
    <x v="5"/>
    <n v="3"/>
    <n v="6"/>
    <n v="0.17844404814979939"/>
  </r>
  <r>
    <n v="11260"/>
    <d v="2024-06-13T00:00:00"/>
    <d v="2024-06-17T00:00:00"/>
    <d v="2024-06-19T00:00:00"/>
    <x v="3"/>
    <s v="India"/>
    <s v="Telangana"/>
    <s v="Delhi"/>
    <x v="2"/>
    <s v="Laptop"/>
    <s v="Smartphone"/>
    <s v="Consumer"/>
    <n v="24929"/>
    <n v="0.37"/>
    <n v="13726"/>
    <n v="21"/>
    <s v="Net Banking"/>
    <s v="High"/>
    <x v="3"/>
    <x v="5"/>
    <n v="4"/>
    <n v="6"/>
    <n v="0.55060371454932011"/>
  </r>
  <r>
    <n v="11261"/>
    <d v="2024-06-14T00:00:00"/>
    <d v="2024-06-20T00:00:00"/>
    <d v="2024-06-21T00:00:00"/>
    <x v="2"/>
    <s v="India"/>
    <s v="Telangana"/>
    <s v="Delhi"/>
    <x v="1"/>
    <s v="Mobile"/>
    <s v="Spiral Notebook"/>
    <s v="Home Office"/>
    <n v="60043"/>
    <n v="0.38"/>
    <n v="13137"/>
    <n v="11"/>
    <s v="Credit Card"/>
    <s v="Low"/>
    <x v="3"/>
    <x v="5"/>
    <n v="6"/>
    <n v="7"/>
    <n v="0.21879319820795096"/>
  </r>
  <r>
    <n v="11262"/>
    <d v="2024-06-15T00:00:00"/>
    <d v="2024-06-17T00:00:00"/>
    <d v="2024-06-18T00:00:00"/>
    <x v="3"/>
    <s v="India"/>
    <s v="Tamil Nadu"/>
    <s v="Bangalore"/>
    <x v="2"/>
    <s v="Notebook"/>
    <s v="Office Chair"/>
    <s v="Consumer"/>
    <n v="53826"/>
    <n v="0.28999999999999998"/>
    <n v="5939"/>
    <n v="8"/>
    <s v="Debit Card"/>
    <s v="Low"/>
    <x v="3"/>
    <x v="5"/>
    <n v="2"/>
    <n v="3"/>
    <n v="0.11033701185300784"/>
  </r>
  <r>
    <n v="11263"/>
    <d v="2024-06-16T00:00:00"/>
    <d v="2024-06-21T00:00:00"/>
    <d v="2024-06-22T00:00:00"/>
    <x v="3"/>
    <s v="India"/>
    <s v="Maharashtra"/>
    <s v="Delhi"/>
    <x v="0"/>
    <s v="Notebook"/>
    <s v="Laser Printer"/>
    <s v="Consumer"/>
    <n v="24174"/>
    <n v="0.38"/>
    <n v="-1567"/>
    <n v="23"/>
    <s v="Credit Card"/>
    <s v="High"/>
    <x v="3"/>
    <x v="5"/>
    <n v="5"/>
    <n v="6"/>
    <n v="-6.482170927442707E-2"/>
  </r>
  <r>
    <n v="11264"/>
    <d v="2024-06-17T00:00:00"/>
    <d v="2024-06-19T00:00:00"/>
    <d v="2024-06-24T00:00:00"/>
    <x v="3"/>
    <s v="India"/>
    <s v="Telangana"/>
    <s v="Kochi"/>
    <x v="2"/>
    <s v="Printer"/>
    <s v="Gel Pen"/>
    <s v="Consumer"/>
    <n v="68086"/>
    <n v="0.35"/>
    <n v="19510"/>
    <n v="18"/>
    <s v="Net Banking"/>
    <s v="Critical"/>
    <x v="3"/>
    <x v="5"/>
    <n v="2"/>
    <n v="7"/>
    <n v="0.28654936403959697"/>
  </r>
  <r>
    <n v="11265"/>
    <d v="2024-06-18T00:00:00"/>
    <d v="2024-06-24T00:00:00"/>
    <d v="2024-06-26T00:00:00"/>
    <x v="2"/>
    <s v="India"/>
    <s v="Kerala"/>
    <s v="Hyderabad"/>
    <x v="1"/>
    <s v="Printer"/>
    <s v="Gaming Laptop"/>
    <s v="Home Office"/>
    <n v="15624"/>
    <n v="0.35"/>
    <n v="17401"/>
    <n v="19"/>
    <s v="Debit Card"/>
    <s v="Medium"/>
    <x v="3"/>
    <x v="5"/>
    <n v="6"/>
    <n v="8"/>
    <n v="1.1137352790578596"/>
  </r>
  <r>
    <n v="11266"/>
    <d v="2024-06-19T00:00:00"/>
    <d v="2024-06-26T00:00:00"/>
    <d v="2024-07-01T00:00:00"/>
    <x v="3"/>
    <s v="India"/>
    <s v="Telangana"/>
    <s v="Bangalore"/>
    <x v="2"/>
    <s v="Notebook"/>
    <s v="Gel Pen"/>
    <s v="Corporate"/>
    <n v="59230"/>
    <n v="0.02"/>
    <n v="17128"/>
    <n v="16"/>
    <s v="Cash"/>
    <s v="Low"/>
    <x v="3"/>
    <x v="5"/>
    <n v="7"/>
    <n v="12"/>
    <n v="0.28917778152963025"/>
  </r>
  <r>
    <n v="11267"/>
    <d v="2024-06-20T00:00:00"/>
    <d v="2024-06-27T00:00:00"/>
    <d v="2024-06-29T00:00:00"/>
    <x v="2"/>
    <s v="India"/>
    <s v="Maharashtra"/>
    <s v="Bangalore"/>
    <x v="2"/>
    <s v="Notebook"/>
    <s v="Dining Table"/>
    <s v="Consumer"/>
    <n v="29740"/>
    <n v="0.17"/>
    <n v="16992"/>
    <n v="18"/>
    <s v="UPI"/>
    <s v="Critical"/>
    <x v="3"/>
    <x v="5"/>
    <n v="7"/>
    <n v="9"/>
    <n v="0.57135171486213854"/>
  </r>
  <r>
    <n v="11268"/>
    <d v="2024-06-21T00:00:00"/>
    <d v="2024-06-25T00:00:00"/>
    <d v="2024-06-26T00:00:00"/>
    <x v="3"/>
    <s v="India"/>
    <s v="Karnataka"/>
    <s v="Chennai"/>
    <x v="0"/>
    <s v="Table"/>
    <s v="Gel Pen"/>
    <s v="Corporate"/>
    <n v="62510"/>
    <n v="0.16"/>
    <n v="1978"/>
    <n v="8"/>
    <s v="Debit Card"/>
    <s v="Low"/>
    <x v="3"/>
    <x v="5"/>
    <n v="4"/>
    <n v="5"/>
    <n v="3.1642937130059189E-2"/>
  </r>
  <r>
    <n v="11269"/>
    <d v="2024-06-22T00:00:00"/>
    <d v="2024-06-25T00:00:00"/>
    <d v="2024-06-30T00:00:00"/>
    <x v="3"/>
    <s v="India"/>
    <s v="Telangana"/>
    <s v="Hyderabad"/>
    <x v="1"/>
    <s v="Table"/>
    <s v="Smartphone"/>
    <s v="Corporate"/>
    <n v="30395"/>
    <n v="0.35"/>
    <n v="11028"/>
    <n v="22"/>
    <s v="Credit Card"/>
    <s v="Low"/>
    <x v="3"/>
    <x v="5"/>
    <n v="3"/>
    <n v="8"/>
    <n v="0.36282283270274718"/>
  </r>
  <r>
    <n v="11270"/>
    <d v="2024-06-23T00:00:00"/>
    <d v="2024-06-25T00:00:00"/>
    <d v="2024-06-26T00:00:00"/>
    <x v="0"/>
    <s v="India"/>
    <s v="Tamil Nadu"/>
    <s v="Hyderabad"/>
    <x v="0"/>
    <s v="Chair"/>
    <s v="Laser Printer"/>
    <s v="Consumer"/>
    <n v="58088"/>
    <n v="0.18"/>
    <n v="17874"/>
    <n v="18"/>
    <s v="UPI"/>
    <s v="Medium"/>
    <x v="3"/>
    <x v="5"/>
    <n v="2"/>
    <n v="3"/>
    <n v="0.30770555019969703"/>
  </r>
  <r>
    <n v="11271"/>
    <d v="2024-06-24T00:00:00"/>
    <d v="2024-06-28T00:00:00"/>
    <d v="2024-06-30T00:00:00"/>
    <x v="0"/>
    <s v="India"/>
    <s v="Tamil Nadu"/>
    <s v="Hyderabad"/>
    <x v="2"/>
    <s v="Chair"/>
    <s v="Spiral Notebook"/>
    <s v="Consumer"/>
    <n v="48812"/>
    <n v="0.38"/>
    <n v="10405"/>
    <n v="12"/>
    <s v="UPI"/>
    <s v="Low"/>
    <x v="3"/>
    <x v="5"/>
    <n v="4"/>
    <n v="6"/>
    <n v="0.21316479554207982"/>
  </r>
  <r>
    <n v="11272"/>
    <d v="2024-06-25T00:00:00"/>
    <d v="2024-06-30T00:00:00"/>
    <d v="2024-07-04T00:00:00"/>
    <x v="2"/>
    <s v="India"/>
    <s v="Delhi"/>
    <s v="Bangalore"/>
    <x v="1"/>
    <s v="Pen"/>
    <s v="Gaming Laptop"/>
    <s v="Corporate"/>
    <n v="72246"/>
    <n v="0.12"/>
    <n v="11644"/>
    <n v="5"/>
    <s v="Cash"/>
    <s v="High"/>
    <x v="3"/>
    <x v="5"/>
    <n v="5"/>
    <n v="9"/>
    <n v="0.16117155275032527"/>
  </r>
  <r>
    <n v="11273"/>
    <d v="2024-06-26T00:00:00"/>
    <d v="2024-07-03T00:00:00"/>
    <d v="2024-07-07T00:00:00"/>
    <x v="3"/>
    <s v="India"/>
    <s v="Maharashtra"/>
    <s v="Bangalore"/>
    <x v="2"/>
    <s v="Chair"/>
    <s v="Spiral Notebook"/>
    <s v="Home Office"/>
    <n v="3180"/>
    <n v="0.22"/>
    <n v="11583"/>
    <n v="13"/>
    <s v="Cash"/>
    <s v="High"/>
    <x v="3"/>
    <x v="5"/>
    <n v="7"/>
    <n v="11"/>
    <n v="3.6424528301886792"/>
  </r>
  <r>
    <n v="11274"/>
    <d v="2024-06-27T00:00:00"/>
    <d v="2024-07-04T00:00:00"/>
    <d v="2024-07-08T00:00:00"/>
    <x v="3"/>
    <s v="India"/>
    <s v="Tamil Nadu"/>
    <s v="Mumbai"/>
    <x v="1"/>
    <s v="Notebook"/>
    <s v="Office Chair"/>
    <s v="Home Office"/>
    <n v="28319"/>
    <n v="0.25"/>
    <n v="17700"/>
    <n v="23"/>
    <s v="Net Banking"/>
    <s v="High"/>
    <x v="3"/>
    <x v="5"/>
    <n v="7"/>
    <n v="11"/>
    <n v="0.62502206998834708"/>
  </r>
  <r>
    <n v="11275"/>
    <d v="2024-06-28T00:00:00"/>
    <d v="2024-07-04T00:00:00"/>
    <d v="2024-07-08T00:00:00"/>
    <x v="2"/>
    <s v="India"/>
    <s v="Telangana"/>
    <s v="Bangalore"/>
    <x v="2"/>
    <s v="Laptop"/>
    <s v="Dining Table"/>
    <s v="Home Office"/>
    <n v="39941"/>
    <n v="0.22"/>
    <n v="-324"/>
    <n v="13"/>
    <s v="Debit Card"/>
    <s v="High"/>
    <x v="3"/>
    <x v="5"/>
    <n v="6"/>
    <n v="10"/>
    <n v="-8.1119651485941757E-3"/>
  </r>
  <r>
    <n v="11276"/>
    <d v="2024-06-29T00:00:00"/>
    <d v="2024-07-04T00:00:00"/>
    <d v="2024-07-06T00:00:00"/>
    <x v="1"/>
    <s v="India"/>
    <s v="Tamil Nadu"/>
    <s v="Delhi"/>
    <x v="1"/>
    <s v="Laptop"/>
    <s v="Gel Pen"/>
    <s v="Consumer"/>
    <n v="29601"/>
    <n v="0.13"/>
    <n v="8946"/>
    <n v="13"/>
    <s v="Debit Card"/>
    <s v="Medium"/>
    <x v="3"/>
    <x v="5"/>
    <n v="5"/>
    <n v="7"/>
    <n v="0.30221951961082394"/>
  </r>
  <r>
    <n v="11277"/>
    <d v="2024-06-30T00:00:00"/>
    <d v="2024-07-05T00:00:00"/>
    <d v="2024-07-10T00:00:00"/>
    <x v="1"/>
    <s v="India"/>
    <s v="Tamil Nadu"/>
    <s v="Bangalore"/>
    <x v="0"/>
    <s v="Printer"/>
    <s v="Laser Printer"/>
    <s v="Home Office"/>
    <n v="69490"/>
    <n v="0.01"/>
    <n v="10206"/>
    <n v="21"/>
    <s v="UPI"/>
    <s v="Medium"/>
    <x v="3"/>
    <x v="5"/>
    <n v="5"/>
    <n v="10"/>
    <n v="0.14687005324507124"/>
  </r>
  <r>
    <n v="11278"/>
    <d v="2024-07-01T00:00:00"/>
    <d v="2024-07-06T00:00:00"/>
    <d v="2024-07-10T00:00:00"/>
    <x v="1"/>
    <s v="India"/>
    <s v="Telangana"/>
    <s v="Delhi"/>
    <x v="1"/>
    <s v="Laptop"/>
    <s v="Laser Printer"/>
    <s v="Corporate"/>
    <n v="57013"/>
    <n v="0.2"/>
    <n v="11206"/>
    <n v="5"/>
    <s v="Debit Card"/>
    <s v="Low"/>
    <x v="3"/>
    <x v="6"/>
    <n v="5"/>
    <n v="9"/>
    <n v="0.19655166365565749"/>
  </r>
  <r>
    <n v="11279"/>
    <d v="2024-07-02T00:00:00"/>
    <d v="2024-07-08T00:00:00"/>
    <d v="2024-07-11T00:00:00"/>
    <x v="1"/>
    <s v="India"/>
    <s v="Kerala"/>
    <s v="Hyderabad"/>
    <x v="1"/>
    <s v="Laptop"/>
    <s v="Spiral Notebook"/>
    <s v="Home Office"/>
    <n v="54877"/>
    <n v="0.39"/>
    <n v="12297"/>
    <n v="13"/>
    <s v="UPI"/>
    <s v="High"/>
    <x v="3"/>
    <x v="6"/>
    <n v="6"/>
    <n v="9"/>
    <n v="0.22408294914080581"/>
  </r>
  <r>
    <n v="11280"/>
    <d v="2024-07-03T00:00:00"/>
    <d v="2024-07-07T00:00:00"/>
    <d v="2024-07-08T00:00:00"/>
    <x v="1"/>
    <s v="India"/>
    <s v="Tamil Nadu"/>
    <s v="Kochi"/>
    <x v="1"/>
    <s v="Printer"/>
    <s v="Dining Table"/>
    <s v="Home Office"/>
    <n v="51530"/>
    <n v="0.02"/>
    <n v="18263"/>
    <n v="3"/>
    <s v="Cash"/>
    <s v="Medium"/>
    <x v="3"/>
    <x v="6"/>
    <n v="4"/>
    <n v="5"/>
    <n v="0.35441490393945274"/>
  </r>
  <r>
    <n v="11281"/>
    <d v="2024-07-04T00:00:00"/>
    <d v="2024-07-09T00:00:00"/>
    <d v="2024-07-13T00:00:00"/>
    <x v="2"/>
    <s v="India"/>
    <s v="Telangana"/>
    <s v="Delhi"/>
    <x v="0"/>
    <s v="Printer"/>
    <s v="Dining Table"/>
    <s v="Consumer"/>
    <n v="24859"/>
    <n v="0.33"/>
    <n v="5770"/>
    <n v="10"/>
    <s v="Net Banking"/>
    <s v="Low"/>
    <x v="3"/>
    <x v="6"/>
    <n v="5"/>
    <n v="9"/>
    <n v="0.23210909529747778"/>
  </r>
  <r>
    <n v="11282"/>
    <d v="2024-07-05T00:00:00"/>
    <d v="2024-07-07T00:00:00"/>
    <d v="2024-07-11T00:00:00"/>
    <x v="0"/>
    <s v="India"/>
    <s v="Tamil Nadu"/>
    <s v="Mumbai"/>
    <x v="0"/>
    <s v="Mobile"/>
    <s v="Gel Pen"/>
    <s v="Home Office"/>
    <n v="30267"/>
    <n v="0.17"/>
    <n v="13216"/>
    <n v="22"/>
    <s v="UPI"/>
    <s v="Low"/>
    <x v="3"/>
    <x v="6"/>
    <n v="2"/>
    <n v="6"/>
    <n v="0.43664717348927873"/>
  </r>
  <r>
    <n v="11283"/>
    <d v="2024-07-06T00:00:00"/>
    <d v="2024-07-09T00:00:00"/>
    <d v="2024-07-12T00:00:00"/>
    <x v="2"/>
    <s v="India"/>
    <s v="Maharashtra"/>
    <s v="Hyderabad"/>
    <x v="1"/>
    <s v="Notebook"/>
    <s v="Gel Pen"/>
    <s v="Home Office"/>
    <n v="23935"/>
    <n v="0.36"/>
    <n v="5119"/>
    <n v="6"/>
    <s v="UPI"/>
    <s v="Low"/>
    <x v="3"/>
    <x v="6"/>
    <n v="3"/>
    <n v="6"/>
    <n v="0.21387090035512848"/>
  </r>
  <r>
    <n v="11284"/>
    <d v="2024-07-07T00:00:00"/>
    <d v="2024-07-10T00:00:00"/>
    <d v="2024-07-11T00:00:00"/>
    <x v="3"/>
    <s v="India"/>
    <s v="Kerala"/>
    <s v="Chennai"/>
    <x v="1"/>
    <s v="Laptop"/>
    <s v="Laser Printer"/>
    <s v="Home Office"/>
    <n v="74201"/>
    <n v="0.2"/>
    <n v="-263"/>
    <n v="2"/>
    <s v="Credit Card"/>
    <s v="Critical"/>
    <x v="3"/>
    <x v="6"/>
    <n v="3"/>
    <n v="4"/>
    <n v="-3.5444266249780999E-3"/>
  </r>
  <r>
    <n v="11285"/>
    <d v="2024-07-08T00:00:00"/>
    <d v="2024-07-10T00:00:00"/>
    <d v="2024-07-14T00:00:00"/>
    <x v="1"/>
    <s v="India"/>
    <s v="Maharashtra"/>
    <s v="Hyderabad"/>
    <x v="1"/>
    <s v="Notebook"/>
    <s v="Gel Pen"/>
    <s v="Home Office"/>
    <n v="43733"/>
    <n v="0.36"/>
    <n v="2290"/>
    <n v="14"/>
    <s v="Cash"/>
    <s v="Medium"/>
    <x v="3"/>
    <x v="6"/>
    <n v="2"/>
    <n v="6"/>
    <n v="5.2363203987835276E-2"/>
  </r>
  <r>
    <n v="11286"/>
    <d v="2024-07-09T00:00:00"/>
    <d v="2024-07-11T00:00:00"/>
    <d v="2024-07-13T00:00:00"/>
    <x v="3"/>
    <s v="India"/>
    <s v="Delhi"/>
    <s v="Hyderabad"/>
    <x v="0"/>
    <s v="Printer"/>
    <s v="Smartphone"/>
    <s v="Consumer"/>
    <n v="9895"/>
    <n v="0.25"/>
    <n v="4433"/>
    <n v="1"/>
    <s v="Credit Card"/>
    <s v="Low"/>
    <x v="3"/>
    <x v="6"/>
    <n v="2"/>
    <n v="4"/>
    <n v="0.44800404244567965"/>
  </r>
  <r>
    <n v="11287"/>
    <d v="2024-07-10T00:00:00"/>
    <d v="2024-07-12T00:00:00"/>
    <d v="2024-07-14T00:00:00"/>
    <x v="2"/>
    <s v="India"/>
    <s v="Karnataka"/>
    <s v="Kochi"/>
    <x v="0"/>
    <s v="Chair"/>
    <s v="Office Chair"/>
    <s v="Consumer"/>
    <n v="27567"/>
    <n v="0.1"/>
    <n v="14802"/>
    <n v="5"/>
    <s v="Net Banking"/>
    <s v="Medium"/>
    <x v="3"/>
    <x v="6"/>
    <n v="2"/>
    <n v="4"/>
    <n v="0.53694634889541848"/>
  </r>
  <r>
    <n v="11288"/>
    <d v="2024-07-11T00:00:00"/>
    <d v="2024-07-17T00:00:00"/>
    <d v="2024-07-21T00:00:00"/>
    <x v="0"/>
    <s v="India"/>
    <s v="Maharashtra"/>
    <s v="Chennai"/>
    <x v="0"/>
    <s v="Chair"/>
    <s v="Dining Table"/>
    <s v="Corporate"/>
    <n v="59773"/>
    <n v="0.01"/>
    <n v="8707"/>
    <n v="19"/>
    <s v="Debit Card"/>
    <s v="Medium"/>
    <x v="3"/>
    <x v="6"/>
    <n v="6"/>
    <n v="10"/>
    <n v="0.14566777642079198"/>
  </r>
  <r>
    <n v="11289"/>
    <d v="2024-07-12T00:00:00"/>
    <d v="2024-07-15T00:00:00"/>
    <d v="2024-07-19T00:00:00"/>
    <x v="0"/>
    <s v="India"/>
    <s v="Maharashtra"/>
    <s v="Hyderabad"/>
    <x v="0"/>
    <s v="Mobile"/>
    <s v="Office Chair"/>
    <s v="Home Office"/>
    <n v="9185"/>
    <n v="0.27"/>
    <n v="3909"/>
    <n v="1"/>
    <s v="Credit Card"/>
    <s v="High"/>
    <x v="3"/>
    <x v="6"/>
    <n v="3"/>
    <n v="7"/>
    <n v="0.42558519324986394"/>
  </r>
  <r>
    <n v="11290"/>
    <d v="2024-07-13T00:00:00"/>
    <d v="2024-07-16T00:00:00"/>
    <d v="2024-07-20T00:00:00"/>
    <x v="3"/>
    <s v="India"/>
    <s v="Karnataka"/>
    <s v="Chennai"/>
    <x v="0"/>
    <s v="Notebook"/>
    <s v="Smartphone"/>
    <s v="Home Office"/>
    <n v="10943"/>
    <n v="0.22"/>
    <n v="-1353"/>
    <n v="16"/>
    <s v="Credit Card"/>
    <s v="High"/>
    <x v="3"/>
    <x v="6"/>
    <n v="3"/>
    <n v="7"/>
    <n v="-0.12364068354199031"/>
  </r>
  <r>
    <n v="11291"/>
    <d v="2024-07-14T00:00:00"/>
    <d v="2024-07-19T00:00:00"/>
    <d v="2024-07-21T00:00:00"/>
    <x v="2"/>
    <s v="India"/>
    <s v="Maharashtra"/>
    <s v="Mumbai"/>
    <x v="2"/>
    <s v="Mobile"/>
    <s v="Gel Pen"/>
    <s v="Corporate"/>
    <n v="26431"/>
    <n v="0.38"/>
    <n v="13870"/>
    <n v="1"/>
    <s v="UPI"/>
    <s v="Medium"/>
    <x v="3"/>
    <x v="6"/>
    <n v="5"/>
    <n v="7"/>
    <n v="0.52476258938367826"/>
  </r>
  <r>
    <n v="11292"/>
    <d v="2024-07-15T00:00:00"/>
    <d v="2024-07-22T00:00:00"/>
    <d v="2024-07-25T00:00:00"/>
    <x v="3"/>
    <s v="India"/>
    <s v="Maharashtra"/>
    <s v="Chennai"/>
    <x v="2"/>
    <s v="Mobile"/>
    <s v="Dining Table"/>
    <s v="Consumer"/>
    <n v="10541"/>
    <n v="0.05"/>
    <n v="-395"/>
    <n v="3"/>
    <s v="UPI"/>
    <s v="Low"/>
    <x v="3"/>
    <x v="6"/>
    <n v="7"/>
    <n v="10"/>
    <n v="-3.7472725547860734E-2"/>
  </r>
  <r>
    <n v="11293"/>
    <d v="2024-07-16T00:00:00"/>
    <d v="2024-07-20T00:00:00"/>
    <d v="2024-07-25T00:00:00"/>
    <x v="0"/>
    <s v="India"/>
    <s v="Tamil Nadu"/>
    <s v="Bangalore"/>
    <x v="2"/>
    <s v="Chair"/>
    <s v="Dining Table"/>
    <s v="Corporate"/>
    <n v="14807"/>
    <n v="0.09"/>
    <n v="-1787"/>
    <n v="1"/>
    <s v="Debit Card"/>
    <s v="Critical"/>
    <x v="3"/>
    <x v="6"/>
    <n v="4"/>
    <n v="9"/>
    <n v="-0.12068616195042885"/>
  </r>
  <r>
    <n v="11294"/>
    <d v="2024-07-17T00:00:00"/>
    <d v="2024-07-19T00:00:00"/>
    <d v="2024-07-20T00:00:00"/>
    <x v="3"/>
    <s v="India"/>
    <s v="Tamil Nadu"/>
    <s v="Delhi"/>
    <x v="2"/>
    <s v="Printer"/>
    <s v="Smartphone"/>
    <s v="Corporate"/>
    <n v="63819"/>
    <n v="0.11"/>
    <n v="5982"/>
    <n v="11"/>
    <s v="Credit Card"/>
    <s v="Low"/>
    <x v="3"/>
    <x v="6"/>
    <n v="2"/>
    <n v="3"/>
    <n v="9.3733841019132236E-2"/>
  </r>
  <r>
    <n v="11295"/>
    <d v="2024-07-18T00:00:00"/>
    <d v="2024-07-20T00:00:00"/>
    <d v="2024-07-22T00:00:00"/>
    <x v="1"/>
    <s v="India"/>
    <s v="Delhi"/>
    <s v="Bangalore"/>
    <x v="2"/>
    <s v="Table"/>
    <s v="Spiral Notebook"/>
    <s v="Corporate"/>
    <n v="12916"/>
    <n v="0.25"/>
    <n v="15586"/>
    <n v="21"/>
    <s v="UPI"/>
    <s v="High"/>
    <x v="3"/>
    <x v="6"/>
    <n v="2"/>
    <n v="4"/>
    <n v="1.2067203468566119"/>
  </r>
  <r>
    <n v="11296"/>
    <d v="2024-07-19T00:00:00"/>
    <d v="2024-07-24T00:00:00"/>
    <d v="2024-07-26T00:00:00"/>
    <x v="0"/>
    <s v="India"/>
    <s v="Telangana"/>
    <s v="Delhi"/>
    <x v="2"/>
    <s v="Table"/>
    <s v="Smartphone"/>
    <s v="Home Office"/>
    <n v="64605"/>
    <n v="0.2"/>
    <n v="-1567"/>
    <n v="16"/>
    <s v="Cash"/>
    <s v="Critical"/>
    <x v="3"/>
    <x v="6"/>
    <n v="5"/>
    <n v="7"/>
    <n v="-2.4255088615432241E-2"/>
  </r>
  <r>
    <n v="11297"/>
    <d v="2024-07-20T00:00:00"/>
    <d v="2024-07-26T00:00:00"/>
    <d v="2024-07-30T00:00:00"/>
    <x v="1"/>
    <s v="India"/>
    <s v="Delhi"/>
    <s v="Bangalore"/>
    <x v="0"/>
    <s v="Printer"/>
    <s v="Laser Printer"/>
    <s v="Home Office"/>
    <n v="58220"/>
    <n v="0.09"/>
    <n v="5740"/>
    <n v="1"/>
    <s v="Cash"/>
    <s v="High"/>
    <x v="3"/>
    <x v="6"/>
    <n v="6"/>
    <n v="10"/>
    <n v="9.8591549295774641E-2"/>
  </r>
  <r>
    <n v="11298"/>
    <d v="2024-07-21T00:00:00"/>
    <d v="2024-07-27T00:00:00"/>
    <d v="2024-07-28T00:00:00"/>
    <x v="2"/>
    <s v="India"/>
    <s v="Maharashtra"/>
    <s v="Kochi"/>
    <x v="0"/>
    <s v="Notebook"/>
    <s v="Gaming Laptop"/>
    <s v="Consumer"/>
    <n v="72258"/>
    <n v="0.02"/>
    <n v="12378"/>
    <n v="15"/>
    <s v="Credit Card"/>
    <s v="Critical"/>
    <x v="3"/>
    <x v="6"/>
    <n v="6"/>
    <n v="7"/>
    <n v="0.17130283152038528"/>
  </r>
  <r>
    <n v="11299"/>
    <d v="2024-07-22T00:00:00"/>
    <d v="2024-07-26T00:00:00"/>
    <d v="2024-07-28T00:00:00"/>
    <x v="2"/>
    <s v="India"/>
    <s v="Kerala"/>
    <s v="Hyderabad"/>
    <x v="1"/>
    <s v="Chair"/>
    <s v="Dining Table"/>
    <s v="Corporate"/>
    <n v="68408"/>
    <n v="0.1"/>
    <n v="11175"/>
    <n v="11"/>
    <s v="Debit Card"/>
    <s v="Low"/>
    <x v="3"/>
    <x v="6"/>
    <n v="4"/>
    <n v="6"/>
    <n v="0.1633580867734768"/>
  </r>
  <r>
    <n v="11300"/>
    <d v="2024-07-23T00:00:00"/>
    <d v="2024-07-25T00:00:00"/>
    <d v="2024-07-28T00:00:00"/>
    <x v="0"/>
    <s v="India"/>
    <s v="Tamil Nadu"/>
    <s v="Kochi"/>
    <x v="1"/>
    <s v="Notebook"/>
    <s v="Office Chair"/>
    <s v="Consumer"/>
    <n v="60168"/>
    <n v="0.24"/>
    <n v="18204"/>
    <n v="8"/>
    <s v="Cash"/>
    <s v="Critical"/>
    <x v="3"/>
    <x v="6"/>
    <n v="2"/>
    <n v="5"/>
    <n v="0.30255285201435977"/>
  </r>
  <r>
    <n v="11301"/>
    <d v="2024-07-24T00:00:00"/>
    <d v="2024-07-28T00:00:00"/>
    <d v="2024-07-30T00:00:00"/>
    <x v="1"/>
    <s v="India"/>
    <s v="Delhi"/>
    <s v="Hyderabad"/>
    <x v="1"/>
    <s v="Laptop"/>
    <s v="Laser Printer"/>
    <s v="Home Office"/>
    <n v="14923"/>
    <n v="0.3"/>
    <n v="1510"/>
    <n v="15"/>
    <s v="Debit Card"/>
    <s v="Medium"/>
    <x v="3"/>
    <x v="6"/>
    <n v="4"/>
    <n v="6"/>
    <n v="0.1011860885880855"/>
  </r>
  <r>
    <n v="11302"/>
    <d v="2024-07-25T00:00:00"/>
    <d v="2024-07-28T00:00:00"/>
    <d v="2024-07-30T00:00:00"/>
    <x v="3"/>
    <s v="India"/>
    <s v="Karnataka"/>
    <s v="Hyderabad"/>
    <x v="2"/>
    <s v="Laptop"/>
    <s v="Spiral Notebook"/>
    <s v="Consumer"/>
    <n v="36156"/>
    <n v="0.3"/>
    <n v="9371"/>
    <n v="2"/>
    <s v="Cash"/>
    <s v="Critical"/>
    <x v="3"/>
    <x v="6"/>
    <n v="3"/>
    <n v="5"/>
    <n v="0.25918243168492089"/>
  </r>
  <r>
    <n v="11303"/>
    <d v="2024-07-26T00:00:00"/>
    <d v="2024-07-28T00:00:00"/>
    <d v="2024-07-29T00:00:00"/>
    <x v="0"/>
    <s v="India"/>
    <s v="Tamil Nadu"/>
    <s v="Mumbai"/>
    <x v="2"/>
    <s v="Laptop"/>
    <s v="Gel Pen"/>
    <s v="Corporate"/>
    <n v="3347"/>
    <n v="7.0000000000000007E-2"/>
    <n v="4597"/>
    <n v="18"/>
    <s v="Debit Card"/>
    <s v="Low"/>
    <x v="3"/>
    <x v="6"/>
    <n v="2"/>
    <n v="3"/>
    <n v="1.3734687780101584"/>
  </r>
  <r>
    <n v="11304"/>
    <d v="2024-07-27T00:00:00"/>
    <d v="2024-08-02T00:00:00"/>
    <d v="2024-08-07T00:00:00"/>
    <x v="1"/>
    <s v="India"/>
    <s v="Maharashtra"/>
    <s v="Chennai"/>
    <x v="1"/>
    <s v="Notebook"/>
    <s v="Gel Pen"/>
    <s v="Home Office"/>
    <n v="47400"/>
    <n v="0.1"/>
    <n v="12135"/>
    <n v="24"/>
    <s v="Credit Card"/>
    <s v="Medium"/>
    <x v="3"/>
    <x v="6"/>
    <n v="6"/>
    <n v="11"/>
    <n v="0.25601265822784808"/>
  </r>
  <r>
    <n v="11305"/>
    <d v="2024-07-28T00:00:00"/>
    <d v="2024-07-31T00:00:00"/>
    <d v="2024-08-03T00:00:00"/>
    <x v="2"/>
    <s v="India"/>
    <s v="Karnataka"/>
    <s v="Mumbai"/>
    <x v="1"/>
    <s v="Table"/>
    <s v="Gel Pen"/>
    <s v="Consumer"/>
    <n v="30837"/>
    <n v="0.13"/>
    <n v="16626"/>
    <n v="14"/>
    <s v="UPI"/>
    <s v="Critical"/>
    <x v="3"/>
    <x v="6"/>
    <n v="3"/>
    <n v="6"/>
    <n v="0.53915750559392939"/>
  </r>
  <r>
    <n v="11306"/>
    <d v="2024-07-29T00:00:00"/>
    <d v="2024-08-03T00:00:00"/>
    <d v="2024-08-05T00:00:00"/>
    <x v="1"/>
    <s v="India"/>
    <s v="Tamil Nadu"/>
    <s v="Kochi"/>
    <x v="1"/>
    <s v="Table"/>
    <s v="Dining Table"/>
    <s v="Home Office"/>
    <n v="36798"/>
    <n v="0.17"/>
    <n v="14949"/>
    <n v="18"/>
    <s v="Net Banking"/>
    <s v="High"/>
    <x v="3"/>
    <x v="6"/>
    <n v="5"/>
    <n v="7"/>
    <n v="0.40624490461438123"/>
  </r>
  <r>
    <n v="11307"/>
    <d v="2024-07-30T00:00:00"/>
    <d v="2024-08-05T00:00:00"/>
    <d v="2024-08-07T00:00:00"/>
    <x v="0"/>
    <s v="India"/>
    <s v="Delhi"/>
    <s v="Delhi"/>
    <x v="1"/>
    <s v="Table"/>
    <s v="Office Chair"/>
    <s v="Consumer"/>
    <n v="11837"/>
    <n v="0.08"/>
    <n v="7398"/>
    <n v="8"/>
    <s v="Credit Card"/>
    <s v="Low"/>
    <x v="3"/>
    <x v="6"/>
    <n v="6"/>
    <n v="8"/>
    <n v="0.62498943989186451"/>
  </r>
  <r>
    <n v="11308"/>
    <d v="2024-07-31T00:00:00"/>
    <d v="2024-08-03T00:00:00"/>
    <d v="2024-08-07T00:00:00"/>
    <x v="0"/>
    <s v="India"/>
    <s v="Maharashtra"/>
    <s v="Bangalore"/>
    <x v="2"/>
    <s v="Printer"/>
    <s v="Gaming Laptop"/>
    <s v="Home Office"/>
    <n v="35642"/>
    <n v="0.36"/>
    <n v="-915"/>
    <n v="10"/>
    <s v="Debit Card"/>
    <s v="High"/>
    <x v="3"/>
    <x v="6"/>
    <n v="3"/>
    <n v="7"/>
    <n v="-2.56719600471354E-2"/>
  </r>
  <r>
    <n v="11309"/>
    <d v="2024-08-01T00:00:00"/>
    <d v="2024-08-08T00:00:00"/>
    <d v="2024-08-11T00:00:00"/>
    <x v="1"/>
    <s v="India"/>
    <s v="Kerala"/>
    <s v="Delhi"/>
    <x v="1"/>
    <s v="Pen"/>
    <s v="Laser Printer"/>
    <s v="Home Office"/>
    <n v="56423"/>
    <n v="0.26"/>
    <n v="15968"/>
    <n v="9"/>
    <s v="Credit Card"/>
    <s v="Medium"/>
    <x v="3"/>
    <x v="7"/>
    <n v="7"/>
    <n v="10"/>
    <n v="0.283005157471244"/>
  </r>
  <r>
    <n v="11310"/>
    <d v="2024-08-02T00:00:00"/>
    <d v="2024-08-08T00:00:00"/>
    <d v="2024-08-12T00:00:00"/>
    <x v="1"/>
    <s v="India"/>
    <s v="Karnataka"/>
    <s v="Chennai"/>
    <x v="2"/>
    <s v="Laptop"/>
    <s v="Laser Printer"/>
    <s v="Consumer"/>
    <n v="73769"/>
    <n v="0.28999999999999998"/>
    <n v="2962"/>
    <n v="22"/>
    <s v="Debit Card"/>
    <s v="High"/>
    <x v="3"/>
    <x v="7"/>
    <n v="6"/>
    <n v="10"/>
    <n v="4.015236752565441E-2"/>
  </r>
  <r>
    <n v="11311"/>
    <d v="2024-08-03T00:00:00"/>
    <d v="2024-08-09T00:00:00"/>
    <d v="2024-08-13T00:00:00"/>
    <x v="3"/>
    <s v="India"/>
    <s v="Delhi"/>
    <s v="Delhi"/>
    <x v="2"/>
    <s v="Mobile"/>
    <s v="Dining Table"/>
    <s v="Home Office"/>
    <n v="21109"/>
    <n v="0.06"/>
    <n v="2950"/>
    <n v="18"/>
    <s v="Cash"/>
    <s v="Medium"/>
    <x v="3"/>
    <x v="7"/>
    <n v="6"/>
    <n v="10"/>
    <n v="0.13975081718698185"/>
  </r>
  <r>
    <n v="11312"/>
    <d v="2024-08-04T00:00:00"/>
    <d v="2024-08-11T00:00:00"/>
    <d v="2024-08-12T00:00:00"/>
    <x v="1"/>
    <s v="India"/>
    <s v="Maharashtra"/>
    <s v="Mumbai"/>
    <x v="2"/>
    <s v="Mobile"/>
    <s v="Office Chair"/>
    <s v="Consumer"/>
    <n v="57612"/>
    <n v="0.06"/>
    <n v="2343"/>
    <n v="12"/>
    <s v="UPI"/>
    <s v="Critical"/>
    <x v="3"/>
    <x v="7"/>
    <n v="7"/>
    <n v="8"/>
    <n v="4.0668610706102892E-2"/>
  </r>
  <r>
    <n v="11313"/>
    <d v="2024-08-05T00:00:00"/>
    <d v="2024-08-12T00:00:00"/>
    <d v="2024-08-15T00:00:00"/>
    <x v="2"/>
    <s v="India"/>
    <s v="Delhi"/>
    <s v="Delhi"/>
    <x v="0"/>
    <s v="Table"/>
    <s v="Laser Printer"/>
    <s v="Consumer"/>
    <n v="64451"/>
    <n v="0.21"/>
    <n v="3728"/>
    <n v="3"/>
    <s v="Credit Card"/>
    <s v="Medium"/>
    <x v="3"/>
    <x v="7"/>
    <n v="7"/>
    <n v="10"/>
    <n v="5.7842391894617616E-2"/>
  </r>
  <r>
    <n v="11314"/>
    <d v="2024-08-06T00:00:00"/>
    <d v="2024-08-08T00:00:00"/>
    <d v="2024-08-11T00:00:00"/>
    <x v="0"/>
    <s v="India"/>
    <s v="Karnataka"/>
    <s v="Delhi"/>
    <x v="1"/>
    <s v="Mobile"/>
    <s v="Dining Table"/>
    <s v="Home Office"/>
    <n v="34612"/>
    <n v="0.23"/>
    <n v="4853"/>
    <n v="3"/>
    <s v="Credit Card"/>
    <s v="High"/>
    <x v="3"/>
    <x v="7"/>
    <n v="2"/>
    <n v="5"/>
    <n v="0.14021148734542932"/>
  </r>
  <r>
    <n v="11315"/>
    <d v="2024-08-07T00:00:00"/>
    <d v="2024-08-12T00:00:00"/>
    <d v="2024-08-15T00:00:00"/>
    <x v="3"/>
    <s v="India"/>
    <s v="Kerala"/>
    <s v="Chennai"/>
    <x v="2"/>
    <s v="Chair"/>
    <s v="Laser Printer"/>
    <s v="Corporate"/>
    <n v="6013"/>
    <n v="0.31"/>
    <n v="11114"/>
    <n v="19"/>
    <s v="Cash"/>
    <s v="Critical"/>
    <x v="3"/>
    <x v="7"/>
    <n v="5"/>
    <n v="8"/>
    <n v="1.8483286213204724"/>
  </r>
  <r>
    <n v="11316"/>
    <d v="2024-08-08T00:00:00"/>
    <d v="2024-08-11T00:00:00"/>
    <d v="2024-08-12T00:00:00"/>
    <x v="1"/>
    <s v="India"/>
    <s v="Karnataka"/>
    <s v="Bangalore"/>
    <x v="2"/>
    <s v="Laptop"/>
    <s v="Spiral Notebook"/>
    <s v="Consumer"/>
    <n v="38532"/>
    <n v="0.05"/>
    <n v="11849"/>
    <n v="22"/>
    <s v="Credit Card"/>
    <s v="High"/>
    <x v="3"/>
    <x v="7"/>
    <n v="3"/>
    <n v="4"/>
    <n v="0.30751064050659194"/>
  </r>
  <r>
    <n v="11317"/>
    <d v="2024-08-09T00:00:00"/>
    <d v="2024-08-12T00:00:00"/>
    <d v="2024-08-15T00:00:00"/>
    <x v="1"/>
    <s v="India"/>
    <s v="Karnataka"/>
    <s v="Hyderabad"/>
    <x v="1"/>
    <s v="Notebook"/>
    <s v="Smartphone"/>
    <s v="Consumer"/>
    <n v="45764"/>
    <n v="0.15"/>
    <n v="18576"/>
    <n v="1"/>
    <s v="Credit Card"/>
    <s v="Low"/>
    <x v="3"/>
    <x v="7"/>
    <n v="3"/>
    <n v="6"/>
    <n v="0.40590857442531247"/>
  </r>
  <r>
    <n v="11318"/>
    <d v="2024-08-10T00:00:00"/>
    <d v="2024-08-17T00:00:00"/>
    <d v="2024-08-22T00:00:00"/>
    <x v="0"/>
    <s v="India"/>
    <s v="Maharashtra"/>
    <s v="Chennai"/>
    <x v="0"/>
    <s v="Pen"/>
    <s v="Smartphone"/>
    <s v="Home Office"/>
    <n v="41383"/>
    <n v="0.28000000000000003"/>
    <n v="6844"/>
    <n v="7"/>
    <s v="Net Banking"/>
    <s v="High"/>
    <x v="3"/>
    <x v="7"/>
    <n v="7"/>
    <n v="12"/>
    <n v="0.16538192011212333"/>
  </r>
  <r>
    <n v="11319"/>
    <d v="2024-08-11T00:00:00"/>
    <d v="2024-08-14T00:00:00"/>
    <d v="2024-08-15T00:00:00"/>
    <x v="0"/>
    <s v="India"/>
    <s v="Tamil Nadu"/>
    <s v="Mumbai"/>
    <x v="2"/>
    <s v="Printer"/>
    <s v="Smartphone"/>
    <s v="Corporate"/>
    <n v="19626"/>
    <n v="0.35"/>
    <n v="19154"/>
    <n v="15"/>
    <s v="Net Banking"/>
    <s v="High"/>
    <x v="3"/>
    <x v="7"/>
    <n v="3"/>
    <n v="4"/>
    <n v="0.97595027004993373"/>
  </r>
  <r>
    <n v="11320"/>
    <d v="2024-08-12T00:00:00"/>
    <d v="2024-08-17T00:00:00"/>
    <d v="2024-08-18T00:00:00"/>
    <x v="1"/>
    <s v="India"/>
    <s v="Karnataka"/>
    <s v="Kochi"/>
    <x v="0"/>
    <s v="Notebook"/>
    <s v="Gaming Laptop"/>
    <s v="Consumer"/>
    <n v="36787"/>
    <n v="0.24"/>
    <n v="3451"/>
    <n v="3"/>
    <s v="UPI"/>
    <s v="Low"/>
    <x v="3"/>
    <x v="7"/>
    <n v="5"/>
    <n v="6"/>
    <n v="9.3810313425938513E-2"/>
  </r>
  <r>
    <n v="11321"/>
    <d v="2024-08-13T00:00:00"/>
    <d v="2024-08-15T00:00:00"/>
    <d v="2024-08-17T00:00:00"/>
    <x v="3"/>
    <s v="India"/>
    <s v="Tamil Nadu"/>
    <s v="Bangalore"/>
    <x v="2"/>
    <s v="Printer"/>
    <s v="Gel Pen"/>
    <s v="Home Office"/>
    <n v="64474"/>
    <n v="0.09"/>
    <n v="9574"/>
    <n v="9"/>
    <s v="Cash"/>
    <s v="Low"/>
    <x v="3"/>
    <x v="7"/>
    <n v="2"/>
    <n v="4"/>
    <n v="0.14849396656016378"/>
  </r>
  <r>
    <n v="11322"/>
    <d v="2024-08-14T00:00:00"/>
    <d v="2024-08-17T00:00:00"/>
    <d v="2024-08-20T00:00:00"/>
    <x v="2"/>
    <s v="India"/>
    <s v="Telangana"/>
    <s v="Bangalore"/>
    <x v="2"/>
    <s v="Chair"/>
    <s v="Spiral Notebook"/>
    <s v="Consumer"/>
    <n v="67915"/>
    <n v="0.04"/>
    <n v="3902"/>
    <n v="10"/>
    <s v="Cash"/>
    <s v="Medium"/>
    <x v="3"/>
    <x v="7"/>
    <n v="3"/>
    <n v="6"/>
    <n v="5.7454170654494589E-2"/>
  </r>
  <r>
    <n v="11323"/>
    <d v="2024-08-15T00:00:00"/>
    <d v="2024-08-20T00:00:00"/>
    <d v="2024-08-21T00:00:00"/>
    <x v="2"/>
    <s v="India"/>
    <s v="Maharashtra"/>
    <s v="Mumbai"/>
    <x v="0"/>
    <s v="Table"/>
    <s v="Smartphone"/>
    <s v="Home Office"/>
    <n v="24845"/>
    <n v="0.27"/>
    <n v="18563"/>
    <n v="24"/>
    <s v="Net Banking"/>
    <s v="Critical"/>
    <x v="3"/>
    <x v="7"/>
    <n v="5"/>
    <n v="6"/>
    <n v="0.747152344536124"/>
  </r>
  <r>
    <n v="11324"/>
    <d v="2024-08-16T00:00:00"/>
    <d v="2024-08-20T00:00:00"/>
    <d v="2024-08-22T00:00:00"/>
    <x v="2"/>
    <s v="India"/>
    <s v="Kerala"/>
    <s v="Mumbai"/>
    <x v="0"/>
    <s v="Notebook"/>
    <s v="Laser Printer"/>
    <s v="Consumer"/>
    <n v="2051"/>
    <n v="0.16"/>
    <n v="7432"/>
    <n v="9"/>
    <s v="Cash"/>
    <s v="Critical"/>
    <x v="3"/>
    <x v="7"/>
    <n v="4"/>
    <n v="6"/>
    <n v="3.6235982447586541"/>
  </r>
  <r>
    <n v="11325"/>
    <d v="2024-08-17T00:00:00"/>
    <d v="2024-08-22T00:00:00"/>
    <d v="2024-08-25T00:00:00"/>
    <x v="1"/>
    <s v="India"/>
    <s v="Kerala"/>
    <s v="Mumbai"/>
    <x v="0"/>
    <s v="Chair"/>
    <s v="Laser Printer"/>
    <s v="Consumer"/>
    <n v="24909"/>
    <n v="0.15"/>
    <n v="16908"/>
    <n v="12"/>
    <s v="UPI"/>
    <s v="Critical"/>
    <x v="3"/>
    <x v="7"/>
    <n v="5"/>
    <n v="8"/>
    <n v="0.67879079850656387"/>
  </r>
  <r>
    <n v="11326"/>
    <d v="2024-08-18T00:00:00"/>
    <d v="2024-08-21T00:00:00"/>
    <d v="2024-08-25T00:00:00"/>
    <x v="2"/>
    <s v="India"/>
    <s v="Maharashtra"/>
    <s v="Delhi"/>
    <x v="1"/>
    <s v="Laptop"/>
    <s v="Laser Printer"/>
    <s v="Home Office"/>
    <n v="40722"/>
    <n v="0.17"/>
    <n v="-1521"/>
    <n v="8"/>
    <s v="Credit Card"/>
    <s v="High"/>
    <x v="3"/>
    <x v="7"/>
    <n v="3"/>
    <n v="7"/>
    <n v="-3.735081773979667E-2"/>
  </r>
  <r>
    <n v="11327"/>
    <d v="2024-08-19T00:00:00"/>
    <d v="2024-08-24T00:00:00"/>
    <d v="2024-08-26T00:00:00"/>
    <x v="3"/>
    <s v="India"/>
    <s v="Delhi"/>
    <s v="Mumbai"/>
    <x v="0"/>
    <s v="Laptop"/>
    <s v="Smartphone"/>
    <s v="Consumer"/>
    <n v="28601"/>
    <n v="0.15"/>
    <n v="-207"/>
    <n v="5"/>
    <s v="Debit Card"/>
    <s v="Low"/>
    <x v="3"/>
    <x v="7"/>
    <n v="5"/>
    <n v="7"/>
    <n v="-7.2375091780007691E-3"/>
  </r>
  <r>
    <n v="11328"/>
    <d v="2024-08-20T00:00:00"/>
    <d v="2024-08-27T00:00:00"/>
    <d v="2024-08-31T00:00:00"/>
    <x v="1"/>
    <s v="India"/>
    <s v="Kerala"/>
    <s v="Bangalore"/>
    <x v="2"/>
    <s v="Chair"/>
    <s v="Office Chair"/>
    <s v="Consumer"/>
    <n v="60804"/>
    <n v="0.32"/>
    <n v="15282"/>
    <n v="3"/>
    <s v="Net Banking"/>
    <s v="High"/>
    <x v="3"/>
    <x v="7"/>
    <n v="7"/>
    <n v="11"/>
    <n v="0.25133214920071045"/>
  </r>
  <r>
    <n v="11329"/>
    <d v="2024-08-21T00:00:00"/>
    <d v="2024-08-25T00:00:00"/>
    <d v="2024-08-29T00:00:00"/>
    <x v="2"/>
    <s v="India"/>
    <s v="Kerala"/>
    <s v="Chennai"/>
    <x v="2"/>
    <s v="Pen"/>
    <s v="Smartphone"/>
    <s v="Home Office"/>
    <n v="25538"/>
    <n v="0.02"/>
    <n v="16265"/>
    <n v="8"/>
    <s v="Debit Card"/>
    <s v="Critical"/>
    <x v="3"/>
    <x v="7"/>
    <n v="4"/>
    <n v="8"/>
    <n v="0.63689404025373952"/>
  </r>
  <r>
    <n v="11330"/>
    <d v="2024-08-22T00:00:00"/>
    <d v="2024-08-24T00:00:00"/>
    <d v="2024-08-25T00:00:00"/>
    <x v="1"/>
    <s v="India"/>
    <s v="Delhi"/>
    <s v="Kochi"/>
    <x v="2"/>
    <s v="Chair"/>
    <s v="Gaming Laptop"/>
    <s v="Consumer"/>
    <n v="67251"/>
    <n v="0.28999999999999998"/>
    <n v="19069"/>
    <n v="19"/>
    <s v="UPI"/>
    <s v="Critical"/>
    <x v="3"/>
    <x v="7"/>
    <n v="2"/>
    <n v="3"/>
    <n v="0.28354968699350197"/>
  </r>
  <r>
    <n v="11331"/>
    <d v="2024-08-23T00:00:00"/>
    <d v="2024-08-25T00:00:00"/>
    <d v="2024-08-27T00:00:00"/>
    <x v="0"/>
    <s v="India"/>
    <s v="Telangana"/>
    <s v="Bangalore"/>
    <x v="1"/>
    <s v="Printer"/>
    <s v="Gaming Laptop"/>
    <s v="Home Office"/>
    <n v="48543"/>
    <n v="0.09"/>
    <n v="8110"/>
    <n v="13"/>
    <s v="Cash"/>
    <s v="Low"/>
    <x v="3"/>
    <x v="7"/>
    <n v="2"/>
    <n v="4"/>
    <n v="0.16706837237088767"/>
  </r>
  <r>
    <n v="11332"/>
    <d v="2024-08-24T00:00:00"/>
    <d v="2024-08-28T00:00:00"/>
    <d v="2024-09-02T00:00:00"/>
    <x v="1"/>
    <s v="India"/>
    <s v="Kerala"/>
    <s v="Chennai"/>
    <x v="0"/>
    <s v="Notebook"/>
    <s v="Gel Pen"/>
    <s v="Home Office"/>
    <n v="13332"/>
    <n v="0.36"/>
    <n v="13964"/>
    <n v="9"/>
    <s v="Net Banking"/>
    <s v="Low"/>
    <x v="3"/>
    <x v="7"/>
    <n v="4"/>
    <n v="9"/>
    <n v="1.0474047404740474"/>
  </r>
  <r>
    <n v="11333"/>
    <d v="2024-08-25T00:00:00"/>
    <d v="2024-08-30T00:00:00"/>
    <d v="2024-09-01T00:00:00"/>
    <x v="3"/>
    <s v="India"/>
    <s v="Telangana"/>
    <s v="Chennai"/>
    <x v="2"/>
    <s v="Laptop"/>
    <s v="Gel Pen"/>
    <s v="Corporate"/>
    <n v="30285"/>
    <n v="0.05"/>
    <n v="19884"/>
    <n v="5"/>
    <s v="UPI"/>
    <s v="Medium"/>
    <x v="3"/>
    <x v="7"/>
    <n v="5"/>
    <n v="7"/>
    <n v="0.65656265477959386"/>
  </r>
  <r>
    <n v="11334"/>
    <d v="2024-08-26T00:00:00"/>
    <d v="2024-09-02T00:00:00"/>
    <d v="2024-09-03T00:00:00"/>
    <x v="2"/>
    <s v="India"/>
    <s v="Maharashtra"/>
    <s v="Mumbai"/>
    <x v="1"/>
    <s v="Laptop"/>
    <s v="Smartphone"/>
    <s v="Corporate"/>
    <n v="49732"/>
    <n v="0.38"/>
    <n v="9785"/>
    <n v="7"/>
    <s v="UPI"/>
    <s v="Critical"/>
    <x v="3"/>
    <x v="7"/>
    <n v="7"/>
    <n v="8"/>
    <n v="0.19675460468109066"/>
  </r>
  <r>
    <n v="11335"/>
    <d v="2024-08-27T00:00:00"/>
    <d v="2024-08-30T00:00:00"/>
    <d v="2024-09-04T00:00:00"/>
    <x v="2"/>
    <s v="India"/>
    <s v="Maharashtra"/>
    <s v="Kochi"/>
    <x v="1"/>
    <s v="Printer"/>
    <s v="Smartphone"/>
    <s v="Consumer"/>
    <n v="68319"/>
    <n v="0.33"/>
    <n v="3183"/>
    <n v="1"/>
    <s v="Debit Card"/>
    <s v="Critical"/>
    <x v="3"/>
    <x v="7"/>
    <n v="3"/>
    <n v="8"/>
    <n v="4.6590260396083077E-2"/>
  </r>
  <r>
    <n v="11336"/>
    <d v="2024-08-28T00:00:00"/>
    <d v="2024-08-31T00:00:00"/>
    <d v="2024-09-03T00:00:00"/>
    <x v="0"/>
    <s v="India"/>
    <s v="Telangana"/>
    <s v="Chennai"/>
    <x v="1"/>
    <s v="Table"/>
    <s v="Dining Table"/>
    <s v="Corporate"/>
    <n v="74352"/>
    <n v="7.0000000000000007E-2"/>
    <n v="8702"/>
    <n v="17"/>
    <s v="UPI"/>
    <s v="Critical"/>
    <x v="3"/>
    <x v="7"/>
    <n v="3"/>
    <n v="6"/>
    <n v="0.11703787389713793"/>
  </r>
  <r>
    <n v="11337"/>
    <d v="2024-08-29T00:00:00"/>
    <d v="2024-09-04T00:00:00"/>
    <d v="2024-09-06T00:00:00"/>
    <x v="1"/>
    <s v="India"/>
    <s v="Delhi"/>
    <s v="Mumbai"/>
    <x v="2"/>
    <s v="Printer"/>
    <s v="Dining Table"/>
    <s v="Consumer"/>
    <n v="44565"/>
    <n v="0.02"/>
    <n v="15039"/>
    <n v="5"/>
    <s v="Credit Card"/>
    <s v="Medium"/>
    <x v="3"/>
    <x v="7"/>
    <n v="6"/>
    <n v="8"/>
    <n v="0.33746213396162911"/>
  </r>
  <r>
    <n v="11338"/>
    <d v="2024-08-30T00:00:00"/>
    <d v="2024-09-02T00:00:00"/>
    <d v="2024-09-06T00:00:00"/>
    <x v="2"/>
    <s v="India"/>
    <s v="Tamil Nadu"/>
    <s v="Mumbai"/>
    <x v="0"/>
    <s v="Mobile"/>
    <s v="Gel Pen"/>
    <s v="Home Office"/>
    <n v="19053"/>
    <n v="0.4"/>
    <n v="8267"/>
    <n v="16"/>
    <s v="UPI"/>
    <s v="Low"/>
    <x v="3"/>
    <x v="7"/>
    <n v="3"/>
    <n v="7"/>
    <n v="0.43389492468377683"/>
  </r>
  <r>
    <n v="11339"/>
    <d v="2024-08-31T00:00:00"/>
    <d v="2024-09-05T00:00:00"/>
    <d v="2024-09-06T00:00:00"/>
    <x v="1"/>
    <s v="India"/>
    <s v="Delhi"/>
    <s v="Mumbai"/>
    <x v="1"/>
    <s v="Mobile"/>
    <s v="Dining Table"/>
    <s v="Consumer"/>
    <n v="5234"/>
    <n v="0.39"/>
    <n v="11022"/>
    <n v="9"/>
    <s v="Net Banking"/>
    <s v="High"/>
    <x v="3"/>
    <x v="7"/>
    <n v="5"/>
    <n v="6"/>
    <n v="2.1058463889950323"/>
  </r>
  <r>
    <n v="11340"/>
    <d v="2024-09-01T00:00:00"/>
    <d v="2024-09-08T00:00:00"/>
    <d v="2024-09-11T00:00:00"/>
    <x v="3"/>
    <s v="India"/>
    <s v="Maharashtra"/>
    <s v="Delhi"/>
    <x v="0"/>
    <s v="Chair"/>
    <s v="Spiral Notebook"/>
    <s v="Consumer"/>
    <n v="60617"/>
    <n v="7.0000000000000007E-2"/>
    <n v="16738"/>
    <n v="11"/>
    <s v="Cash"/>
    <s v="Critical"/>
    <x v="3"/>
    <x v="8"/>
    <n v="7"/>
    <n v="10"/>
    <n v="0.27612715904779189"/>
  </r>
  <r>
    <n v="11341"/>
    <d v="2024-09-02T00:00:00"/>
    <d v="2024-09-09T00:00:00"/>
    <d v="2024-09-11T00:00:00"/>
    <x v="2"/>
    <s v="India"/>
    <s v="Kerala"/>
    <s v="Delhi"/>
    <x v="2"/>
    <s v="Table"/>
    <s v="Spiral Notebook"/>
    <s v="Home Office"/>
    <n v="34327"/>
    <n v="0.23"/>
    <n v="11857"/>
    <n v="5"/>
    <s v="Debit Card"/>
    <s v="High"/>
    <x v="3"/>
    <x v="8"/>
    <n v="7"/>
    <n v="9"/>
    <n v="0.34541323156698811"/>
  </r>
  <r>
    <n v="11342"/>
    <d v="2024-09-03T00:00:00"/>
    <d v="2024-09-09T00:00:00"/>
    <d v="2024-09-11T00:00:00"/>
    <x v="0"/>
    <s v="India"/>
    <s v="Delhi"/>
    <s v="Hyderabad"/>
    <x v="0"/>
    <s v="Laptop"/>
    <s v="Gaming Laptop"/>
    <s v="Consumer"/>
    <n v="23870"/>
    <n v="0.17"/>
    <n v="13286"/>
    <n v="5"/>
    <s v="UPI"/>
    <s v="High"/>
    <x v="3"/>
    <x v="8"/>
    <n v="6"/>
    <n v="8"/>
    <n v="0.55659824046920825"/>
  </r>
  <r>
    <n v="11343"/>
    <d v="2024-09-04T00:00:00"/>
    <d v="2024-09-10T00:00:00"/>
    <d v="2024-09-15T00:00:00"/>
    <x v="0"/>
    <s v="India"/>
    <s v="Karnataka"/>
    <s v="Kochi"/>
    <x v="2"/>
    <s v="Printer"/>
    <s v="Office Chair"/>
    <s v="Consumer"/>
    <n v="49451"/>
    <n v="0.1"/>
    <n v="-1134"/>
    <n v="15"/>
    <s v="UPI"/>
    <s v="Medium"/>
    <x v="3"/>
    <x v="8"/>
    <n v="6"/>
    <n v="11"/>
    <n v="-2.2931791065903623E-2"/>
  </r>
  <r>
    <n v="11344"/>
    <d v="2024-09-05T00:00:00"/>
    <d v="2024-09-08T00:00:00"/>
    <d v="2024-09-11T00:00:00"/>
    <x v="3"/>
    <s v="India"/>
    <s v="Tamil Nadu"/>
    <s v="Mumbai"/>
    <x v="1"/>
    <s v="Chair"/>
    <s v="Office Chair"/>
    <s v="Corporate"/>
    <n v="18557"/>
    <n v="0.25"/>
    <n v="6610"/>
    <n v="19"/>
    <s v="UPI"/>
    <s v="High"/>
    <x v="3"/>
    <x v="8"/>
    <n v="3"/>
    <n v="6"/>
    <n v="0.35619981678072965"/>
  </r>
  <r>
    <n v="11345"/>
    <d v="2024-09-06T00:00:00"/>
    <d v="2024-09-12T00:00:00"/>
    <d v="2024-09-16T00:00:00"/>
    <x v="0"/>
    <s v="India"/>
    <s v="Tamil Nadu"/>
    <s v="Mumbai"/>
    <x v="0"/>
    <s v="Notebook"/>
    <s v="Laser Printer"/>
    <s v="Consumer"/>
    <n v="74842"/>
    <n v="0.36"/>
    <n v="-865"/>
    <n v="16"/>
    <s v="Debit Card"/>
    <s v="High"/>
    <x v="3"/>
    <x v="8"/>
    <n v="6"/>
    <n v="10"/>
    <n v="-1.1557681515726463E-2"/>
  </r>
  <r>
    <n v="11346"/>
    <d v="2024-09-07T00:00:00"/>
    <d v="2024-09-12T00:00:00"/>
    <d v="2024-09-16T00:00:00"/>
    <x v="2"/>
    <s v="India"/>
    <s v="Kerala"/>
    <s v="Bangalore"/>
    <x v="2"/>
    <s v="Table"/>
    <s v="Gel Pen"/>
    <s v="Consumer"/>
    <n v="48234"/>
    <n v="0.3"/>
    <n v="12032"/>
    <n v="2"/>
    <s v="Cash"/>
    <s v="Medium"/>
    <x v="3"/>
    <x v="8"/>
    <n v="5"/>
    <n v="9"/>
    <n v="0.24945059501596384"/>
  </r>
  <r>
    <n v="11347"/>
    <d v="2024-09-08T00:00:00"/>
    <d v="2024-09-12T00:00:00"/>
    <d v="2024-09-15T00:00:00"/>
    <x v="3"/>
    <s v="India"/>
    <s v="Kerala"/>
    <s v="Chennai"/>
    <x v="2"/>
    <s v="Notebook"/>
    <s v="Gaming Laptop"/>
    <s v="Consumer"/>
    <n v="6142"/>
    <n v="0.09"/>
    <n v="-1516"/>
    <n v="16"/>
    <s v="Debit Card"/>
    <s v="Low"/>
    <x v="3"/>
    <x v="8"/>
    <n v="4"/>
    <n v="7"/>
    <n v="-0.24682513839140346"/>
  </r>
  <r>
    <n v="11348"/>
    <d v="2024-09-09T00:00:00"/>
    <d v="2024-09-13T00:00:00"/>
    <d v="2024-09-15T00:00:00"/>
    <x v="3"/>
    <s v="India"/>
    <s v="Telangana"/>
    <s v="Chennai"/>
    <x v="1"/>
    <s v="Notebook"/>
    <s v="Gel Pen"/>
    <s v="Corporate"/>
    <n v="71786"/>
    <n v="0.23"/>
    <n v="2761"/>
    <n v="22"/>
    <s v="Credit Card"/>
    <s v="Critical"/>
    <x v="3"/>
    <x v="8"/>
    <n v="4"/>
    <n v="6"/>
    <n v="3.8461538461538464E-2"/>
  </r>
  <r>
    <n v="11349"/>
    <d v="2024-09-10T00:00:00"/>
    <d v="2024-09-15T00:00:00"/>
    <d v="2024-09-17T00:00:00"/>
    <x v="2"/>
    <s v="India"/>
    <s v="Delhi"/>
    <s v="Hyderabad"/>
    <x v="2"/>
    <s v="Table"/>
    <s v="Laser Printer"/>
    <s v="Consumer"/>
    <n v="58066"/>
    <n v="0.06"/>
    <n v="95"/>
    <n v="12"/>
    <s v="UPI"/>
    <s v="Low"/>
    <x v="3"/>
    <x v="8"/>
    <n v="5"/>
    <n v="7"/>
    <n v="1.6360693004512108E-3"/>
  </r>
  <r>
    <n v="11350"/>
    <d v="2024-09-11T00:00:00"/>
    <d v="2024-09-14T00:00:00"/>
    <d v="2024-09-18T00:00:00"/>
    <x v="0"/>
    <s v="India"/>
    <s v="Kerala"/>
    <s v="Delhi"/>
    <x v="1"/>
    <s v="Pen"/>
    <s v="Spiral Notebook"/>
    <s v="Consumer"/>
    <n v="5086"/>
    <n v="7.0000000000000007E-2"/>
    <n v="15340"/>
    <n v="11"/>
    <s v="Cash"/>
    <s v="Critical"/>
    <x v="3"/>
    <x v="8"/>
    <n v="3"/>
    <n v="7"/>
    <n v="3.0161226897365316"/>
  </r>
  <r>
    <n v="11351"/>
    <d v="2024-09-12T00:00:00"/>
    <d v="2024-09-15T00:00:00"/>
    <d v="2024-09-19T00:00:00"/>
    <x v="3"/>
    <s v="India"/>
    <s v="Maharashtra"/>
    <s v="Chennai"/>
    <x v="0"/>
    <s v="Chair"/>
    <s v="Gaming Laptop"/>
    <s v="Corporate"/>
    <n v="45561"/>
    <n v="0.38"/>
    <n v="8158"/>
    <n v="13"/>
    <s v="Credit Card"/>
    <s v="Critical"/>
    <x v="3"/>
    <x v="8"/>
    <n v="3"/>
    <n v="7"/>
    <n v="0.17905664932727552"/>
  </r>
  <r>
    <n v="11352"/>
    <d v="2024-09-13T00:00:00"/>
    <d v="2024-09-18T00:00:00"/>
    <d v="2024-09-23T00:00:00"/>
    <x v="0"/>
    <s v="India"/>
    <s v="Kerala"/>
    <s v="Delhi"/>
    <x v="1"/>
    <s v="Mobile"/>
    <s v="Spiral Notebook"/>
    <s v="Corporate"/>
    <n v="9117"/>
    <n v="0.04"/>
    <n v="-117"/>
    <n v="10"/>
    <s v="Cash"/>
    <s v="Low"/>
    <x v="3"/>
    <x v="8"/>
    <n v="5"/>
    <n v="10"/>
    <n v="-1.2833168805528134E-2"/>
  </r>
  <r>
    <n v="11353"/>
    <d v="2024-09-14T00:00:00"/>
    <d v="2024-09-20T00:00:00"/>
    <d v="2024-09-24T00:00:00"/>
    <x v="2"/>
    <s v="India"/>
    <s v="Tamil Nadu"/>
    <s v="Chennai"/>
    <x v="0"/>
    <s v="Chair"/>
    <s v="Office Chair"/>
    <s v="Home Office"/>
    <n v="30704"/>
    <n v="0"/>
    <n v="12331"/>
    <n v="4"/>
    <s v="Debit Card"/>
    <s v="High"/>
    <x v="3"/>
    <x v="8"/>
    <n v="6"/>
    <n v="10"/>
    <n v="0.40160891089108913"/>
  </r>
  <r>
    <n v="11354"/>
    <d v="2024-09-15T00:00:00"/>
    <d v="2024-09-18T00:00:00"/>
    <d v="2024-09-19T00:00:00"/>
    <x v="2"/>
    <s v="India"/>
    <s v="Telangana"/>
    <s v="Mumbai"/>
    <x v="1"/>
    <s v="Laptop"/>
    <s v="Spiral Notebook"/>
    <s v="Home Office"/>
    <n v="60928"/>
    <n v="0.08"/>
    <n v="2403"/>
    <n v="11"/>
    <s v="Credit Card"/>
    <s v="Low"/>
    <x v="3"/>
    <x v="8"/>
    <n v="3"/>
    <n v="4"/>
    <n v="3.9439994747899158E-2"/>
  </r>
  <r>
    <n v="11355"/>
    <d v="2024-09-16T00:00:00"/>
    <d v="2024-09-21T00:00:00"/>
    <d v="2024-09-24T00:00:00"/>
    <x v="2"/>
    <s v="India"/>
    <s v="Kerala"/>
    <s v="Chennai"/>
    <x v="1"/>
    <s v="Notebook"/>
    <s v="Gel Pen"/>
    <s v="Corporate"/>
    <n v="37499"/>
    <n v="0.13"/>
    <n v="8417"/>
    <n v="21"/>
    <s v="UPI"/>
    <s v="Medium"/>
    <x v="3"/>
    <x v="8"/>
    <n v="5"/>
    <n v="8"/>
    <n v="0.22445931891517107"/>
  </r>
  <r>
    <n v="11356"/>
    <d v="2024-09-17T00:00:00"/>
    <d v="2024-09-24T00:00:00"/>
    <d v="2024-09-27T00:00:00"/>
    <x v="0"/>
    <s v="India"/>
    <s v="Kerala"/>
    <s v="Mumbai"/>
    <x v="0"/>
    <s v="Pen"/>
    <s v="Gaming Laptop"/>
    <s v="Consumer"/>
    <n v="45469"/>
    <n v="0.17"/>
    <n v="9310"/>
    <n v="8"/>
    <s v="Debit Card"/>
    <s v="Critical"/>
    <x v="3"/>
    <x v="8"/>
    <n v="7"/>
    <n v="10"/>
    <n v="0.20475488794563329"/>
  </r>
  <r>
    <n v="11357"/>
    <d v="2024-09-18T00:00:00"/>
    <d v="2024-09-22T00:00:00"/>
    <d v="2024-09-24T00:00:00"/>
    <x v="3"/>
    <s v="India"/>
    <s v="Delhi"/>
    <s v="Hyderabad"/>
    <x v="1"/>
    <s v="Chair"/>
    <s v="Gaming Laptop"/>
    <s v="Consumer"/>
    <n v="52568"/>
    <n v="0.3"/>
    <n v="-834"/>
    <n v="20"/>
    <s v="Cash"/>
    <s v="High"/>
    <x v="3"/>
    <x v="8"/>
    <n v="4"/>
    <n v="6"/>
    <n v="-1.5865165119464314E-2"/>
  </r>
  <r>
    <n v="11358"/>
    <d v="2024-09-19T00:00:00"/>
    <d v="2024-09-23T00:00:00"/>
    <d v="2024-09-27T00:00:00"/>
    <x v="1"/>
    <s v="India"/>
    <s v="Tamil Nadu"/>
    <s v="Chennai"/>
    <x v="1"/>
    <s v="Chair"/>
    <s v="Office Chair"/>
    <s v="Corporate"/>
    <n v="53548"/>
    <n v="0.27"/>
    <n v="5729"/>
    <n v="24"/>
    <s v="Credit Card"/>
    <s v="Medium"/>
    <x v="3"/>
    <x v="8"/>
    <n v="4"/>
    <n v="8"/>
    <n v="0.10698812280570703"/>
  </r>
  <r>
    <n v="11359"/>
    <d v="2024-09-20T00:00:00"/>
    <d v="2024-09-25T00:00:00"/>
    <d v="2024-09-27T00:00:00"/>
    <x v="2"/>
    <s v="India"/>
    <s v="Telangana"/>
    <s v="Kochi"/>
    <x v="0"/>
    <s v="Pen"/>
    <s v="Spiral Notebook"/>
    <s v="Corporate"/>
    <n v="58000"/>
    <n v="0.02"/>
    <n v="6517"/>
    <n v="12"/>
    <s v="UPI"/>
    <s v="Medium"/>
    <x v="3"/>
    <x v="8"/>
    <n v="5"/>
    <n v="7"/>
    <n v="0.11236206896551724"/>
  </r>
  <r>
    <n v="11360"/>
    <d v="2024-09-21T00:00:00"/>
    <d v="2024-09-27T00:00:00"/>
    <d v="2024-09-28T00:00:00"/>
    <x v="1"/>
    <s v="India"/>
    <s v="Delhi"/>
    <s v="Mumbai"/>
    <x v="0"/>
    <s v="Pen"/>
    <s v="Gel Pen"/>
    <s v="Home Office"/>
    <n v="55994"/>
    <n v="0.13"/>
    <n v="1619"/>
    <n v="9"/>
    <s v="Cash"/>
    <s v="Medium"/>
    <x v="3"/>
    <x v="8"/>
    <n v="6"/>
    <n v="7"/>
    <n v="2.8913812194163661E-2"/>
  </r>
  <r>
    <n v="11361"/>
    <d v="2024-09-22T00:00:00"/>
    <d v="2024-09-26T00:00:00"/>
    <d v="2024-09-28T00:00:00"/>
    <x v="1"/>
    <s v="India"/>
    <s v="Maharashtra"/>
    <s v="Chennai"/>
    <x v="1"/>
    <s v="Mobile"/>
    <s v="Office Chair"/>
    <s v="Home Office"/>
    <n v="38544"/>
    <n v="0.2"/>
    <n v="19880"/>
    <n v="24"/>
    <s v="Credit Card"/>
    <s v="Low"/>
    <x v="3"/>
    <x v="8"/>
    <n v="4"/>
    <n v="6"/>
    <n v="0.51577418015774179"/>
  </r>
  <r>
    <n v="11362"/>
    <d v="2024-09-23T00:00:00"/>
    <d v="2024-09-28T00:00:00"/>
    <d v="2024-10-01T00:00:00"/>
    <x v="0"/>
    <s v="India"/>
    <s v="Tamil Nadu"/>
    <s v="Hyderabad"/>
    <x v="1"/>
    <s v="Pen"/>
    <s v="Gaming Laptop"/>
    <s v="Consumer"/>
    <n v="70679"/>
    <n v="0.23"/>
    <n v="7412"/>
    <n v="22"/>
    <s v="Credit Card"/>
    <s v="Low"/>
    <x v="3"/>
    <x v="8"/>
    <n v="5"/>
    <n v="8"/>
    <n v="0.10486848993336069"/>
  </r>
  <r>
    <n v="11363"/>
    <d v="2024-09-24T00:00:00"/>
    <d v="2024-10-01T00:00:00"/>
    <d v="2024-10-02T00:00:00"/>
    <x v="0"/>
    <s v="India"/>
    <s v="Karnataka"/>
    <s v="Mumbai"/>
    <x v="2"/>
    <s v="Mobile"/>
    <s v="Gaming Laptop"/>
    <s v="Consumer"/>
    <n v="72499"/>
    <n v="0.09"/>
    <n v="-1015"/>
    <n v="15"/>
    <s v="Debit Card"/>
    <s v="Medium"/>
    <x v="3"/>
    <x v="8"/>
    <n v="7"/>
    <n v="8"/>
    <n v="-1.4000193106111808E-2"/>
  </r>
  <r>
    <n v="11364"/>
    <d v="2024-09-25T00:00:00"/>
    <d v="2024-10-01T00:00:00"/>
    <d v="2024-10-05T00:00:00"/>
    <x v="1"/>
    <s v="India"/>
    <s v="Maharashtra"/>
    <s v="Hyderabad"/>
    <x v="0"/>
    <s v="Table"/>
    <s v="Dining Table"/>
    <s v="Consumer"/>
    <n v="20809"/>
    <n v="0.19"/>
    <n v="14237"/>
    <n v="21"/>
    <s v="Cash"/>
    <s v="Medium"/>
    <x v="3"/>
    <x v="8"/>
    <n v="6"/>
    <n v="10"/>
    <n v="0.68417511653611418"/>
  </r>
  <r>
    <n v="11365"/>
    <d v="2024-09-26T00:00:00"/>
    <d v="2024-10-03T00:00:00"/>
    <d v="2024-10-08T00:00:00"/>
    <x v="0"/>
    <s v="India"/>
    <s v="Maharashtra"/>
    <s v="Kochi"/>
    <x v="1"/>
    <s v="Laptop"/>
    <s v="Smartphone"/>
    <s v="Consumer"/>
    <n v="64876"/>
    <n v="0.31"/>
    <n v="13373"/>
    <n v="5"/>
    <s v="Credit Card"/>
    <s v="Medium"/>
    <x v="3"/>
    <x v="8"/>
    <n v="7"/>
    <n v="12"/>
    <n v="0.20613169739194773"/>
  </r>
  <r>
    <n v="11366"/>
    <d v="2024-09-27T00:00:00"/>
    <d v="2024-10-02T00:00:00"/>
    <d v="2024-10-05T00:00:00"/>
    <x v="3"/>
    <s v="India"/>
    <s v="Delhi"/>
    <s v="Kochi"/>
    <x v="2"/>
    <s v="Printer"/>
    <s v="Gaming Laptop"/>
    <s v="Consumer"/>
    <n v="21981"/>
    <n v="0.3"/>
    <n v="7044"/>
    <n v="15"/>
    <s v="UPI"/>
    <s v="Medium"/>
    <x v="3"/>
    <x v="8"/>
    <n v="5"/>
    <n v="8"/>
    <n v="0.3204585778626996"/>
  </r>
  <r>
    <n v="11367"/>
    <d v="2024-09-28T00:00:00"/>
    <d v="2024-10-02T00:00:00"/>
    <d v="2024-10-03T00:00:00"/>
    <x v="1"/>
    <s v="India"/>
    <s v="Tamil Nadu"/>
    <s v="Kochi"/>
    <x v="1"/>
    <s v="Mobile"/>
    <s v="Office Chair"/>
    <s v="Home Office"/>
    <n v="13051"/>
    <n v="0.04"/>
    <n v="18271"/>
    <n v="16"/>
    <s v="Net Banking"/>
    <s v="Low"/>
    <x v="3"/>
    <x v="8"/>
    <n v="4"/>
    <n v="5"/>
    <n v="1.3999693510075857"/>
  </r>
  <r>
    <n v="11368"/>
    <d v="2024-09-29T00:00:00"/>
    <d v="2024-10-03T00:00:00"/>
    <d v="2024-10-07T00:00:00"/>
    <x v="0"/>
    <s v="India"/>
    <s v="Delhi"/>
    <s v="Mumbai"/>
    <x v="1"/>
    <s v="Table"/>
    <s v="Spiral Notebook"/>
    <s v="Corporate"/>
    <n v="29278"/>
    <n v="0.14000000000000001"/>
    <n v="8269"/>
    <n v="1"/>
    <s v="Net Banking"/>
    <s v="Medium"/>
    <x v="3"/>
    <x v="8"/>
    <n v="4"/>
    <n v="8"/>
    <n v="0.2824304938861944"/>
  </r>
  <r>
    <n v="11369"/>
    <d v="2024-09-30T00:00:00"/>
    <d v="2024-10-06T00:00:00"/>
    <d v="2024-10-08T00:00:00"/>
    <x v="1"/>
    <s v="India"/>
    <s v="Karnataka"/>
    <s v="Delhi"/>
    <x v="1"/>
    <s v="Notebook"/>
    <s v="Smartphone"/>
    <s v="Home Office"/>
    <n v="14401"/>
    <n v="0.27"/>
    <n v="19770"/>
    <n v="7"/>
    <s v="Net Banking"/>
    <s v="Low"/>
    <x v="3"/>
    <x v="8"/>
    <n v="6"/>
    <n v="8"/>
    <n v="1.3728213318519547"/>
  </r>
  <r>
    <n v="11370"/>
    <d v="2024-10-01T00:00:00"/>
    <d v="2024-10-08T00:00:00"/>
    <d v="2024-10-12T00:00:00"/>
    <x v="1"/>
    <s v="India"/>
    <s v="Maharashtra"/>
    <s v="Bangalore"/>
    <x v="0"/>
    <s v="Mobile"/>
    <s v="Dining Table"/>
    <s v="Home Office"/>
    <n v="19651"/>
    <n v="0.38"/>
    <n v="2155"/>
    <n v="7"/>
    <s v="UPI"/>
    <s v="Critical"/>
    <x v="3"/>
    <x v="9"/>
    <n v="7"/>
    <n v="11"/>
    <n v="0.10966363034960053"/>
  </r>
  <r>
    <n v="11371"/>
    <d v="2024-10-02T00:00:00"/>
    <d v="2024-10-04T00:00:00"/>
    <d v="2024-10-08T00:00:00"/>
    <x v="3"/>
    <s v="India"/>
    <s v="Tamil Nadu"/>
    <s v="Hyderabad"/>
    <x v="1"/>
    <s v="Pen"/>
    <s v="Office Chair"/>
    <s v="Corporate"/>
    <n v="15955"/>
    <n v="7.0000000000000007E-2"/>
    <n v="1246"/>
    <n v="14"/>
    <s v="Credit Card"/>
    <s v="Critical"/>
    <x v="3"/>
    <x v="9"/>
    <n v="2"/>
    <n v="6"/>
    <n v="7.8094641178314009E-2"/>
  </r>
  <r>
    <n v="11372"/>
    <d v="2024-10-03T00:00:00"/>
    <d v="2024-10-08T00:00:00"/>
    <d v="2024-10-12T00:00:00"/>
    <x v="0"/>
    <s v="India"/>
    <s v="Maharashtra"/>
    <s v="Mumbai"/>
    <x v="1"/>
    <s v="Notebook"/>
    <s v="Office Chair"/>
    <s v="Consumer"/>
    <n v="10124"/>
    <n v="0.15"/>
    <n v="15702"/>
    <n v="11"/>
    <s v="UPI"/>
    <s v="Medium"/>
    <x v="3"/>
    <x v="9"/>
    <n v="5"/>
    <n v="9"/>
    <n v="1.5509679968391941"/>
  </r>
  <r>
    <n v="11373"/>
    <d v="2024-10-04T00:00:00"/>
    <d v="2024-10-08T00:00:00"/>
    <d v="2024-10-09T00:00:00"/>
    <x v="2"/>
    <s v="India"/>
    <s v="Delhi"/>
    <s v="Chennai"/>
    <x v="1"/>
    <s v="Mobile"/>
    <s v="Smartphone"/>
    <s v="Corporate"/>
    <n v="33296"/>
    <n v="7.0000000000000007E-2"/>
    <n v="6181"/>
    <n v="8"/>
    <s v="UPI"/>
    <s v="Medium"/>
    <x v="3"/>
    <x v="9"/>
    <n v="4"/>
    <n v="5"/>
    <n v="0.18563791446419992"/>
  </r>
  <r>
    <n v="11374"/>
    <d v="2024-10-05T00:00:00"/>
    <d v="2024-10-11T00:00:00"/>
    <d v="2024-10-14T00:00:00"/>
    <x v="2"/>
    <s v="India"/>
    <s v="Karnataka"/>
    <s v="Hyderabad"/>
    <x v="2"/>
    <s v="Laptop"/>
    <s v="Dining Table"/>
    <s v="Consumer"/>
    <n v="34455"/>
    <n v="0.3"/>
    <n v="16108"/>
    <n v="7"/>
    <s v="Net Banking"/>
    <s v="High"/>
    <x v="3"/>
    <x v="9"/>
    <n v="6"/>
    <n v="9"/>
    <n v="0.46750834421709475"/>
  </r>
  <r>
    <n v="11375"/>
    <d v="2024-10-06T00:00:00"/>
    <d v="2024-10-09T00:00:00"/>
    <d v="2024-10-12T00:00:00"/>
    <x v="1"/>
    <s v="India"/>
    <s v="Kerala"/>
    <s v="Kochi"/>
    <x v="0"/>
    <s v="Laptop"/>
    <s v="Spiral Notebook"/>
    <s v="Corporate"/>
    <n v="59816"/>
    <n v="0.37"/>
    <n v="10461"/>
    <n v="9"/>
    <s v="Cash"/>
    <s v="Low"/>
    <x v="3"/>
    <x v="9"/>
    <n v="3"/>
    <n v="6"/>
    <n v="0.17488631804199545"/>
  </r>
  <r>
    <n v="11376"/>
    <d v="2024-10-07T00:00:00"/>
    <d v="2024-10-09T00:00:00"/>
    <d v="2024-10-10T00:00:00"/>
    <x v="3"/>
    <s v="India"/>
    <s v="Delhi"/>
    <s v="Kochi"/>
    <x v="2"/>
    <s v="Notebook"/>
    <s v="Gel Pen"/>
    <s v="Consumer"/>
    <n v="57168"/>
    <n v="0.32"/>
    <n v="18450"/>
    <n v="1"/>
    <s v="Cash"/>
    <s v="Low"/>
    <x v="3"/>
    <x v="9"/>
    <n v="2"/>
    <n v="3"/>
    <n v="0.32273299748110829"/>
  </r>
  <r>
    <n v="11377"/>
    <d v="2024-10-08T00:00:00"/>
    <d v="2024-10-13T00:00:00"/>
    <d v="2024-10-14T00:00:00"/>
    <x v="2"/>
    <s v="India"/>
    <s v="Karnataka"/>
    <s v="Mumbai"/>
    <x v="1"/>
    <s v="Mobile"/>
    <s v="Spiral Notebook"/>
    <s v="Home Office"/>
    <n v="15683"/>
    <n v="0.11"/>
    <n v="16733"/>
    <n v="15"/>
    <s v="Credit Card"/>
    <s v="Low"/>
    <x v="3"/>
    <x v="9"/>
    <n v="5"/>
    <n v="6"/>
    <n v="1.0669514761206402"/>
  </r>
  <r>
    <n v="11378"/>
    <d v="2024-10-09T00:00:00"/>
    <d v="2024-10-16T00:00:00"/>
    <d v="2024-10-19T00:00:00"/>
    <x v="2"/>
    <s v="India"/>
    <s v="Delhi"/>
    <s v="Mumbai"/>
    <x v="1"/>
    <s v="Printer"/>
    <s v="Gel Pen"/>
    <s v="Corporate"/>
    <n v="72717"/>
    <n v="0.27"/>
    <n v="10294"/>
    <n v="17"/>
    <s v="Credit Card"/>
    <s v="High"/>
    <x v="3"/>
    <x v="9"/>
    <n v="7"/>
    <n v="10"/>
    <n v="0.14156249570251797"/>
  </r>
  <r>
    <n v="11379"/>
    <d v="2024-10-10T00:00:00"/>
    <d v="2024-10-17T00:00:00"/>
    <d v="2024-10-19T00:00:00"/>
    <x v="0"/>
    <s v="India"/>
    <s v="Kerala"/>
    <s v="Kochi"/>
    <x v="2"/>
    <s v="Printer"/>
    <s v="Office Chair"/>
    <s v="Consumer"/>
    <n v="56613"/>
    <n v="0.01"/>
    <n v="19757"/>
    <n v="18"/>
    <s v="UPI"/>
    <s v="Low"/>
    <x v="3"/>
    <x v="9"/>
    <n v="7"/>
    <n v="9"/>
    <n v="0.34898344903114126"/>
  </r>
  <r>
    <n v="11380"/>
    <d v="2024-10-11T00:00:00"/>
    <d v="2024-10-17T00:00:00"/>
    <d v="2024-10-21T00:00:00"/>
    <x v="3"/>
    <s v="India"/>
    <s v="Telangana"/>
    <s v="Hyderabad"/>
    <x v="0"/>
    <s v="Laptop"/>
    <s v="Smartphone"/>
    <s v="Corporate"/>
    <n v="52007"/>
    <n v="0.39"/>
    <n v="8520"/>
    <n v="11"/>
    <s v="UPI"/>
    <s v="High"/>
    <x v="3"/>
    <x v="9"/>
    <n v="6"/>
    <n v="10"/>
    <n v="0.16382410060184205"/>
  </r>
  <r>
    <n v="11381"/>
    <d v="2024-10-12T00:00:00"/>
    <d v="2024-10-18T00:00:00"/>
    <d v="2024-10-19T00:00:00"/>
    <x v="0"/>
    <s v="India"/>
    <s v="Kerala"/>
    <s v="Kochi"/>
    <x v="1"/>
    <s v="Printer"/>
    <s v="Dining Table"/>
    <s v="Home Office"/>
    <n v="51307"/>
    <n v="0.08"/>
    <n v="6593"/>
    <n v="20"/>
    <s v="Cash"/>
    <s v="Critical"/>
    <x v="3"/>
    <x v="9"/>
    <n v="6"/>
    <n v="7"/>
    <n v="0.12850098427115209"/>
  </r>
  <r>
    <n v="11382"/>
    <d v="2024-10-13T00:00:00"/>
    <d v="2024-10-15T00:00:00"/>
    <d v="2024-10-18T00:00:00"/>
    <x v="3"/>
    <s v="India"/>
    <s v="Kerala"/>
    <s v="Hyderabad"/>
    <x v="2"/>
    <s v="Laptop"/>
    <s v="Smartphone"/>
    <s v="Corporate"/>
    <n v="29850"/>
    <n v="0.31"/>
    <n v="9155"/>
    <n v="22"/>
    <s v="Net Banking"/>
    <s v="High"/>
    <x v="3"/>
    <x v="9"/>
    <n v="2"/>
    <n v="5"/>
    <n v="0.3067001675041876"/>
  </r>
  <r>
    <n v="11383"/>
    <d v="2024-10-14T00:00:00"/>
    <d v="2024-10-18T00:00:00"/>
    <d v="2024-10-22T00:00:00"/>
    <x v="2"/>
    <s v="India"/>
    <s v="Maharashtra"/>
    <s v="Delhi"/>
    <x v="1"/>
    <s v="Notebook"/>
    <s v="Laser Printer"/>
    <s v="Home Office"/>
    <n v="8185"/>
    <n v="0.26"/>
    <n v="-1631"/>
    <n v="18"/>
    <s v="Net Banking"/>
    <s v="Critical"/>
    <x v="3"/>
    <x v="9"/>
    <n v="4"/>
    <n v="8"/>
    <n v="-0.19926695174098963"/>
  </r>
  <r>
    <n v="11384"/>
    <d v="2024-10-15T00:00:00"/>
    <d v="2024-10-22T00:00:00"/>
    <d v="2024-10-27T00:00:00"/>
    <x v="1"/>
    <s v="India"/>
    <s v="Karnataka"/>
    <s v="Hyderabad"/>
    <x v="0"/>
    <s v="Chair"/>
    <s v="Laser Printer"/>
    <s v="Corporate"/>
    <n v="5486"/>
    <n v="0.1"/>
    <n v="768"/>
    <n v="14"/>
    <s v="UPI"/>
    <s v="High"/>
    <x v="3"/>
    <x v="9"/>
    <n v="7"/>
    <n v="12"/>
    <n v="0.13999270871308786"/>
  </r>
  <r>
    <n v="11385"/>
    <d v="2024-10-16T00:00:00"/>
    <d v="2024-10-21T00:00:00"/>
    <d v="2024-10-22T00:00:00"/>
    <x v="2"/>
    <s v="India"/>
    <s v="Delhi"/>
    <s v="Delhi"/>
    <x v="0"/>
    <s v="Notebook"/>
    <s v="Laser Printer"/>
    <s v="Corporate"/>
    <n v="15018"/>
    <n v="0.24"/>
    <n v="18534"/>
    <n v="7"/>
    <s v="Net Banking"/>
    <s v="Medium"/>
    <x v="3"/>
    <x v="9"/>
    <n v="5"/>
    <n v="6"/>
    <n v="1.2341190571314422"/>
  </r>
  <r>
    <n v="11386"/>
    <d v="2024-10-17T00:00:00"/>
    <d v="2024-10-23T00:00:00"/>
    <d v="2024-10-26T00:00:00"/>
    <x v="3"/>
    <s v="India"/>
    <s v="Karnataka"/>
    <s v="Delhi"/>
    <x v="2"/>
    <s v="Laptop"/>
    <s v="Office Chair"/>
    <s v="Home Office"/>
    <n v="21446"/>
    <n v="0.27"/>
    <n v="10394"/>
    <n v="2"/>
    <s v="UPI"/>
    <s v="High"/>
    <x v="3"/>
    <x v="9"/>
    <n v="6"/>
    <n v="9"/>
    <n v="0.48465914389629766"/>
  </r>
  <r>
    <n v="11387"/>
    <d v="2024-10-18T00:00:00"/>
    <d v="2024-10-23T00:00:00"/>
    <d v="2024-10-25T00:00:00"/>
    <x v="0"/>
    <s v="India"/>
    <s v="Delhi"/>
    <s v="Hyderabad"/>
    <x v="1"/>
    <s v="Pen"/>
    <s v="Spiral Notebook"/>
    <s v="Home Office"/>
    <n v="47076"/>
    <n v="0.28999999999999998"/>
    <n v="15782"/>
    <n v="3"/>
    <s v="Net Banking"/>
    <s v="Critical"/>
    <x v="3"/>
    <x v="9"/>
    <n v="5"/>
    <n v="7"/>
    <n v="0.3352451355255332"/>
  </r>
  <r>
    <n v="11388"/>
    <d v="2024-10-19T00:00:00"/>
    <d v="2024-10-22T00:00:00"/>
    <d v="2024-10-24T00:00:00"/>
    <x v="0"/>
    <s v="India"/>
    <s v="Maharashtra"/>
    <s v="Bangalore"/>
    <x v="2"/>
    <s v="Table"/>
    <s v="Laser Printer"/>
    <s v="Home Office"/>
    <n v="10640"/>
    <n v="0.11"/>
    <n v="18749"/>
    <n v="3"/>
    <s v="UPI"/>
    <s v="Low"/>
    <x v="3"/>
    <x v="9"/>
    <n v="3"/>
    <n v="5"/>
    <n v="1.762124060150376"/>
  </r>
  <r>
    <n v="11389"/>
    <d v="2024-10-20T00:00:00"/>
    <d v="2024-10-27T00:00:00"/>
    <d v="2024-10-29T00:00:00"/>
    <x v="1"/>
    <s v="India"/>
    <s v="Tamil Nadu"/>
    <s v="Chennai"/>
    <x v="0"/>
    <s v="Laptop"/>
    <s v="Office Chair"/>
    <s v="Corporate"/>
    <n v="67939"/>
    <n v="0.37"/>
    <n v="15682"/>
    <n v="13"/>
    <s v="Debit Card"/>
    <s v="Critical"/>
    <x v="3"/>
    <x v="9"/>
    <n v="7"/>
    <n v="9"/>
    <n v="0.23082471040197824"/>
  </r>
  <r>
    <n v="11390"/>
    <d v="2024-10-21T00:00:00"/>
    <d v="2024-10-25T00:00:00"/>
    <d v="2024-10-29T00:00:00"/>
    <x v="0"/>
    <s v="India"/>
    <s v="Telangana"/>
    <s v="Mumbai"/>
    <x v="2"/>
    <s v="Notebook"/>
    <s v="Dining Table"/>
    <s v="Corporate"/>
    <n v="66663"/>
    <n v="0.36"/>
    <n v="8229"/>
    <n v="12"/>
    <s v="Credit Card"/>
    <s v="High"/>
    <x v="3"/>
    <x v="9"/>
    <n v="4"/>
    <n v="8"/>
    <n v="0.12344178929841142"/>
  </r>
  <r>
    <n v="11391"/>
    <d v="2024-10-22T00:00:00"/>
    <d v="2024-10-26T00:00:00"/>
    <d v="2024-10-31T00:00:00"/>
    <x v="2"/>
    <s v="India"/>
    <s v="Telangana"/>
    <s v="Mumbai"/>
    <x v="2"/>
    <s v="Chair"/>
    <s v="Dining Table"/>
    <s v="Home Office"/>
    <n v="18925"/>
    <n v="0.12"/>
    <n v="-1993"/>
    <n v="10"/>
    <s v="Net Banking"/>
    <s v="Critical"/>
    <x v="3"/>
    <x v="9"/>
    <n v="4"/>
    <n v="9"/>
    <n v="-0.10531043593130779"/>
  </r>
  <r>
    <n v="11392"/>
    <d v="2024-10-23T00:00:00"/>
    <d v="2024-10-30T00:00:00"/>
    <d v="2024-11-01T00:00:00"/>
    <x v="3"/>
    <s v="India"/>
    <s v="Kerala"/>
    <s v="Kochi"/>
    <x v="2"/>
    <s v="Printer"/>
    <s v="Dining Table"/>
    <s v="Home Office"/>
    <n v="44458"/>
    <n v="0.02"/>
    <n v="5860"/>
    <n v="4"/>
    <s v="UPI"/>
    <s v="Low"/>
    <x v="3"/>
    <x v="9"/>
    <n v="7"/>
    <n v="9"/>
    <n v="0.13180979801160647"/>
  </r>
  <r>
    <n v="11393"/>
    <d v="2024-10-24T00:00:00"/>
    <d v="2024-10-31T00:00:00"/>
    <d v="2024-11-04T00:00:00"/>
    <x v="0"/>
    <s v="India"/>
    <s v="Telangana"/>
    <s v="Chennai"/>
    <x v="0"/>
    <s v="Notebook"/>
    <s v="Gel Pen"/>
    <s v="Home Office"/>
    <n v="35837"/>
    <n v="0.31"/>
    <n v="-1854"/>
    <n v="6"/>
    <s v="Credit Card"/>
    <s v="High"/>
    <x v="3"/>
    <x v="9"/>
    <n v="7"/>
    <n v="11"/>
    <n v="-5.1734241147417474E-2"/>
  </r>
  <r>
    <n v="11394"/>
    <d v="2024-10-25T00:00:00"/>
    <d v="2024-10-28T00:00:00"/>
    <d v="2024-11-02T00:00:00"/>
    <x v="3"/>
    <s v="India"/>
    <s v="Telangana"/>
    <s v="Kochi"/>
    <x v="0"/>
    <s v="Notebook"/>
    <s v="Spiral Notebook"/>
    <s v="Home Office"/>
    <n v="49932"/>
    <n v="0.17"/>
    <n v="14182"/>
    <n v="6"/>
    <s v="UPI"/>
    <s v="Medium"/>
    <x v="3"/>
    <x v="9"/>
    <n v="3"/>
    <n v="8"/>
    <n v="0.28402627573499961"/>
  </r>
  <r>
    <n v="11395"/>
    <d v="2024-10-26T00:00:00"/>
    <d v="2024-10-31T00:00:00"/>
    <d v="2024-11-03T00:00:00"/>
    <x v="0"/>
    <s v="India"/>
    <s v="Tamil Nadu"/>
    <s v="Kochi"/>
    <x v="0"/>
    <s v="Pen"/>
    <s v="Office Chair"/>
    <s v="Corporate"/>
    <n v="53307"/>
    <n v="0.38"/>
    <n v="-345"/>
    <n v="8"/>
    <s v="UPI"/>
    <s v="Low"/>
    <x v="3"/>
    <x v="9"/>
    <n v="5"/>
    <n v="8"/>
    <n v="-6.471945523102032E-3"/>
  </r>
  <r>
    <n v="11396"/>
    <d v="2024-10-27T00:00:00"/>
    <d v="2024-10-30T00:00:00"/>
    <d v="2024-10-31T00:00:00"/>
    <x v="0"/>
    <s v="India"/>
    <s v="Karnataka"/>
    <s v="Chennai"/>
    <x v="1"/>
    <s v="Chair"/>
    <s v="Gaming Laptop"/>
    <s v="Home Office"/>
    <n v="53312"/>
    <n v="0.13"/>
    <n v="-1347"/>
    <n v="20"/>
    <s v="Debit Card"/>
    <s v="Low"/>
    <x v="3"/>
    <x v="9"/>
    <n v="3"/>
    <n v="4"/>
    <n v="-2.5266356542617045E-2"/>
  </r>
  <r>
    <n v="11397"/>
    <d v="2024-10-28T00:00:00"/>
    <d v="2024-10-31T00:00:00"/>
    <d v="2024-11-05T00:00:00"/>
    <x v="3"/>
    <s v="India"/>
    <s v="Delhi"/>
    <s v="Bangalore"/>
    <x v="1"/>
    <s v="Mobile"/>
    <s v="Spiral Notebook"/>
    <s v="Corporate"/>
    <n v="34367"/>
    <n v="0.05"/>
    <n v="8432"/>
    <n v="16"/>
    <s v="Cash"/>
    <s v="Low"/>
    <x v="3"/>
    <x v="9"/>
    <n v="3"/>
    <n v="8"/>
    <n v="0.24535164547385574"/>
  </r>
  <r>
    <n v="11398"/>
    <d v="2024-10-29T00:00:00"/>
    <d v="2024-10-31T00:00:00"/>
    <d v="2024-11-02T00:00:00"/>
    <x v="2"/>
    <s v="India"/>
    <s v="Delhi"/>
    <s v="Chennai"/>
    <x v="0"/>
    <s v="Pen"/>
    <s v="Office Chair"/>
    <s v="Consumer"/>
    <n v="10089"/>
    <n v="0.14000000000000001"/>
    <n v="18261"/>
    <n v="8"/>
    <s v="Cash"/>
    <s v="Low"/>
    <x v="3"/>
    <x v="9"/>
    <n v="2"/>
    <n v="4"/>
    <n v="1.8099910793933986"/>
  </r>
  <r>
    <n v="11399"/>
    <d v="2024-10-30T00:00:00"/>
    <d v="2024-11-01T00:00:00"/>
    <d v="2024-11-05T00:00:00"/>
    <x v="3"/>
    <s v="India"/>
    <s v="Karnataka"/>
    <s v="Mumbai"/>
    <x v="0"/>
    <s v="Mobile"/>
    <s v="Dining Table"/>
    <s v="Corporate"/>
    <n v="23950"/>
    <n v="0.02"/>
    <n v="16943"/>
    <n v="10"/>
    <s v="Cash"/>
    <s v="Medium"/>
    <x v="3"/>
    <x v="9"/>
    <n v="2"/>
    <n v="6"/>
    <n v="0.70743215031315243"/>
  </r>
  <r>
    <n v="11400"/>
    <d v="2024-10-31T00:00:00"/>
    <d v="2024-11-05T00:00:00"/>
    <d v="2024-11-07T00:00:00"/>
    <x v="1"/>
    <s v="India"/>
    <s v="Telangana"/>
    <s v="Chennai"/>
    <x v="2"/>
    <s v="Table"/>
    <s v="Gel Pen"/>
    <s v="Consumer"/>
    <n v="14649"/>
    <n v="0.28000000000000003"/>
    <n v="19713"/>
    <n v="14"/>
    <s v="Debit Card"/>
    <s v="Medium"/>
    <x v="3"/>
    <x v="9"/>
    <n v="5"/>
    <n v="7"/>
    <n v="1.3456891255375794"/>
  </r>
  <r>
    <n v="11401"/>
    <d v="2024-11-01T00:00:00"/>
    <d v="2024-11-05T00:00:00"/>
    <d v="2024-11-10T00:00:00"/>
    <x v="3"/>
    <s v="India"/>
    <s v="Maharashtra"/>
    <s v="Delhi"/>
    <x v="1"/>
    <s v="Table"/>
    <s v="Office Chair"/>
    <s v="Corporate"/>
    <n v="54106"/>
    <n v="0.17"/>
    <n v="16718"/>
    <n v="15"/>
    <s v="Net Banking"/>
    <s v="High"/>
    <x v="3"/>
    <x v="10"/>
    <n v="4"/>
    <n v="9"/>
    <n v="0.30898606439211918"/>
  </r>
  <r>
    <n v="11402"/>
    <d v="2024-11-02T00:00:00"/>
    <d v="2024-11-04T00:00:00"/>
    <d v="2024-11-06T00:00:00"/>
    <x v="0"/>
    <s v="India"/>
    <s v="Kerala"/>
    <s v="Chennai"/>
    <x v="0"/>
    <s v="Pen"/>
    <s v="Laser Printer"/>
    <s v="Home Office"/>
    <n v="26747"/>
    <n v="0.04"/>
    <n v="19666"/>
    <n v="3"/>
    <s v="UPI"/>
    <s v="Medium"/>
    <x v="3"/>
    <x v="10"/>
    <n v="2"/>
    <n v="4"/>
    <n v="0.73526002916214905"/>
  </r>
  <r>
    <n v="11403"/>
    <d v="2024-11-03T00:00:00"/>
    <d v="2024-11-08T00:00:00"/>
    <d v="2024-11-09T00:00:00"/>
    <x v="3"/>
    <s v="India"/>
    <s v="Karnataka"/>
    <s v="Delhi"/>
    <x v="2"/>
    <s v="Table"/>
    <s v="Gaming Laptop"/>
    <s v="Home Office"/>
    <n v="54491"/>
    <n v="0.08"/>
    <n v="4064"/>
    <n v="1"/>
    <s v="Cash"/>
    <s v="Low"/>
    <x v="3"/>
    <x v="10"/>
    <n v="5"/>
    <n v="6"/>
    <n v="7.4581123488282469E-2"/>
  </r>
  <r>
    <n v="11404"/>
    <d v="2024-11-04T00:00:00"/>
    <d v="2024-11-10T00:00:00"/>
    <d v="2024-11-15T00:00:00"/>
    <x v="1"/>
    <s v="India"/>
    <s v="Telangana"/>
    <s v="Delhi"/>
    <x v="0"/>
    <s v="Mobile"/>
    <s v="Dining Table"/>
    <s v="Home Office"/>
    <n v="6249"/>
    <n v="0.16"/>
    <n v="16334"/>
    <n v="9"/>
    <s v="Cash"/>
    <s v="Low"/>
    <x v="3"/>
    <x v="10"/>
    <n v="6"/>
    <n v="11"/>
    <n v="2.6138582173147702"/>
  </r>
  <r>
    <n v="11405"/>
    <d v="2024-11-05T00:00:00"/>
    <d v="2024-11-10T00:00:00"/>
    <d v="2024-11-15T00:00:00"/>
    <x v="2"/>
    <s v="India"/>
    <s v="Telangana"/>
    <s v="Hyderabad"/>
    <x v="1"/>
    <s v="Chair"/>
    <s v="Gel Pen"/>
    <s v="Consumer"/>
    <n v="70294"/>
    <n v="0.03"/>
    <n v="18830"/>
    <n v="8"/>
    <s v="Net Banking"/>
    <s v="Critical"/>
    <x v="3"/>
    <x v="10"/>
    <n v="5"/>
    <n v="10"/>
    <n v="0.26787492531368251"/>
  </r>
  <r>
    <n v="11406"/>
    <d v="2024-11-06T00:00:00"/>
    <d v="2024-11-09T00:00:00"/>
    <d v="2024-11-10T00:00:00"/>
    <x v="0"/>
    <s v="India"/>
    <s v="Maharashtra"/>
    <s v="Mumbai"/>
    <x v="2"/>
    <s v="Notebook"/>
    <s v="Smartphone"/>
    <s v="Consumer"/>
    <n v="10214"/>
    <n v="0.31"/>
    <n v="-1581"/>
    <n v="6"/>
    <s v="Debit Card"/>
    <s v="High"/>
    <x v="3"/>
    <x v="10"/>
    <n v="3"/>
    <n v="4"/>
    <n v="-0.15478754650479734"/>
  </r>
  <r>
    <n v="11407"/>
    <d v="2024-11-07T00:00:00"/>
    <d v="2024-11-10T00:00:00"/>
    <d v="2024-11-13T00:00:00"/>
    <x v="1"/>
    <s v="India"/>
    <s v="Telangana"/>
    <s v="Delhi"/>
    <x v="0"/>
    <s v="Table"/>
    <s v="Dining Table"/>
    <s v="Consumer"/>
    <n v="18609"/>
    <n v="0.06"/>
    <n v="9628"/>
    <n v="5"/>
    <s v="Net Banking"/>
    <s v="Critical"/>
    <x v="3"/>
    <x v="10"/>
    <n v="3"/>
    <n v="6"/>
    <n v="0.5173840614756301"/>
  </r>
  <r>
    <n v="11408"/>
    <d v="2024-11-08T00:00:00"/>
    <d v="2024-11-11T00:00:00"/>
    <d v="2024-11-16T00:00:00"/>
    <x v="1"/>
    <s v="India"/>
    <s v="Karnataka"/>
    <s v="Mumbai"/>
    <x v="1"/>
    <s v="Notebook"/>
    <s v="Dining Table"/>
    <s v="Corporate"/>
    <n v="46301"/>
    <n v="0.13"/>
    <n v="2541"/>
    <n v="23"/>
    <s v="Cash"/>
    <s v="Critical"/>
    <x v="3"/>
    <x v="10"/>
    <n v="3"/>
    <n v="8"/>
    <n v="5.488002418954234E-2"/>
  </r>
  <r>
    <n v="11409"/>
    <d v="2024-11-09T00:00:00"/>
    <d v="2024-11-15T00:00:00"/>
    <d v="2024-11-19T00:00:00"/>
    <x v="0"/>
    <s v="India"/>
    <s v="Kerala"/>
    <s v="Bangalore"/>
    <x v="2"/>
    <s v="Chair"/>
    <s v="Smartphone"/>
    <s v="Consumer"/>
    <n v="28871"/>
    <n v="0"/>
    <n v="6935"/>
    <n v="18"/>
    <s v="Cash"/>
    <s v="Critical"/>
    <x v="3"/>
    <x v="10"/>
    <n v="6"/>
    <n v="10"/>
    <n v="0.24020643552353574"/>
  </r>
  <r>
    <n v="11410"/>
    <d v="2024-11-10T00:00:00"/>
    <d v="2024-11-16T00:00:00"/>
    <d v="2024-11-18T00:00:00"/>
    <x v="1"/>
    <s v="India"/>
    <s v="Delhi"/>
    <s v="Mumbai"/>
    <x v="1"/>
    <s v="Printer"/>
    <s v="Gaming Laptop"/>
    <s v="Corporate"/>
    <n v="46850"/>
    <n v="0.04"/>
    <n v="569"/>
    <n v="1"/>
    <s v="Cash"/>
    <s v="Low"/>
    <x v="3"/>
    <x v="10"/>
    <n v="6"/>
    <n v="8"/>
    <n v="1.2145144076840982E-2"/>
  </r>
  <r>
    <n v="11411"/>
    <d v="2024-11-11T00:00:00"/>
    <d v="2024-11-13T00:00:00"/>
    <d v="2024-11-18T00:00:00"/>
    <x v="2"/>
    <s v="India"/>
    <s v="Delhi"/>
    <s v="Bangalore"/>
    <x v="1"/>
    <s v="Printer"/>
    <s v="Dining Table"/>
    <s v="Home Office"/>
    <n v="66847"/>
    <n v="0.18"/>
    <n v="7196"/>
    <n v="8"/>
    <s v="UPI"/>
    <s v="Low"/>
    <x v="3"/>
    <x v="10"/>
    <n v="2"/>
    <n v="7"/>
    <n v="0.10764880996903377"/>
  </r>
  <r>
    <n v="11412"/>
    <d v="2024-11-12T00:00:00"/>
    <d v="2024-11-17T00:00:00"/>
    <d v="2024-11-20T00:00:00"/>
    <x v="2"/>
    <s v="India"/>
    <s v="Telangana"/>
    <s v="Bangalore"/>
    <x v="2"/>
    <s v="Table"/>
    <s v="Laser Printer"/>
    <s v="Corporate"/>
    <n v="69604"/>
    <n v="0.23"/>
    <n v="4562"/>
    <n v="8"/>
    <s v="Net Banking"/>
    <s v="Medium"/>
    <x v="3"/>
    <x v="10"/>
    <n v="5"/>
    <n v="8"/>
    <n v="6.554221021780357E-2"/>
  </r>
  <r>
    <n v="11413"/>
    <d v="2024-11-13T00:00:00"/>
    <d v="2024-11-16T00:00:00"/>
    <d v="2024-11-17T00:00:00"/>
    <x v="3"/>
    <s v="India"/>
    <s v="Kerala"/>
    <s v="Delhi"/>
    <x v="0"/>
    <s v="Mobile"/>
    <s v="Office Chair"/>
    <s v="Home Office"/>
    <n v="57373"/>
    <n v="0.26"/>
    <n v="-1668"/>
    <n v="5"/>
    <s v="Cash"/>
    <s v="Critical"/>
    <x v="3"/>
    <x v="10"/>
    <n v="3"/>
    <n v="4"/>
    <n v="-2.9072908859568088E-2"/>
  </r>
  <r>
    <n v="11414"/>
    <d v="2024-11-14T00:00:00"/>
    <d v="2024-11-18T00:00:00"/>
    <d v="2024-11-23T00:00:00"/>
    <x v="2"/>
    <s v="India"/>
    <s v="Delhi"/>
    <s v="Mumbai"/>
    <x v="0"/>
    <s v="Notebook"/>
    <s v="Gel Pen"/>
    <s v="Corporate"/>
    <n v="64404"/>
    <n v="0.21"/>
    <n v="6561"/>
    <n v="2"/>
    <s v="UPI"/>
    <s v="Critical"/>
    <x v="3"/>
    <x v="10"/>
    <n v="4"/>
    <n v="9"/>
    <n v="0.10187255449972052"/>
  </r>
  <r>
    <n v="11415"/>
    <d v="2024-11-15T00:00:00"/>
    <d v="2024-11-20T00:00:00"/>
    <d v="2024-11-22T00:00:00"/>
    <x v="2"/>
    <s v="India"/>
    <s v="Maharashtra"/>
    <s v="Hyderabad"/>
    <x v="1"/>
    <s v="Table"/>
    <s v="Dining Table"/>
    <s v="Corporate"/>
    <n v="8767"/>
    <n v="0"/>
    <n v="16742"/>
    <n v="24"/>
    <s v="UPI"/>
    <s v="Medium"/>
    <x v="3"/>
    <x v="10"/>
    <n v="5"/>
    <n v="7"/>
    <n v="1.9096612296110413"/>
  </r>
  <r>
    <n v="11416"/>
    <d v="2024-11-16T00:00:00"/>
    <d v="2024-11-19T00:00:00"/>
    <d v="2024-11-21T00:00:00"/>
    <x v="1"/>
    <s v="India"/>
    <s v="Maharashtra"/>
    <s v="Mumbai"/>
    <x v="2"/>
    <s v="Table"/>
    <s v="Office Chair"/>
    <s v="Corporate"/>
    <n v="46915"/>
    <n v="0.28000000000000003"/>
    <n v="4794"/>
    <n v="16"/>
    <s v="UPI"/>
    <s v="Low"/>
    <x v="3"/>
    <x v="10"/>
    <n v="3"/>
    <n v="5"/>
    <n v="0.1021848023020356"/>
  </r>
  <r>
    <n v="11417"/>
    <d v="2024-11-17T00:00:00"/>
    <d v="2024-11-20T00:00:00"/>
    <d v="2024-11-21T00:00:00"/>
    <x v="3"/>
    <s v="India"/>
    <s v="Telangana"/>
    <s v="Bangalore"/>
    <x v="0"/>
    <s v="Chair"/>
    <s v="Spiral Notebook"/>
    <s v="Consumer"/>
    <n v="36625"/>
    <n v="0.25"/>
    <n v="15391"/>
    <n v="1"/>
    <s v="Net Banking"/>
    <s v="Medium"/>
    <x v="3"/>
    <x v="10"/>
    <n v="3"/>
    <n v="4"/>
    <n v="0.42023208191126282"/>
  </r>
  <r>
    <n v="11418"/>
    <d v="2024-11-18T00:00:00"/>
    <d v="2024-11-20T00:00:00"/>
    <d v="2024-11-23T00:00:00"/>
    <x v="2"/>
    <s v="India"/>
    <s v="Tamil Nadu"/>
    <s v="Hyderabad"/>
    <x v="2"/>
    <s v="Pen"/>
    <s v="Spiral Notebook"/>
    <s v="Home Office"/>
    <n v="5293"/>
    <n v="0.08"/>
    <n v="9837"/>
    <n v="13"/>
    <s v="Debit Card"/>
    <s v="Critical"/>
    <x v="3"/>
    <x v="10"/>
    <n v="2"/>
    <n v="5"/>
    <n v="1.8584923483846589"/>
  </r>
  <r>
    <n v="11419"/>
    <d v="2024-11-19T00:00:00"/>
    <d v="2024-11-21T00:00:00"/>
    <d v="2024-11-26T00:00:00"/>
    <x v="1"/>
    <s v="India"/>
    <s v="Telangana"/>
    <s v="Chennai"/>
    <x v="2"/>
    <s v="Notebook"/>
    <s v="Gaming Laptop"/>
    <s v="Home Office"/>
    <n v="57037"/>
    <n v="0.15"/>
    <n v="6504"/>
    <n v="2"/>
    <s v="Debit Card"/>
    <s v="Medium"/>
    <x v="3"/>
    <x v="10"/>
    <n v="2"/>
    <n v="7"/>
    <n v="0.11403124287743044"/>
  </r>
  <r>
    <n v="11420"/>
    <d v="2024-11-20T00:00:00"/>
    <d v="2024-11-25T00:00:00"/>
    <d v="2024-11-30T00:00:00"/>
    <x v="2"/>
    <s v="India"/>
    <s v="Telangana"/>
    <s v="Chennai"/>
    <x v="2"/>
    <s v="Pen"/>
    <s v="Gaming Laptop"/>
    <s v="Consumer"/>
    <n v="71403"/>
    <n v="0.16"/>
    <n v="18294"/>
    <n v="24"/>
    <s v="UPI"/>
    <s v="Critical"/>
    <x v="3"/>
    <x v="10"/>
    <n v="5"/>
    <n v="10"/>
    <n v="0.25620772236460654"/>
  </r>
  <r>
    <n v="11421"/>
    <d v="2024-11-21T00:00:00"/>
    <d v="2024-11-27T00:00:00"/>
    <d v="2024-11-28T00:00:00"/>
    <x v="2"/>
    <s v="India"/>
    <s v="Maharashtra"/>
    <s v="Hyderabad"/>
    <x v="2"/>
    <s v="Table"/>
    <s v="Dining Table"/>
    <s v="Consumer"/>
    <n v="19012"/>
    <n v="0.01"/>
    <n v="7729"/>
    <n v="24"/>
    <s v="Debit Card"/>
    <s v="Low"/>
    <x v="3"/>
    <x v="10"/>
    <n v="6"/>
    <n v="7"/>
    <n v="0.40653271617925518"/>
  </r>
  <r>
    <n v="11422"/>
    <d v="2024-11-22T00:00:00"/>
    <d v="2024-11-29T00:00:00"/>
    <d v="2024-12-04T00:00:00"/>
    <x v="0"/>
    <s v="India"/>
    <s v="Kerala"/>
    <s v="Kochi"/>
    <x v="2"/>
    <s v="Pen"/>
    <s v="Laser Printer"/>
    <s v="Consumer"/>
    <n v="53844"/>
    <n v="0.35"/>
    <n v="19864"/>
    <n v="19"/>
    <s v="Credit Card"/>
    <s v="High"/>
    <x v="3"/>
    <x v="10"/>
    <n v="7"/>
    <n v="12"/>
    <n v="0.36891761384741106"/>
  </r>
  <r>
    <n v="11423"/>
    <d v="2024-11-23T00:00:00"/>
    <d v="2024-11-28T00:00:00"/>
    <d v="2024-12-01T00:00:00"/>
    <x v="1"/>
    <s v="India"/>
    <s v="Tamil Nadu"/>
    <s v="Hyderabad"/>
    <x v="1"/>
    <s v="Notebook"/>
    <s v="Office Chair"/>
    <s v="Home Office"/>
    <n v="20577"/>
    <n v="0.3"/>
    <n v="7385"/>
    <n v="3"/>
    <s v="Net Banking"/>
    <s v="Low"/>
    <x v="3"/>
    <x v="10"/>
    <n v="5"/>
    <n v="8"/>
    <n v="0.35889585459493611"/>
  </r>
  <r>
    <n v="11424"/>
    <d v="2024-11-24T00:00:00"/>
    <d v="2024-11-29T00:00:00"/>
    <d v="2024-11-30T00:00:00"/>
    <x v="1"/>
    <s v="India"/>
    <s v="Telangana"/>
    <s v="Delhi"/>
    <x v="2"/>
    <s v="Pen"/>
    <s v="Spiral Notebook"/>
    <s v="Home Office"/>
    <n v="72120"/>
    <n v="0.15"/>
    <n v="-333"/>
    <n v="10"/>
    <s v="Cash"/>
    <s v="Critical"/>
    <x v="3"/>
    <x v="10"/>
    <n v="5"/>
    <n v="6"/>
    <n v="-4.6173044925124796E-3"/>
  </r>
  <r>
    <n v="11425"/>
    <d v="2024-11-25T00:00:00"/>
    <d v="2024-12-01T00:00:00"/>
    <d v="2024-12-06T00:00:00"/>
    <x v="1"/>
    <s v="India"/>
    <s v="Delhi"/>
    <s v="Mumbai"/>
    <x v="1"/>
    <s v="Laptop"/>
    <s v="Gaming Laptop"/>
    <s v="Consumer"/>
    <n v="37014"/>
    <n v="0.23"/>
    <n v="9934"/>
    <n v="14"/>
    <s v="Debit Card"/>
    <s v="Critical"/>
    <x v="3"/>
    <x v="10"/>
    <n v="6"/>
    <n v="11"/>
    <n v="0.26838493542983738"/>
  </r>
  <r>
    <n v="11426"/>
    <d v="2024-11-26T00:00:00"/>
    <d v="2024-11-29T00:00:00"/>
    <d v="2024-12-04T00:00:00"/>
    <x v="3"/>
    <s v="India"/>
    <s v="Tamil Nadu"/>
    <s v="Hyderabad"/>
    <x v="0"/>
    <s v="Chair"/>
    <s v="Office Chair"/>
    <s v="Corporate"/>
    <n v="49861"/>
    <n v="0.25"/>
    <n v="5404"/>
    <n v="11"/>
    <s v="Credit Card"/>
    <s v="Low"/>
    <x v="3"/>
    <x v="10"/>
    <n v="3"/>
    <n v="8"/>
    <n v="0.10838130001403903"/>
  </r>
  <r>
    <n v="11427"/>
    <d v="2024-11-27T00:00:00"/>
    <d v="2024-12-02T00:00:00"/>
    <d v="2024-12-05T00:00:00"/>
    <x v="3"/>
    <s v="India"/>
    <s v="Karnataka"/>
    <s v="Bangalore"/>
    <x v="0"/>
    <s v="Notebook"/>
    <s v="Gel Pen"/>
    <s v="Consumer"/>
    <n v="38220"/>
    <n v="0.1"/>
    <n v="17670"/>
    <n v="22"/>
    <s v="Credit Card"/>
    <s v="Critical"/>
    <x v="3"/>
    <x v="10"/>
    <n v="5"/>
    <n v="8"/>
    <n v="0.46232339089481944"/>
  </r>
  <r>
    <n v="11428"/>
    <d v="2024-11-28T00:00:00"/>
    <d v="2024-12-02T00:00:00"/>
    <d v="2024-12-03T00:00:00"/>
    <x v="3"/>
    <s v="India"/>
    <s v="Karnataka"/>
    <s v="Mumbai"/>
    <x v="2"/>
    <s v="Pen"/>
    <s v="Office Chair"/>
    <s v="Corporate"/>
    <n v="35840"/>
    <n v="0.11"/>
    <n v="12545"/>
    <n v="1"/>
    <s v="Debit Card"/>
    <s v="Critical"/>
    <x v="3"/>
    <x v="10"/>
    <n v="4"/>
    <n v="5"/>
    <n v="0.3500279017857143"/>
  </r>
  <r>
    <n v="11429"/>
    <d v="2024-11-29T00:00:00"/>
    <d v="2024-12-01T00:00:00"/>
    <d v="2024-12-06T00:00:00"/>
    <x v="0"/>
    <s v="India"/>
    <s v="Telangana"/>
    <s v="Bangalore"/>
    <x v="1"/>
    <s v="Table"/>
    <s v="Smartphone"/>
    <s v="Consumer"/>
    <n v="47346"/>
    <n v="7.0000000000000007E-2"/>
    <n v="-1925"/>
    <n v="2"/>
    <s v="Net Banking"/>
    <s v="Critical"/>
    <x v="3"/>
    <x v="10"/>
    <n v="2"/>
    <n v="7"/>
    <n v="-4.0658133738858612E-2"/>
  </r>
  <r>
    <n v="11430"/>
    <d v="2024-11-30T00:00:00"/>
    <d v="2024-12-07T00:00:00"/>
    <d v="2024-12-11T00:00:00"/>
    <x v="1"/>
    <s v="India"/>
    <s v="Delhi"/>
    <s v="Chennai"/>
    <x v="2"/>
    <s v="Laptop"/>
    <s v="Laser Printer"/>
    <s v="Corporate"/>
    <n v="74157"/>
    <n v="0.26"/>
    <n v="17620"/>
    <n v="19"/>
    <s v="UPI"/>
    <s v="Low"/>
    <x v="3"/>
    <x v="10"/>
    <n v="7"/>
    <n v="11"/>
    <n v="0.23760400231940343"/>
  </r>
  <r>
    <n v="11431"/>
    <d v="2024-12-01T00:00:00"/>
    <d v="2024-12-06T00:00:00"/>
    <d v="2024-12-08T00:00:00"/>
    <x v="0"/>
    <s v="India"/>
    <s v="Maharashtra"/>
    <s v="Delhi"/>
    <x v="2"/>
    <s v="Pen"/>
    <s v="Office Chair"/>
    <s v="Home Office"/>
    <n v="43221"/>
    <n v="0.24"/>
    <n v="9755"/>
    <n v="12"/>
    <s v="Net Banking"/>
    <s v="High"/>
    <x v="3"/>
    <x v="11"/>
    <n v="5"/>
    <n v="7"/>
    <n v="0.22570046967909119"/>
  </r>
  <r>
    <n v="11432"/>
    <d v="2024-12-02T00:00:00"/>
    <d v="2024-12-04T00:00:00"/>
    <d v="2024-12-06T00:00:00"/>
    <x v="3"/>
    <s v="India"/>
    <s v="Telangana"/>
    <s v="Mumbai"/>
    <x v="1"/>
    <s v="Mobile"/>
    <s v="Gel Pen"/>
    <s v="Corporate"/>
    <n v="17373"/>
    <n v="0.16"/>
    <n v="6775"/>
    <n v="22"/>
    <s v="Cash"/>
    <s v="Low"/>
    <x v="3"/>
    <x v="11"/>
    <n v="2"/>
    <n v="4"/>
    <n v="0.38997294652621883"/>
  </r>
  <r>
    <n v="11433"/>
    <d v="2024-12-03T00:00:00"/>
    <d v="2024-12-09T00:00:00"/>
    <d v="2024-12-11T00:00:00"/>
    <x v="3"/>
    <s v="India"/>
    <s v="Tamil Nadu"/>
    <s v="Delhi"/>
    <x v="0"/>
    <s v="Table"/>
    <s v="Gel Pen"/>
    <s v="Consumer"/>
    <n v="21278"/>
    <n v="0.08"/>
    <n v="6807"/>
    <n v="9"/>
    <s v="UPI"/>
    <s v="Medium"/>
    <x v="3"/>
    <x v="11"/>
    <n v="6"/>
    <n v="8"/>
    <n v="0.31990788607951876"/>
  </r>
  <r>
    <n v="11434"/>
    <d v="2024-12-04T00:00:00"/>
    <d v="2024-12-11T00:00:00"/>
    <d v="2024-12-15T00:00:00"/>
    <x v="2"/>
    <s v="India"/>
    <s v="Delhi"/>
    <s v="Hyderabad"/>
    <x v="2"/>
    <s v="Laptop"/>
    <s v="Spiral Notebook"/>
    <s v="Home Office"/>
    <n v="25615"/>
    <n v="0.01"/>
    <n v="17544"/>
    <n v="23"/>
    <s v="UPI"/>
    <s v="Medium"/>
    <x v="3"/>
    <x v="11"/>
    <n v="7"/>
    <n v="11"/>
    <n v="0.68491118485262537"/>
  </r>
  <r>
    <n v="11435"/>
    <d v="2024-12-05T00:00:00"/>
    <d v="2024-12-09T00:00:00"/>
    <d v="2024-12-13T00:00:00"/>
    <x v="2"/>
    <s v="India"/>
    <s v="Kerala"/>
    <s v="Delhi"/>
    <x v="2"/>
    <s v="Laptop"/>
    <s v="Office Chair"/>
    <s v="Consumer"/>
    <n v="27048"/>
    <n v="0.2"/>
    <n v="15537"/>
    <n v="16"/>
    <s v="Credit Card"/>
    <s v="High"/>
    <x v="3"/>
    <x v="11"/>
    <n v="4"/>
    <n v="8"/>
    <n v="0.57442324755989349"/>
  </r>
  <r>
    <n v="11436"/>
    <d v="2024-12-06T00:00:00"/>
    <d v="2024-12-10T00:00:00"/>
    <d v="2024-12-13T00:00:00"/>
    <x v="1"/>
    <s v="India"/>
    <s v="Tamil Nadu"/>
    <s v="Bangalore"/>
    <x v="2"/>
    <s v="Table"/>
    <s v="Spiral Notebook"/>
    <s v="Corporate"/>
    <n v="71844"/>
    <n v="0.03"/>
    <n v="13330"/>
    <n v="2"/>
    <s v="Credit Card"/>
    <s v="Low"/>
    <x v="3"/>
    <x v="11"/>
    <n v="4"/>
    <n v="7"/>
    <n v="0.18554089415956795"/>
  </r>
  <r>
    <n v="11437"/>
    <d v="2024-12-07T00:00:00"/>
    <d v="2024-12-12T00:00:00"/>
    <d v="2024-12-17T00:00:00"/>
    <x v="3"/>
    <s v="India"/>
    <s v="Delhi"/>
    <s v="Delhi"/>
    <x v="2"/>
    <s v="Laptop"/>
    <s v="Office Chair"/>
    <s v="Home Office"/>
    <n v="1407"/>
    <n v="0.06"/>
    <n v="3309"/>
    <n v="18"/>
    <s v="Cash"/>
    <s v="Medium"/>
    <x v="3"/>
    <x v="11"/>
    <n v="5"/>
    <n v="10"/>
    <n v="2.35181236673774"/>
  </r>
  <r>
    <n v="11438"/>
    <d v="2024-12-08T00:00:00"/>
    <d v="2024-12-15T00:00:00"/>
    <d v="2024-12-19T00:00:00"/>
    <x v="1"/>
    <s v="India"/>
    <s v="Karnataka"/>
    <s v="Bangalore"/>
    <x v="0"/>
    <s v="Notebook"/>
    <s v="Gaming Laptop"/>
    <s v="Consumer"/>
    <n v="9685"/>
    <n v="0.21"/>
    <n v="16819"/>
    <n v="16"/>
    <s v="Credit Card"/>
    <s v="Low"/>
    <x v="3"/>
    <x v="11"/>
    <n v="7"/>
    <n v="11"/>
    <n v="1.7366029943211152"/>
  </r>
  <r>
    <n v="11439"/>
    <d v="2024-12-09T00:00:00"/>
    <d v="2024-12-16T00:00:00"/>
    <d v="2024-12-17T00:00:00"/>
    <x v="3"/>
    <s v="India"/>
    <s v="Karnataka"/>
    <s v="Bangalore"/>
    <x v="0"/>
    <s v="Table"/>
    <s v="Gel Pen"/>
    <s v="Consumer"/>
    <n v="33432"/>
    <n v="0.34"/>
    <n v="7194"/>
    <n v="20"/>
    <s v="UPI"/>
    <s v="Medium"/>
    <x v="3"/>
    <x v="11"/>
    <n v="7"/>
    <n v="8"/>
    <n v="0.21518305814788227"/>
  </r>
  <r>
    <n v="11440"/>
    <d v="2024-12-10T00:00:00"/>
    <d v="2024-12-17T00:00:00"/>
    <d v="2024-12-21T00:00:00"/>
    <x v="1"/>
    <s v="India"/>
    <s v="Telangana"/>
    <s v="Bangalore"/>
    <x v="0"/>
    <s v="Chair"/>
    <s v="Office Chair"/>
    <s v="Home Office"/>
    <n v="28008"/>
    <n v="0.21"/>
    <n v="3709"/>
    <n v="18"/>
    <s v="UPI"/>
    <s v="Critical"/>
    <x v="3"/>
    <x v="11"/>
    <n v="7"/>
    <n v="11"/>
    <n v="0.13242644958583261"/>
  </r>
  <r>
    <n v="11441"/>
    <d v="2024-12-11T00:00:00"/>
    <d v="2024-12-15T00:00:00"/>
    <d v="2024-12-18T00:00:00"/>
    <x v="3"/>
    <s v="India"/>
    <s v="Tamil Nadu"/>
    <s v="Hyderabad"/>
    <x v="2"/>
    <s v="Laptop"/>
    <s v="Gel Pen"/>
    <s v="Corporate"/>
    <n v="31984"/>
    <n v="0.17"/>
    <n v="5333"/>
    <n v="22"/>
    <s v="Net Banking"/>
    <s v="High"/>
    <x v="3"/>
    <x v="11"/>
    <n v="4"/>
    <n v="7"/>
    <n v="0.16673961980990495"/>
  </r>
  <r>
    <n v="11442"/>
    <d v="2024-12-12T00:00:00"/>
    <d v="2024-12-17T00:00:00"/>
    <d v="2024-12-19T00:00:00"/>
    <x v="3"/>
    <s v="India"/>
    <s v="Maharashtra"/>
    <s v="Bangalore"/>
    <x v="2"/>
    <s v="Printer"/>
    <s v="Spiral Notebook"/>
    <s v="Consumer"/>
    <n v="37832"/>
    <n v="0.11"/>
    <n v="5577"/>
    <n v="23"/>
    <s v="UPI"/>
    <s v="Critical"/>
    <x v="3"/>
    <x v="11"/>
    <n v="5"/>
    <n v="7"/>
    <n v="0.14741488686825968"/>
  </r>
  <r>
    <n v="11443"/>
    <d v="2024-12-13T00:00:00"/>
    <d v="2024-12-17T00:00:00"/>
    <d v="2024-12-22T00:00:00"/>
    <x v="3"/>
    <s v="India"/>
    <s v="Telangana"/>
    <s v="Hyderabad"/>
    <x v="1"/>
    <s v="Mobile"/>
    <s v="Gaming Laptop"/>
    <s v="Corporate"/>
    <n v="40748"/>
    <n v="0.09"/>
    <n v="14585"/>
    <n v="10"/>
    <s v="UPI"/>
    <s v="Medium"/>
    <x v="3"/>
    <x v="11"/>
    <n v="4"/>
    <n v="9"/>
    <n v="0.35793167762834988"/>
  </r>
  <r>
    <n v="11444"/>
    <d v="2024-12-14T00:00:00"/>
    <d v="2024-12-19T00:00:00"/>
    <d v="2024-12-24T00:00:00"/>
    <x v="1"/>
    <s v="India"/>
    <s v="Telangana"/>
    <s v="Mumbai"/>
    <x v="0"/>
    <s v="Chair"/>
    <s v="Laser Printer"/>
    <s v="Corporate"/>
    <n v="20087"/>
    <n v="0.19"/>
    <n v="-865"/>
    <n v="6"/>
    <s v="Debit Card"/>
    <s v="Low"/>
    <x v="3"/>
    <x v="11"/>
    <n v="5"/>
    <n v="10"/>
    <n v="-4.306267735351222E-2"/>
  </r>
  <r>
    <n v="11445"/>
    <d v="2024-12-15T00:00:00"/>
    <d v="2024-12-22T00:00:00"/>
    <d v="2024-12-25T00:00:00"/>
    <x v="1"/>
    <s v="India"/>
    <s v="Tamil Nadu"/>
    <s v="Hyderabad"/>
    <x v="1"/>
    <s v="Pen"/>
    <s v="Spiral Notebook"/>
    <s v="Home Office"/>
    <n v="67110"/>
    <n v="0.36"/>
    <n v="12717"/>
    <n v="2"/>
    <s v="Credit Card"/>
    <s v="Medium"/>
    <x v="3"/>
    <x v="11"/>
    <n v="7"/>
    <n v="10"/>
    <n v="0.18949485918641037"/>
  </r>
  <r>
    <n v="11446"/>
    <d v="2024-12-16T00:00:00"/>
    <d v="2024-12-22T00:00:00"/>
    <d v="2024-12-26T00:00:00"/>
    <x v="0"/>
    <s v="India"/>
    <s v="Karnataka"/>
    <s v="Mumbai"/>
    <x v="1"/>
    <s v="Chair"/>
    <s v="Dining Table"/>
    <s v="Corporate"/>
    <n v="11895"/>
    <n v="0.17"/>
    <n v="1365"/>
    <n v="3"/>
    <s v="Debit Card"/>
    <s v="Low"/>
    <x v="3"/>
    <x v="11"/>
    <n v="6"/>
    <n v="10"/>
    <n v="0.11475409836065574"/>
  </r>
  <r>
    <n v="11447"/>
    <d v="2024-12-17T00:00:00"/>
    <d v="2024-12-19T00:00:00"/>
    <d v="2024-12-21T00:00:00"/>
    <x v="3"/>
    <s v="India"/>
    <s v="Tamil Nadu"/>
    <s v="Kochi"/>
    <x v="0"/>
    <s v="Chair"/>
    <s v="Gel Pen"/>
    <s v="Corporate"/>
    <n v="6677"/>
    <n v="0.11"/>
    <n v="5646"/>
    <n v="9"/>
    <s v="Credit Card"/>
    <s v="Low"/>
    <x v="3"/>
    <x v="11"/>
    <n v="2"/>
    <n v="4"/>
    <n v="0.84558933652838097"/>
  </r>
  <r>
    <n v="11448"/>
    <d v="2024-12-18T00:00:00"/>
    <d v="2024-12-22T00:00:00"/>
    <d v="2024-12-26T00:00:00"/>
    <x v="0"/>
    <s v="India"/>
    <s v="Maharashtra"/>
    <s v="Bangalore"/>
    <x v="2"/>
    <s v="Mobile"/>
    <s v="Dining Table"/>
    <s v="Corporate"/>
    <n v="12581"/>
    <n v="0.14000000000000001"/>
    <n v="19488"/>
    <n v="7"/>
    <s v="Debit Card"/>
    <s v="High"/>
    <x v="3"/>
    <x v="11"/>
    <n v="4"/>
    <n v="8"/>
    <n v="1.5490024640330657"/>
  </r>
  <r>
    <n v="11449"/>
    <d v="2024-12-19T00:00:00"/>
    <d v="2024-12-23T00:00:00"/>
    <d v="2024-12-27T00:00:00"/>
    <x v="1"/>
    <s v="India"/>
    <s v="Tamil Nadu"/>
    <s v="Chennai"/>
    <x v="1"/>
    <s v="Notebook"/>
    <s v="Gel Pen"/>
    <s v="Corporate"/>
    <n v="32632"/>
    <n v="0.4"/>
    <n v="5624"/>
    <n v="20"/>
    <s v="Net Banking"/>
    <s v="Critical"/>
    <x v="3"/>
    <x v="11"/>
    <n v="4"/>
    <n v="8"/>
    <n v="0.17234616327531257"/>
  </r>
  <r>
    <n v="11450"/>
    <d v="2024-12-20T00:00:00"/>
    <d v="2024-12-25T00:00:00"/>
    <d v="2024-12-30T00:00:00"/>
    <x v="3"/>
    <s v="India"/>
    <s v="Telangana"/>
    <s v="Hyderabad"/>
    <x v="1"/>
    <s v="Table"/>
    <s v="Office Chair"/>
    <s v="Corporate"/>
    <n v="66919"/>
    <n v="0.16"/>
    <n v="9049"/>
    <n v="7"/>
    <s v="Credit Card"/>
    <s v="Low"/>
    <x v="3"/>
    <x v="11"/>
    <n v="5"/>
    <n v="10"/>
    <n v="0.13522318026270566"/>
  </r>
  <r>
    <n v="11451"/>
    <d v="2024-12-21T00:00:00"/>
    <d v="2024-12-27T00:00:00"/>
    <d v="2024-12-29T00:00:00"/>
    <x v="0"/>
    <s v="India"/>
    <s v="Delhi"/>
    <s v="Delhi"/>
    <x v="0"/>
    <s v="Chair"/>
    <s v="Office Chair"/>
    <s v="Home Office"/>
    <n v="28013"/>
    <n v="0.22"/>
    <n v="7727"/>
    <n v="19"/>
    <s v="Credit Card"/>
    <s v="High"/>
    <x v="3"/>
    <x v="11"/>
    <n v="6"/>
    <n v="8"/>
    <n v="0.27583621889836862"/>
  </r>
  <r>
    <n v="11452"/>
    <d v="2024-12-22T00:00:00"/>
    <d v="2024-12-25T00:00:00"/>
    <d v="2024-12-27T00:00:00"/>
    <x v="0"/>
    <s v="India"/>
    <s v="Telangana"/>
    <s v="Chennai"/>
    <x v="0"/>
    <s v="Pen"/>
    <s v="Gel Pen"/>
    <s v="Consumer"/>
    <n v="29811"/>
    <n v="0.35"/>
    <n v="6479"/>
    <n v="6"/>
    <s v="Credit Card"/>
    <s v="Low"/>
    <x v="3"/>
    <x v="11"/>
    <n v="3"/>
    <n v="5"/>
    <n v="0.21733588272785215"/>
  </r>
  <r>
    <n v="11453"/>
    <d v="2024-12-23T00:00:00"/>
    <d v="2024-12-28T00:00:00"/>
    <d v="2024-12-30T00:00:00"/>
    <x v="0"/>
    <s v="India"/>
    <s v="Telangana"/>
    <s v="Kochi"/>
    <x v="2"/>
    <s v="Table"/>
    <s v="Smartphone"/>
    <s v="Consumer"/>
    <n v="1446"/>
    <n v="0.33"/>
    <n v="-295"/>
    <n v="6"/>
    <s v="Cash"/>
    <s v="High"/>
    <x v="3"/>
    <x v="11"/>
    <n v="5"/>
    <n v="7"/>
    <n v="-0.20401106500691563"/>
  </r>
  <r>
    <n v="11454"/>
    <d v="2024-12-24T00:00:00"/>
    <d v="2024-12-27T00:00:00"/>
    <d v="2024-12-28T00:00:00"/>
    <x v="3"/>
    <s v="India"/>
    <s v="Kerala"/>
    <s v="Kochi"/>
    <x v="0"/>
    <s v="Mobile"/>
    <s v="Gaming Laptop"/>
    <s v="Consumer"/>
    <n v="35963"/>
    <n v="0.27"/>
    <n v="12996"/>
    <n v="6"/>
    <s v="Net Banking"/>
    <s v="High"/>
    <x v="3"/>
    <x v="11"/>
    <n v="3"/>
    <n v="4"/>
    <n v="0.36137140950421265"/>
  </r>
  <r>
    <n v="11455"/>
    <d v="2024-12-25T00:00:00"/>
    <d v="2024-12-29T00:00:00"/>
    <d v="2025-01-03T00:00:00"/>
    <x v="1"/>
    <s v="India"/>
    <s v="Maharashtra"/>
    <s v="Bangalore"/>
    <x v="1"/>
    <s v="Notebook"/>
    <s v="Dining Table"/>
    <s v="Corporate"/>
    <n v="53067"/>
    <n v="0.09"/>
    <n v="606"/>
    <n v="17"/>
    <s v="Cash"/>
    <s v="Low"/>
    <x v="3"/>
    <x v="11"/>
    <n v="4"/>
    <n v="9"/>
    <n v="1.1419526259257165E-2"/>
  </r>
  <r>
    <n v="11456"/>
    <d v="2024-12-26T00:00:00"/>
    <d v="2024-12-29T00:00:00"/>
    <d v="2024-12-30T00:00:00"/>
    <x v="0"/>
    <s v="India"/>
    <s v="Delhi"/>
    <s v="Kochi"/>
    <x v="0"/>
    <s v="Mobile"/>
    <s v="Dining Table"/>
    <s v="Home Office"/>
    <n v="64042"/>
    <n v="0.08"/>
    <n v="5073"/>
    <n v="15"/>
    <s v="UPI"/>
    <s v="Medium"/>
    <x v="3"/>
    <x v="11"/>
    <n v="3"/>
    <n v="4"/>
    <n v="7.9213641048062208E-2"/>
  </r>
  <r>
    <n v="11457"/>
    <d v="2024-12-27T00:00:00"/>
    <d v="2024-12-31T00:00:00"/>
    <d v="2025-01-01T00:00:00"/>
    <x v="1"/>
    <s v="India"/>
    <s v="Karnataka"/>
    <s v="Delhi"/>
    <x v="0"/>
    <s v="Printer"/>
    <s v="Office Chair"/>
    <s v="Home Office"/>
    <n v="25860"/>
    <n v="0.17"/>
    <n v="2739"/>
    <n v="9"/>
    <s v="Net Banking"/>
    <s v="Low"/>
    <x v="3"/>
    <x v="11"/>
    <n v="4"/>
    <n v="5"/>
    <n v="0.10591647331786543"/>
  </r>
  <r>
    <n v="11458"/>
    <d v="2024-12-28T00:00:00"/>
    <d v="2024-12-31T00:00:00"/>
    <d v="2025-01-04T00:00:00"/>
    <x v="2"/>
    <s v="India"/>
    <s v="Delhi"/>
    <s v="Mumbai"/>
    <x v="0"/>
    <s v="Chair"/>
    <s v="Smartphone"/>
    <s v="Corporate"/>
    <n v="42354"/>
    <n v="0.1"/>
    <n v="15917"/>
    <n v="7"/>
    <s v="Debit Card"/>
    <s v="Low"/>
    <x v="3"/>
    <x v="11"/>
    <n v="3"/>
    <n v="7"/>
    <n v="0.37580866033904708"/>
  </r>
  <r>
    <n v="11459"/>
    <d v="2024-12-29T00:00:00"/>
    <d v="2024-12-31T00:00:00"/>
    <d v="2025-01-05T00:00:00"/>
    <x v="3"/>
    <s v="India"/>
    <s v="Maharashtra"/>
    <s v="Kochi"/>
    <x v="1"/>
    <s v="Mobile"/>
    <s v="Office Chair"/>
    <s v="Corporate"/>
    <n v="23293"/>
    <n v="0.31"/>
    <n v="3851"/>
    <n v="3"/>
    <s v="Debit Card"/>
    <s v="Low"/>
    <x v="3"/>
    <x v="11"/>
    <n v="2"/>
    <n v="7"/>
    <n v="0.16532863950543081"/>
  </r>
  <r>
    <n v="11460"/>
    <d v="2024-12-30T00:00:00"/>
    <d v="2025-01-01T00:00:00"/>
    <d v="2025-01-03T00:00:00"/>
    <x v="3"/>
    <s v="India"/>
    <s v="Telangana"/>
    <s v="Bangalore"/>
    <x v="0"/>
    <s v="Printer"/>
    <s v="Office Chair"/>
    <s v="Home Office"/>
    <n v="60771"/>
    <n v="0.05"/>
    <n v="8959"/>
    <n v="8"/>
    <s v="Net Banking"/>
    <s v="Critical"/>
    <x v="3"/>
    <x v="11"/>
    <n v="2"/>
    <n v="4"/>
    <n v="0.14742229023711967"/>
  </r>
  <r>
    <n v="11461"/>
    <d v="2024-12-31T00:00:00"/>
    <d v="2025-01-02T00:00:00"/>
    <d v="2025-01-07T00:00:00"/>
    <x v="1"/>
    <s v="India"/>
    <s v="Delhi"/>
    <s v="Delhi"/>
    <x v="0"/>
    <s v="Chair"/>
    <s v="Office Chair"/>
    <s v="Corporate"/>
    <n v="72683"/>
    <n v="0.33"/>
    <n v="6933"/>
    <n v="9"/>
    <s v="Cash"/>
    <s v="Low"/>
    <x v="3"/>
    <x v="11"/>
    <n v="2"/>
    <n v="7"/>
    <n v="9.5386816724681148E-2"/>
  </r>
  <r>
    <n v="11462"/>
    <d v="2025-01-01T00:00:00"/>
    <d v="2025-01-04T00:00:00"/>
    <d v="2025-01-09T00:00:00"/>
    <x v="2"/>
    <s v="India"/>
    <s v="Maharashtra"/>
    <s v="Chennai"/>
    <x v="2"/>
    <s v="Table"/>
    <s v="Laser Printer"/>
    <s v="Consumer"/>
    <n v="27329"/>
    <n v="0.22"/>
    <n v="13700"/>
    <n v="14"/>
    <s v="Cash"/>
    <s v="Critical"/>
    <x v="4"/>
    <x v="0"/>
    <n v="3"/>
    <n v="8"/>
    <n v="0.50129898642467707"/>
  </r>
  <r>
    <n v="11463"/>
    <d v="2025-01-02T00:00:00"/>
    <d v="2025-01-08T00:00:00"/>
    <d v="2025-01-13T00:00:00"/>
    <x v="1"/>
    <s v="India"/>
    <s v="Tamil Nadu"/>
    <s v="Mumbai"/>
    <x v="2"/>
    <s v="Laptop"/>
    <s v="Laser Printer"/>
    <s v="Home Office"/>
    <n v="61855"/>
    <n v="0.15"/>
    <n v="1010"/>
    <n v="21"/>
    <s v="Debit Card"/>
    <s v="High"/>
    <x v="4"/>
    <x v="0"/>
    <n v="6"/>
    <n v="11"/>
    <n v="1.6328510225527445E-2"/>
  </r>
  <r>
    <n v="11464"/>
    <d v="2025-01-03T00:00:00"/>
    <d v="2025-01-08T00:00:00"/>
    <d v="2025-01-09T00:00:00"/>
    <x v="3"/>
    <s v="India"/>
    <s v="Karnataka"/>
    <s v="Kochi"/>
    <x v="2"/>
    <s v="Printer"/>
    <s v="Gaming Laptop"/>
    <s v="Corporate"/>
    <n v="15033"/>
    <n v="0.08"/>
    <n v="401"/>
    <n v="7"/>
    <s v="UPI"/>
    <s v="High"/>
    <x v="4"/>
    <x v="0"/>
    <n v="5"/>
    <n v="6"/>
    <n v="2.6674649105301668E-2"/>
  </r>
  <r>
    <n v="11465"/>
    <d v="2025-01-04T00:00:00"/>
    <d v="2025-01-10T00:00:00"/>
    <d v="2025-01-15T00:00:00"/>
    <x v="0"/>
    <s v="India"/>
    <s v="Kerala"/>
    <s v="Hyderabad"/>
    <x v="1"/>
    <s v="Notebook"/>
    <s v="Gaming Laptop"/>
    <s v="Home Office"/>
    <n v="35277"/>
    <n v="0.01"/>
    <n v="4920"/>
    <n v="22"/>
    <s v="Cash"/>
    <s v="Medium"/>
    <x v="4"/>
    <x v="0"/>
    <n v="6"/>
    <n v="11"/>
    <n v="0.13946764180627605"/>
  </r>
  <r>
    <n v="11466"/>
    <d v="2025-01-05T00:00:00"/>
    <d v="2025-01-09T00:00:00"/>
    <d v="2025-01-11T00:00:00"/>
    <x v="0"/>
    <s v="India"/>
    <s v="Tamil Nadu"/>
    <s v="Kochi"/>
    <x v="2"/>
    <s v="Mobile"/>
    <s v="Smartphone"/>
    <s v="Home Office"/>
    <n v="6791"/>
    <n v="0.18"/>
    <n v="7280"/>
    <n v="6"/>
    <s v="Cash"/>
    <s v="Critical"/>
    <x v="4"/>
    <x v="0"/>
    <n v="4"/>
    <n v="6"/>
    <n v="1.0720070681784715"/>
  </r>
  <r>
    <n v="11467"/>
    <d v="2025-01-06T00:00:00"/>
    <d v="2025-01-13T00:00:00"/>
    <d v="2025-01-18T00:00:00"/>
    <x v="2"/>
    <s v="India"/>
    <s v="Delhi"/>
    <s v="Chennai"/>
    <x v="1"/>
    <s v="Laptop"/>
    <s v="Gel Pen"/>
    <s v="Corporate"/>
    <n v="38308"/>
    <n v="0.19"/>
    <n v="16331"/>
    <n v="13"/>
    <s v="Credit Card"/>
    <s v="Low"/>
    <x v="4"/>
    <x v="0"/>
    <n v="7"/>
    <n v="12"/>
    <n v="0.42630782082071628"/>
  </r>
  <r>
    <n v="11468"/>
    <d v="2025-01-07T00:00:00"/>
    <d v="2025-01-12T00:00:00"/>
    <d v="2025-01-14T00:00:00"/>
    <x v="3"/>
    <s v="India"/>
    <s v="Delhi"/>
    <s v="Kochi"/>
    <x v="1"/>
    <s v="Notebook"/>
    <s v="Spiral Notebook"/>
    <s v="Corporate"/>
    <n v="68381"/>
    <n v="0.01"/>
    <n v="16641"/>
    <n v="14"/>
    <s v="UPI"/>
    <s v="Low"/>
    <x v="4"/>
    <x v="0"/>
    <n v="5"/>
    <n v="7"/>
    <n v="0.24335707287111918"/>
  </r>
  <r>
    <n v="11469"/>
    <d v="2025-01-08T00:00:00"/>
    <d v="2025-01-12T00:00:00"/>
    <d v="2025-01-17T00:00:00"/>
    <x v="1"/>
    <s v="India"/>
    <s v="Maharashtra"/>
    <s v="Bangalore"/>
    <x v="2"/>
    <s v="Pen"/>
    <s v="Laser Printer"/>
    <s v="Corporate"/>
    <n v="54039"/>
    <n v="0.33"/>
    <n v="9405"/>
    <n v="2"/>
    <s v="Net Banking"/>
    <s v="High"/>
    <x v="4"/>
    <x v="0"/>
    <n v="4"/>
    <n v="9"/>
    <n v="0.17404097041025926"/>
  </r>
  <r>
    <n v="11470"/>
    <d v="2025-01-09T00:00:00"/>
    <d v="2025-01-13T00:00:00"/>
    <d v="2025-01-17T00:00:00"/>
    <x v="1"/>
    <s v="India"/>
    <s v="Telangana"/>
    <s v="Chennai"/>
    <x v="2"/>
    <s v="Mobile"/>
    <s v="Gel Pen"/>
    <s v="Home Office"/>
    <n v="26896"/>
    <n v="0.12"/>
    <n v="17472"/>
    <n v="4"/>
    <s v="Credit Card"/>
    <s v="High"/>
    <x v="4"/>
    <x v="0"/>
    <n v="4"/>
    <n v="8"/>
    <n v="0.6496133254015467"/>
  </r>
  <r>
    <n v="11471"/>
    <d v="2025-01-10T00:00:00"/>
    <d v="2025-01-15T00:00:00"/>
    <d v="2025-01-20T00:00:00"/>
    <x v="0"/>
    <s v="India"/>
    <s v="Tamil Nadu"/>
    <s v="Hyderabad"/>
    <x v="2"/>
    <s v="Printer"/>
    <s v="Smartphone"/>
    <s v="Home Office"/>
    <n v="66832"/>
    <n v="0.36"/>
    <n v="17136"/>
    <n v="22"/>
    <s v="Cash"/>
    <s v="High"/>
    <x v="4"/>
    <x v="0"/>
    <n v="5"/>
    <n v="10"/>
    <n v="0.25640411778788602"/>
  </r>
  <r>
    <n v="11472"/>
    <d v="2025-01-11T00:00:00"/>
    <d v="2025-01-17T00:00:00"/>
    <d v="2025-01-22T00:00:00"/>
    <x v="3"/>
    <s v="India"/>
    <s v="Delhi"/>
    <s v="Mumbai"/>
    <x v="2"/>
    <s v="Pen"/>
    <s v="Smartphone"/>
    <s v="Consumer"/>
    <n v="24317"/>
    <n v="0.01"/>
    <n v="9873"/>
    <n v="5"/>
    <s v="Debit Card"/>
    <s v="Low"/>
    <x v="4"/>
    <x v="0"/>
    <n v="6"/>
    <n v="11"/>
    <n v="0.40601225480116793"/>
  </r>
  <r>
    <n v="11473"/>
    <d v="2025-01-12T00:00:00"/>
    <d v="2025-01-18T00:00:00"/>
    <d v="2025-01-22T00:00:00"/>
    <x v="0"/>
    <s v="India"/>
    <s v="Maharashtra"/>
    <s v="Bangalore"/>
    <x v="1"/>
    <s v="Laptop"/>
    <s v="Gaming Laptop"/>
    <s v="Home Office"/>
    <n v="18668"/>
    <n v="0.01"/>
    <n v="14609"/>
    <n v="17"/>
    <s v="Credit Card"/>
    <s v="Medium"/>
    <x v="4"/>
    <x v="0"/>
    <n v="6"/>
    <n v="10"/>
    <n v="0.78256910220698517"/>
  </r>
  <r>
    <n v="11474"/>
    <d v="2025-01-13T00:00:00"/>
    <d v="2025-01-18T00:00:00"/>
    <d v="2025-01-21T00:00:00"/>
    <x v="0"/>
    <s v="India"/>
    <s v="Karnataka"/>
    <s v="Mumbai"/>
    <x v="1"/>
    <s v="Notebook"/>
    <s v="Gel Pen"/>
    <s v="Corporate"/>
    <n v="26691"/>
    <n v="0.24"/>
    <n v="4247"/>
    <n v="2"/>
    <s v="Net Banking"/>
    <s v="Medium"/>
    <x v="4"/>
    <x v="0"/>
    <n v="5"/>
    <n v="8"/>
    <n v="0.15911730545876887"/>
  </r>
  <r>
    <n v="11475"/>
    <d v="2025-01-14T00:00:00"/>
    <d v="2025-01-17T00:00:00"/>
    <d v="2025-01-19T00:00:00"/>
    <x v="1"/>
    <s v="India"/>
    <s v="Telangana"/>
    <s v="Bangalore"/>
    <x v="1"/>
    <s v="Table"/>
    <s v="Spiral Notebook"/>
    <s v="Consumer"/>
    <n v="64516"/>
    <n v="0.28000000000000003"/>
    <n v="8417"/>
    <n v="15"/>
    <s v="Net Banking"/>
    <s v="Low"/>
    <x v="4"/>
    <x v="0"/>
    <n v="3"/>
    <n v="5"/>
    <n v="0.13046376092752185"/>
  </r>
  <r>
    <n v="11476"/>
    <d v="2025-01-15T00:00:00"/>
    <d v="2025-01-20T00:00:00"/>
    <d v="2025-01-24T00:00:00"/>
    <x v="0"/>
    <s v="India"/>
    <s v="Kerala"/>
    <s v="Mumbai"/>
    <x v="0"/>
    <s v="Laptop"/>
    <s v="Office Chair"/>
    <s v="Consumer"/>
    <n v="3373"/>
    <n v="0.32"/>
    <n v="4896"/>
    <n v="14"/>
    <s v="Cash"/>
    <s v="Critical"/>
    <x v="4"/>
    <x v="0"/>
    <n v="5"/>
    <n v="9"/>
    <n v="1.4515268307144975"/>
  </r>
  <r>
    <n v="11477"/>
    <d v="2025-01-16T00:00:00"/>
    <d v="2025-01-19T00:00:00"/>
    <d v="2025-01-23T00:00:00"/>
    <x v="2"/>
    <s v="India"/>
    <s v="Delhi"/>
    <s v="Chennai"/>
    <x v="0"/>
    <s v="Notebook"/>
    <s v="Laser Printer"/>
    <s v="Home Office"/>
    <n v="1743"/>
    <n v="0.18"/>
    <n v="4705"/>
    <n v="21"/>
    <s v="Net Banking"/>
    <s v="High"/>
    <x v="4"/>
    <x v="0"/>
    <n v="3"/>
    <n v="7"/>
    <n v="2.6993689041881814"/>
  </r>
  <r>
    <n v="11478"/>
    <d v="2025-01-17T00:00:00"/>
    <d v="2025-01-24T00:00:00"/>
    <d v="2025-01-29T00:00:00"/>
    <x v="1"/>
    <s v="India"/>
    <s v="Delhi"/>
    <s v="Kochi"/>
    <x v="1"/>
    <s v="Table"/>
    <s v="Dining Table"/>
    <s v="Corporate"/>
    <n v="70019"/>
    <n v="7.0000000000000007E-2"/>
    <n v="17913"/>
    <n v="20"/>
    <s v="Debit Card"/>
    <s v="Critical"/>
    <x v="4"/>
    <x v="0"/>
    <n v="7"/>
    <n v="12"/>
    <n v="0.25583056027649637"/>
  </r>
  <r>
    <n v="11479"/>
    <d v="2025-01-18T00:00:00"/>
    <d v="2025-01-24T00:00:00"/>
    <d v="2025-01-28T00:00:00"/>
    <x v="2"/>
    <s v="India"/>
    <s v="Delhi"/>
    <s v="Delhi"/>
    <x v="0"/>
    <s v="Laptop"/>
    <s v="Smartphone"/>
    <s v="Corporate"/>
    <n v="17926"/>
    <n v="0.24"/>
    <n v="14597"/>
    <n v="14"/>
    <s v="Cash"/>
    <s v="High"/>
    <x v="4"/>
    <x v="0"/>
    <n v="6"/>
    <n v="10"/>
    <n v="0.81429208970210865"/>
  </r>
  <r>
    <n v="11480"/>
    <d v="2025-01-19T00:00:00"/>
    <d v="2025-01-25T00:00:00"/>
    <d v="2025-01-26T00:00:00"/>
    <x v="1"/>
    <s v="India"/>
    <s v="Maharashtra"/>
    <s v="Bangalore"/>
    <x v="2"/>
    <s v="Mobile"/>
    <s v="Smartphone"/>
    <s v="Consumer"/>
    <n v="53178"/>
    <n v="0.1"/>
    <n v="12583"/>
    <n v="13"/>
    <s v="Net Banking"/>
    <s v="Critical"/>
    <x v="4"/>
    <x v="0"/>
    <n v="6"/>
    <n v="7"/>
    <n v="0.23662040693519876"/>
  </r>
  <r>
    <n v="11481"/>
    <d v="2025-01-20T00:00:00"/>
    <d v="2025-01-25T00:00:00"/>
    <d v="2025-01-27T00:00:00"/>
    <x v="3"/>
    <s v="India"/>
    <s v="Tamil Nadu"/>
    <s v="Delhi"/>
    <x v="0"/>
    <s v="Chair"/>
    <s v="Gel Pen"/>
    <s v="Corporate"/>
    <n v="52866"/>
    <n v="0.17"/>
    <n v="14033"/>
    <n v="24"/>
    <s v="UPI"/>
    <s v="Low"/>
    <x v="4"/>
    <x v="0"/>
    <n v="5"/>
    <n v="7"/>
    <n v="0.26544470926493396"/>
  </r>
  <r>
    <n v="11482"/>
    <d v="2025-01-21T00:00:00"/>
    <d v="2025-01-27T00:00:00"/>
    <d v="2025-02-01T00:00:00"/>
    <x v="1"/>
    <s v="India"/>
    <s v="Maharashtra"/>
    <s v="Bangalore"/>
    <x v="2"/>
    <s v="Chair"/>
    <s v="Smartphone"/>
    <s v="Corporate"/>
    <n v="859"/>
    <n v="0.25"/>
    <n v="6346"/>
    <n v="16"/>
    <s v="Net Banking"/>
    <s v="Medium"/>
    <x v="4"/>
    <x v="0"/>
    <n v="6"/>
    <n v="11"/>
    <n v="7.3876600698486614"/>
  </r>
  <r>
    <n v="11483"/>
    <d v="2025-01-22T00:00:00"/>
    <d v="2025-01-28T00:00:00"/>
    <d v="2025-01-29T00:00:00"/>
    <x v="0"/>
    <s v="India"/>
    <s v="Karnataka"/>
    <s v="Mumbai"/>
    <x v="0"/>
    <s v="Chair"/>
    <s v="Gel Pen"/>
    <s v="Home Office"/>
    <n v="52967"/>
    <n v="0.2"/>
    <n v="11154"/>
    <n v="17"/>
    <s v="Credit Card"/>
    <s v="Critical"/>
    <x v="4"/>
    <x v="0"/>
    <n v="6"/>
    <n v="7"/>
    <n v="0.21058394849623349"/>
  </r>
  <r>
    <n v="11484"/>
    <d v="2025-01-23T00:00:00"/>
    <d v="2025-01-25T00:00:00"/>
    <d v="2025-01-29T00:00:00"/>
    <x v="2"/>
    <s v="India"/>
    <s v="Maharashtra"/>
    <s v="Chennai"/>
    <x v="0"/>
    <s v="Chair"/>
    <s v="Gaming Laptop"/>
    <s v="Home Office"/>
    <n v="29157"/>
    <n v="0.28000000000000003"/>
    <n v="9589"/>
    <n v="11"/>
    <s v="Cash"/>
    <s v="High"/>
    <x v="4"/>
    <x v="0"/>
    <n v="2"/>
    <n v="6"/>
    <n v="0.32887471276194397"/>
  </r>
  <r>
    <n v="11485"/>
    <d v="2025-01-24T00:00:00"/>
    <d v="2025-01-27T00:00:00"/>
    <d v="2025-01-30T00:00:00"/>
    <x v="2"/>
    <s v="India"/>
    <s v="Delhi"/>
    <s v="Delhi"/>
    <x v="2"/>
    <s v="Notebook"/>
    <s v="Gel Pen"/>
    <s v="Corporate"/>
    <n v="16673"/>
    <n v="0.37"/>
    <n v="-47"/>
    <n v="17"/>
    <s v="Net Banking"/>
    <s v="Critical"/>
    <x v="4"/>
    <x v="0"/>
    <n v="3"/>
    <n v="6"/>
    <n v="-2.8189288070533196E-3"/>
  </r>
  <r>
    <n v="11486"/>
    <d v="2025-01-25T00:00:00"/>
    <d v="2025-02-01T00:00:00"/>
    <d v="2025-02-06T00:00:00"/>
    <x v="3"/>
    <s v="India"/>
    <s v="Maharashtra"/>
    <s v="Hyderabad"/>
    <x v="2"/>
    <s v="Pen"/>
    <s v="Smartphone"/>
    <s v="Home Office"/>
    <n v="31089"/>
    <n v="0.37"/>
    <n v="6"/>
    <n v="24"/>
    <s v="UPI"/>
    <s v="Critical"/>
    <x v="4"/>
    <x v="0"/>
    <n v="7"/>
    <n v="12"/>
    <n v="1.9299430666795331E-4"/>
  </r>
  <r>
    <n v="11487"/>
    <d v="2025-01-26T00:00:00"/>
    <d v="2025-02-01T00:00:00"/>
    <d v="2025-02-02T00:00:00"/>
    <x v="3"/>
    <s v="India"/>
    <s v="Maharashtra"/>
    <s v="Chennai"/>
    <x v="1"/>
    <s v="Mobile"/>
    <s v="Laser Printer"/>
    <s v="Consumer"/>
    <n v="71854"/>
    <n v="0.37"/>
    <n v="3522"/>
    <n v="19"/>
    <s v="UPI"/>
    <s v="Medium"/>
    <x v="4"/>
    <x v="0"/>
    <n v="6"/>
    <n v="7"/>
    <n v="4.9016060344587636E-2"/>
  </r>
  <r>
    <n v="11488"/>
    <d v="2025-01-27T00:00:00"/>
    <d v="2025-01-30T00:00:00"/>
    <d v="2025-01-31T00:00:00"/>
    <x v="3"/>
    <s v="India"/>
    <s v="Telangana"/>
    <s v="Mumbai"/>
    <x v="0"/>
    <s v="Table"/>
    <s v="Laser Printer"/>
    <s v="Home Office"/>
    <n v="54602"/>
    <n v="0.12"/>
    <n v="5383"/>
    <n v="12"/>
    <s v="Cash"/>
    <s v="High"/>
    <x v="4"/>
    <x v="0"/>
    <n v="3"/>
    <n v="4"/>
    <n v="9.8586132376103433E-2"/>
  </r>
  <r>
    <n v="11489"/>
    <d v="2025-01-28T00:00:00"/>
    <d v="2025-01-30T00:00:00"/>
    <d v="2025-02-02T00:00:00"/>
    <x v="1"/>
    <s v="India"/>
    <s v="Delhi"/>
    <s v="Chennai"/>
    <x v="2"/>
    <s v="Chair"/>
    <s v="Smartphone"/>
    <s v="Home Office"/>
    <n v="50327"/>
    <n v="0.33"/>
    <n v="6318"/>
    <n v="15"/>
    <s v="Net Banking"/>
    <s v="Medium"/>
    <x v="4"/>
    <x v="0"/>
    <n v="2"/>
    <n v="5"/>
    <n v="0.12553897510282752"/>
  </r>
  <r>
    <n v="11490"/>
    <d v="2025-01-29T00:00:00"/>
    <d v="2025-01-31T00:00:00"/>
    <d v="2025-02-04T00:00:00"/>
    <x v="0"/>
    <s v="India"/>
    <s v="Karnataka"/>
    <s v="Bangalore"/>
    <x v="1"/>
    <s v="Table"/>
    <s v="Spiral Notebook"/>
    <s v="Home Office"/>
    <n v="59403"/>
    <n v="0.32"/>
    <n v="770"/>
    <n v="18"/>
    <s v="UPI"/>
    <s v="High"/>
    <x v="4"/>
    <x v="0"/>
    <n v="2"/>
    <n v="6"/>
    <n v="1.2962308300927563E-2"/>
  </r>
  <r>
    <n v="11491"/>
    <d v="2025-01-30T00:00:00"/>
    <d v="2025-02-04T00:00:00"/>
    <d v="2025-02-06T00:00:00"/>
    <x v="2"/>
    <s v="India"/>
    <s v="Telangana"/>
    <s v="Chennai"/>
    <x v="1"/>
    <s v="Laptop"/>
    <s v="Dining Table"/>
    <s v="Consumer"/>
    <n v="4118"/>
    <n v="0.24"/>
    <n v="19632"/>
    <n v="18"/>
    <s v="Credit Card"/>
    <s v="Medium"/>
    <x v="4"/>
    <x v="0"/>
    <n v="5"/>
    <n v="7"/>
    <n v="4.7673627974745019"/>
  </r>
  <r>
    <n v="11492"/>
    <d v="2025-01-31T00:00:00"/>
    <d v="2025-02-02T00:00:00"/>
    <d v="2025-02-05T00:00:00"/>
    <x v="2"/>
    <s v="India"/>
    <s v="Delhi"/>
    <s v="Mumbai"/>
    <x v="2"/>
    <s v="Printer"/>
    <s v="Spiral Notebook"/>
    <s v="Home Office"/>
    <n v="2644"/>
    <n v="0.06"/>
    <n v="14644"/>
    <n v="15"/>
    <s v="Credit Card"/>
    <s v="Medium"/>
    <x v="4"/>
    <x v="0"/>
    <n v="2"/>
    <n v="5"/>
    <n v="5.5385779122541603"/>
  </r>
  <r>
    <n v="11493"/>
    <d v="2025-02-01T00:00:00"/>
    <d v="2025-02-06T00:00:00"/>
    <d v="2025-02-10T00:00:00"/>
    <x v="0"/>
    <s v="India"/>
    <s v="Telangana"/>
    <s v="Kochi"/>
    <x v="1"/>
    <s v="Pen"/>
    <s v="Spiral Notebook"/>
    <s v="Home Office"/>
    <n v="43561"/>
    <n v="0.19"/>
    <n v="19054"/>
    <n v="8"/>
    <s v="Debit Card"/>
    <s v="Critical"/>
    <x v="4"/>
    <x v="1"/>
    <n v="5"/>
    <n v="9"/>
    <n v="0.4374096095130966"/>
  </r>
  <r>
    <n v="11494"/>
    <d v="2025-02-02T00:00:00"/>
    <d v="2025-02-05T00:00:00"/>
    <d v="2025-02-07T00:00:00"/>
    <x v="1"/>
    <s v="India"/>
    <s v="Kerala"/>
    <s v="Chennai"/>
    <x v="2"/>
    <s v="Notebook"/>
    <s v="Spiral Notebook"/>
    <s v="Home Office"/>
    <n v="57081"/>
    <n v="0.28999999999999998"/>
    <n v="5324"/>
    <n v="20"/>
    <s v="UPI"/>
    <s v="Low"/>
    <x v="4"/>
    <x v="1"/>
    <n v="3"/>
    <n v="5"/>
    <n v="9.3270965820500693E-2"/>
  </r>
  <r>
    <n v="11495"/>
    <d v="2025-02-03T00:00:00"/>
    <d v="2025-02-06T00:00:00"/>
    <d v="2025-02-08T00:00:00"/>
    <x v="3"/>
    <s v="India"/>
    <s v="Telangana"/>
    <s v="Kochi"/>
    <x v="0"/>
    <s v="Mobile"/>
    <s v="Gaming Laptop"/>
    <s v="Consumer"/>
    <n v="71874"/>
    <n v="0.04"/>
    <n v="10488"/>
    <n v="4"/>
    <s v="Credit Card"/>
    <s v="High"/>
    <x v="4"/>
    <x v="1"/>
    <n v="3"/>
    <n v="5"/>
    <n v="0.14592203021955089"/>
  </r>
  <r>
    <n v="11496"/>
    <d v="2025-02-04T00:00:00"/>
    <d v="2025-02-08T00:00:00"/>
    <d v="2025-02-10T00:00:00"/>
    <x v="0"/>
    <s v="India"/>
    <s v="Tamil Nadu"/>
    <s v="Kochi"/>
    <x v="1"/>
    <s v="Laptop"/>
    <s v="Gel Pen"/>
    <s v="Corporate"/>
    <n v="12970"/>
    <n v="0.03"/>
    <n v="-725"/>
    <n v="23"/>
    <s v="Net Banking"/>
    <s v="Low"/>
    <x v="4"/>
    <x v="1"/>
    <n v="4"/>
    <n v="6"/>
    <n v="-5.5898226676946799E-2"/>
  </r>
  <r>
    <n v="11497"/>
    <d v="2025-02-05T00:00:00"/>
    <d v="2025-02-11T00:00:00"/>
    <d v="2025-02-12T00:00:00"/>
    <x v="0"/>
    <s v="India"/>
    <s v="Maharashtra"/>
    <s v="Mumbai"/>
    <x v="1"/>
    <s v="Laptop"/>
    <s v="Spiral Notebook"/>
    <s v="Corporate"/>
    <n v="21820"/>
    <n v="7.0000000000000007E-2"/>
    <n v="7319"/>
    <n v="10"/>
    <s v="Credit Card"/>
    <s v="Low"/>
    <x v="4"/>
    <x v="1"/>
    <n v="6"/>
    <n v="7"/>
    <n v="0.33542621448212651"/>
  </r>
  <r>
    <n v="11498"/>
    <d v="2025-02-06T00:00:00"/>
    <d v="2025-02-11T00:00:00"/>
    <d v="2025-02-15T00:00:00"/>
    <x v="3"/>
    <s v="India"/>
    <s v="Delhi"/>
    <s v="Delhi"/>
    <x v="1"/>
    <s v="Mobile"/>
    <s v="Gaming Laptop"/>
    <s v="Home Office"/>
    <n v="68607"/>
    <n v="0.16"/>
    <n v="3216"/>
    <n v="5"/>
    <s v="UPI"/>
    <s v="Medium"/>
    <x v="4"/>
    <x v="1"/>
    <n v="5"/>
    <n v="9"/>
    <n v="4.68756832393196E-2"/>
  </r>
  <r>
    <n v="11499"/>
    <d v="2025-02-07T00:00:00"/>
    <d v="2025-02-10T00:00:00"/>
    <d v="2025-02-14T00:00:00"/>
    <x v="2"/>
    <s v="India"/>
    <s v="Karnataka"/>
    <s v="Delhi"/>
    <x v="2"/>
    <s v="Chair"/>
    <s v="Gel Pen"/>
    <s v="Corporate"/>
    <n v="31973"/>
    <n v="0.15"/>
    <n v="8887"/>
    <n v="22"/>
    <s v="Cash"/>
    <s v="Medium"/>
    <x v="4"/>
    <x v="1"/>
    <n v="3"/>
    <n v="7"/>
    <n v="0.27795327307415629"/>
  </r>
  <r>
    <n v="11500"/>
    <d v="2025-02-08T00:00:00"/>
    <d v="2025-02-15T00:00:00"/>
    <d v="2025-02-20T00:00:00"/>
    <x v="3"/>
    <s v="India"/>
    <s v="Maharashtra"/>
    <s v="Hyderabad"/>
    <x v="0"/>
    <s v="Laptop"/>
    <s v="Dining Table"/>
    <s v="Corporate"/>
    <n v="4893"/>
    <n v="0.13"/>
    <n v="-653"/>
    <n v="15"/>
    <s v="Cash"/>
    <s v="High"/>
    <x v="4"/>
    <x v="1"/>
    <n v="7"/>
    <n v="12"/>
    <n v="-0.13345595749029227"/>
  </r>
  <r>
    <n v="11501"/>
    <d v="2025-02-09T00:00:00"/>
    <d v="2025-02-11T00:00:00"/>
    <d v="2025-02-15T00:00:00"/>
    <x v="3"/>
    <s v="India"/>
    <s v="Tamil Nadu"/>
    <s v="Kochi"/>
    <x v="2"/>
    <s v="Notebook"/>
    <s v="Smartphone"/>
    <s v="Home Office"/>
    <n v="19559"/>
    <n v="0.01"/>
    <n v="6299"/>
    <n v="3"/>
    <s v="Cash"/>
    <s v="Critical"/>
    <x v="4"/>
    <x v="1"/>
    <n v="2"/>
    <n v="6"/>
    <n v="0.32205122961296589"/>
  </r>
  <r>
    <n v="11502"/>
    <d v="2025-02-10T00:00:00"/>
    <d v="2025-02-13T00:00:00"/>
    <d v="2025-02-16T00:00:00"/>
    <x v="2"/>
    <s v="India"/>
    <s v="Delhi"/>
    <s v="Kochi"/>
    <x v="2"/>
    <s v="Mobile"/>
    <s v="Gel Pen"/>
    <s v="Home Office"/>
    <n v="52519"/>
    <n v="0.14000000000000001"/>
    <n v="299"/>
    <n v="24"/>
    <s v="Cash"/>
    <s v="Medium"/>
    <x v="4"/>
    <x v="1"/>
    <n v="3"/>
    <n v="6"/>
    <n v="5.6931777071155204E-3"/>
  </r>
  <r>
    <n v="11503"/>
    <d v="2025-02-11T00:00:00"/>
    <d v="2025-02-14T00:00:00"/>
    <d v="2025-02-17T00:00:00"/>
    <x v="3"/>
    <s v="India"/>
    <s v="Karnataka"/>
    <s v="Kochi"/>
    <x v="2"/>
    <s v="Table"/>
    <s v="Laser Printer"/>
    <s v="Corporate"/>
    <n v="22235"/>
    <n v="0.38"/>
    <n v="17978"/>
    <n v="19"/>
    <s v="Net Banking"/>
    <s v="Medium"/>
    <x v="4"/>
    <x v="1"/>
    <n v="3"/>
    <n v="6"/>
    <n v="0.80854508657521929"/>
  </r>
  <r>
    <n v="11504"/>
    <d v="2025-02-12T00:00:00"/>
    <d v="2025-02-14T00:00:00"/>
    <d v="2025-02-15T00:00:00"/>
    <x v="3"/>
    <s v="India"/>
    <s v="Kerala"/>
    <s v="Kochi"/>
    <x v="1"/>
    <s v="Mobile"/>
    <s v="Gel Pen"/>
    <s v="Consumer"/>
    <n v="44201"/>
    <n v="0.34"/>
    <n v="10403"/>
    <n v="6"/>
    <s v="Cash"/>
    <s v="Critical"/>
    <x v="4"/>
    <x v="1"/>
    <n v="2"/>
    <n v="3"/>
    <n v="0.23535666613877515"/>
  </r>
  <r>
    <n v="11505"/>
    <d v="2025-02-13T00:00:00"/>
    <d v="2025-02-15T00:00:00"/>
    <d v="2025-02-20T00:00:00"/>
    <x v="2"/>
    <s v="India"/>
    <s v="Delhi"/>
    <s v="Kochi"/>
    <x v="0"/>
    <s v="Table"/>
    <s v="Gaming Laptop"/>
    <s v="Consumer"/>
    <n v="17939"/>
    <n v="0.33"/>
    <n v="11056"/>
    <n v="22"/>
    <s v="Debit Card"/>
    <s v="High"/>
    <x v="4"/>
    <x v="1"/>
    <n v="2"/>
    <n v="7"/>
    <n v="0.6163108311500084"/>
  </r>
  <r>
    <n v="11506"/>
    <d v="2025-02-14T00:00:00"/>
    <d v="2025-02-18T00:00:00"/>
    <d v="2025-02-21T00:00:00"/>
    <x v="2"/>
    <s v="India"/>
    <s v="Kerala"/>
    <s v="Bangalore"/>
    <x v="1"/>
    <s v="Laptop"/>
    <s v="Smartphone"/>
    <s v="Consumer"/>
    <n v="12524"/>
    <n v="0.13"/>
    <n v="3627"/>
    <n v="13"/>
    <s v="Credit Card"/>
    <s v="High"/>
    <x v="4"/>
    <x v="1"/>
    <n v="4"/>
    <n v="7"/>
    <n v="0.28960396039603958"/>
  </r>
  <r>
    <n v="11507"/>
    <d v="2025-02-15T00:00:00"/>
    <d v="2025-02-17T00:00:00"/>
    <d v="2025-02-21T00:00:00"/>
    <x v="0"/>
    <s v="India"/>
    <s v="Tamil Nadu"/>
    <s v="Hyderabad"/>
    <x v="0"/>
    <s v="Mobile"/>
    <s v="Dining Table"/>
    <s v="Consumer"/>
    <n v="64124"/>
    <n v="0.01"/>
    <n v="19173"/>
    <n v="12"/>
    <s v="Net Banking"/>
    <s v="Critical"/>
    <x v="4"/>
    <x v="1"/>
    <n v="2"/>
    <n v="6"/>
    <n v="0.29899881479633211"/>
  </r>
  <r>
    <n v="11508"/>
    <d v="2025-02-16T00:00:00"/>
    <d v="2025-02-22T00:00:00"/>
    <d v="2025-02-27T00:00:00"/>
    <x v="3"/>
    <s v="India"/>
    <s v="Kerala"/>
    <s v="Bangalore"/>
    <x v="0"/>
    <s v="Notebook"/>
    <s v="Office Chair"/>
    <s v="Consumer"/>
    <n v="27991"/>
    <n v="0.38"/>
    <n v="4108"/>
    <n v="19"/>
    <s v="Credit Card"/>
    <s v="Critical"/>
    <x v="4"/>
    <x v="1"/>
    <n v="6"/>
    <n v="11"/>
    <n v="0.14676145904040586"/>
  </r>
  <r>
    <n v="11509"/>
    <d v="2025-02-17T00:00:00"/>
    <d v="2025-02-19T00:00:00"/>
    <d v="2025-02-20T00:00:00"/>
    <x v="0"/>
    <s v="India"/>
    <s v="Maharashtra"/>
    <s v="Mumbai"/>
    <x v="1"/>
    <s v="Laptop"/>
    <s v="Gel Pen"/>
    <s v="Home Office"/>
    <n v="44592"/>
    <n v="0.37"/>
    <n v="18582"/>
    <n v="21"/>
    <s v="Cash"/>
    <s v="Critical"/>
    <x v="4"/>
    <x v="1"/>
    <n v="2"/>
    <n v="3"/>
    <n v="0.41671151776103338"/>
  </r>
  <r>
    <n v="11510"/>
    <d v="2025-02-18T00:00:00"/>
    <d v="2025-02-23T00:00:00"/>
    <d v="2025-02-24T00:00:00"/>
    <x v="0"/>
    <s v="India"/>
    <s v="Delhi"/>
    <s v="Delhi"/>
    <x v="0"/>
    <s v="Notebook"/>
    <s v="Smartphone"/>
    <s v="Home Office"/>
    <n v="39945"/>
    <n v="0.24"/>
    <n v="2192"/>
    <n v="2"/>
    <s v="Debit Card"/>
    <s v="High"/>
    <x v="4"/>
    <x v="1"/>
    <n v="5"/>
    <n v="6"/>
    <n v="5.4875453748904741E-2"/>
  </r>
  <r>
    <n v="11511"/>
    <d v="2025-02-19T00:00:00"/>
    <d v="2025-02-26T00:00:00"/>
    <d v="2025-03-02T00:00:00"/>
    <x v="3"/>
    <s v="India"/>
    <s v="Kerala"/>
    <s v="Bangalore"/>
    <x v="1"/>
    <s v="Laptop"/>
    <s v="Dining Table"/>
    <s v="Corporate"/>
    <n v="5071"/>
    <n v="0.22"/>
    <n v="4282"/>
    <n v="5"/>
    <s v="UPI"/>
    <s v="Medium"/>
    <x v="4"/>
    <x v="1"/>
    <n v="7"/>
    <n v="11"/>
    <n v="0.844409386708736"/>
  </r>
  <r>
    <n v="11512"/>
    <d v="2025-02-20T00:00:00"/>
    <d v="2025-02-24T00:00:00"/>
    <d v="2025-03-01T00:00:00"/>
    <x v="3"/>
    <s v="India"/>
    <s v="Karnataka"/>
    <s v="Mumbai"/>
    <x v="2"/>
    <s v="Laptop"/>
    <s v="Smartphone"/>
    <s v="Consumer"/>
    <n v="32664"/>
    <n v="0.13"/>
    <n v="16591"/>
    <n v="22"/>
    <s v="Debit Card"/>
    <s v="Medium"/>
    <x v="4"/>
    <x v="1"/>
    <n v="4"/>
    <n v="9"/>
    <n v="0.50792921871173158"/>
  </r>
  <r>
    <n v="11513"/>
    <d v="2025-02-21T00:00:00"/>
    <d v="2025-02-25T00:00:00"/>
    <d v="2025-03-01T00:00:00"/>
    <x v="0"/>
    <s v="India"/>
    <s v="Delhi"/>
    <s v="Hyderabad"/>
    <x v="1"/>
    <s v="Laptop"/>
    <s v="Office Chair"/>
    <s v="Consumer"/>
    <n v="27983"/>
    <n v="0.31"/>
    <n v="19073"/>
    <n v="6"/>
    <s v="Net Banking"/>
    <s v="Critical"/>
    <x v="4"/>
    <x v="1"/>
    <n v="4"/>
    <n v="8"/>
    <n v="0.68159239538291105"/>
  </r>
  <r>
    <n v="11514"/>
    <d v="2025-02-22T00:00:00"/>
    <d v="2025-03-01T00:00:00"/>
    <d v="2025-03-05T00:00:00"/>
    <x v="0"/>
    <s v="India"/>
    <s v="Tamil Nadu"/>
    <s v="Mumbai"/>
    <x v="1"/>
    <s v="Mobile"/>
    <s v="Smartphone"/>
    <s v="Consumer"/>
    <n v="24931"/>
    <n v="0.21"/>
    <n v="10823"/>
    <n v="1"/>
    <s v="Net Banking"/>
    <s v="High"/>
    <x v="4"/>
    <x v="1"/>
    <n v="7"/>
    <n v="11"/>
    <n v="0.43411816613854237"/>
  </r>
  <r>
    <n v="11515"/>
    <d v="2025-02-23T00:00:00"/>
    <d v="2025-03-01T00:00:00"/>
    <d v="2025-03-03T00:00:00"/>
    <x v="3"/>
    <s v="India"/>
    <s v="Maharashtra"/>
    <s v="Kochi"/>
    <x v="2"/>
    <s v="Notebook"/>
    <s v="Dining Table"/>
    <s v="Consumer"/>
    <n v="51263"/>
    <n v="0.08"/>
    <n v="11980"/>
    <n v="20"/>
    <s v="UPI"/>
    <s v="Medium"/>
    <x v="4"/>
    <x v="1"/>
    <n v="6"/>
    <n v="8"/>
    <n v="0.23369681836802372"/>
  </r>
  <r>
    <n v="11516"/>
    <d v="2025-02-24T00:00:00"/>
    <d v="2025-03-03T00:00:00"/>
    <d v="2025-03-06T00:00:00"/>
    <x v="3"/>
    <s v="India"/>
    <s v="Maharashtra"/>
    <s v="Hyderabad"/>
    <x v="1"/>
    <s v="Chair"/>
    <s v="Gel Pen"/>
    <s v="Consumer"/>
    <n v="27591"/>
    <n v="0.11"/>
    <n v="9858"/>
    <n v="6"/>
    <s v="Credit Card"/>
    <s v="Low"/>
    <x v="4"/>
    <x v="1"/>
    <n v="7"/>
    <n v="10"/>
    <n v="0.35729042078938783"/>
  </r>
  <r>
    <n v="11517"/>
    <d v="2025-02-25T00:00:00"/>
    <d v="2025-03-04T00:00:00"/>
    <d v="2025-03-05T00:00:00"/>
    <x v="0"/>
    <s v="India"/>
    <s v="Tamil Nadu"/>
    <s v="Mumbai"/>
    <x v="1"/>
    <s v="Printer"/>
    <s v="Smartphone"/>
    <s v="Corporate"/>
    <n v="8533"/>
    <n v="0.02"/>
    <n v="1345"/>
    <n v="16"/>
    <s v="Credit Card"/>
    <s v="High"/>
    <x v="4"/>
    <x v="1"/>
    <n v="7"/>
    <n v="8"/>
    <n v="0.15762334466190087"/>
  </r>
  <r>
    <n v="11518"/>
    <d v="2025-02-26T00:00:00"/>
    <d v="2025-03-01T00:00:00"/>
    <d v="2025-03-06T00:00:00"/>
    <x v="1"/>
    <s v="India"/>
    <s v="Delhi"/>
    <s v="Mumbai"/>
    <x v="0"/>
    <s v="Mobile"/>
    <s v="Office Chair"/>
    <s v="Corporate"/>
    <n v="26943"/>
    <n v="0.15"/>
    <n v="11941"/>
    <n v="3"/>
    <s v="Debit Card"/>
    <s v="Low"/>
    <x v="4"/>
    <x v="1"/>
    <n v="3"/>
    <n v="8"/>
    <n v="0.4431948929220948"/>
  </r>
  <r>
    <n v="11519"/>
    <d v="2025-02-27T00:00:00"/>
    <d v="2025-03-04T00:00:00"/>
    <d v="2025-03-06T00:00:00"/>
    <x v="0"/>
    <s v="India"/>
    <s v="Tamil Nadu"/>
    <s v="Hyderabad"/>
    <x v="2"/>
    <s v="Pen"/>
    <s v="Gaming Laptop"/>
    <s v="Corporate"/>
    <n v="43205"/>
    <n v="0.22"/>
    <n v="7335"/>
    <n v="14"/>
    <s v="Net Banking"/>
    <s v="High"/>
    <x v="4"/>
    <x v="1"/>
    <n v="5"/>
    <n v="7"/>
    <n v="0.16977201712764725"/>
  </r>
  <r>
    <n v="11520"/>
    <d v="2025-02-28T00:00:00"/>
    <d v="2025-03-04T00:00:00"/>
    <d v="2025-03-06T00:00:00"/>
    <x v="1"/>
    <s v="India"/>
    <s v="Tamil Nadu"/>
    <s v="Bangalore"/>
    <x v="1"/>
    <s v="Laptop"/>
    <s v="Gel Pen"/>
    <s v="Corporate"/>
    <n v="16752"/>
    <n v="0.3"/>
    <n v="17220"/>
    <n v="5"/>
    <s v="Net Banking"/>
    <s v="Critical"/>
    <x v="4"/>
    <x v="1"/>
    <n v="4"/>
    <n v="6"/>
    <n v="1.0279369627507164"/>
  </r>
  <r>
    <n v="11521"/>
    <d v="2025-03-01T00:00:00"/>
    <d v="2025-03-08T00:00:00"/>
    <d v="2025-03-11T00:00:00"/>
    <x v="1"/>
    <s v="India"/>
    <s v="Maharashtra"/>
    <s v="Delhi"/>
    <x v="2"/>
    <s v="Printer"/>
    <s v="Smartphone"/>
    <s v="Home Office"/>
    <n v="1288"/>
    <n v="0.3"/>
    <n v="14509"/>
    <n v="3"/>
    <s v="UPI"/>
    <s v="High"/>
    <x v="4"/>
    <x v="2"/>
    <n v="7"/>
    <n v="10"/>
    <n v="11.264751552795031"/>
  </r>
  <r>
    <n v="11522"/>
    <d v="2025-03-02T00:00:00"/>
    <d v="2025-03-07T00:00:00"/>
    <d v="2025-03-08T00:00:00"/>
    <x v="3"/>
    <s v="India"/>
    <s v="Telangana"/>
    <s v="Delhi"/>
    <x v="1"/>
    <s v="Chair"/>
    <s v="Gel Pen"/>
    <s v="Corporate"/>
    <n v="14884"/>
    <n v="0.05"/>
    <n v="7780"/>
    <n v="12"/>
    <s v="Net Banking"/>
    <s v="Medium"/>
    <x v="4"/>
    <x v="2"/>
    <n v="5"/>
    <n v="6"/>
    <n v="0.52270894920720234"/>
  </r>
  <r>
    <n v="11523"/>
    <d v="2025-03-03T00:00:00"/>
    <d v="2025-03-07T00:00:00"/>
    <d v="2025-03-11T00:00:00"/>
    <x v="1"/>
    <s v="India"/>
    <s v="Karnataka"/>
    <s v="Bangalore"/>
    <x v="2"/>
    <s v="Mobile"/>
    <s v="Gaming Laptop"/>
    <s v="Home Office"/>
    <n v="9756"/>
    <n v="0.24"/>
    <n v="15194"/>
    <n v="20"/>
    <s v="Cash"/>
    <s v="Low"/>
    <x v="4"/>
    <x v="2"/>
    <n v="4"/>
    <n v="8"/>
    <n v="1.5574005740057402"/>
  </r>
  <r>
    <n v="11524"/>
    <d v="2025-03-04T00:00:00"/>
    <d v="2025-03-08T00:00:00"/>
    <d v="2025-03-09T00:00:00"/>
    <x v="3"/>
    <s v="India"/>
    <s v="Delhi"/>
    <s v="Kochi"/>
    <x v="1"/>
    <s v="Printer"/>
    <s v="Smartphone"/>
    <s v="Home Office"/>
    <n v="35210"/>
    <n v="0.4"/>
    <n v="18655"/>
    <n v="13"/>
    <s v="UPI"/>
    <s v="High"/>
    <x v="4"/>
    <x v="2"/>
    <n v="4"/>
    <n v="5"/>
    <n v="0.52982107355864816"/>
  </r>
  <r>
    <n v="11525"/>
    <d v="2025-03-05T00:00:00"/>
    <d v="2025-03-08T00:00:00"/>
    <d v="2025-03-10T00:00:00"/>
    <x v="0"/>
    <s v="India"/>
    <s v="Tamil Nadu"/>
    <s v="Kochi"/>
    <x v="2"/>
    <s v="Table"/>
    <s v="Spiral Notebook"/>
    <s v="Home Office"/>
    <n v="47103"/>
    <n v="0.1"/>
    <n v="-703"/>
    <n v="23"/>
    <s v="Net Banking"/>
    <s v="Critical"/>
    <x v="4"/>
    <x v="2"/>
    <n v="3"/>
    <n v="5"/>
    <n v="-1.4924739400887416E-2"/>
  </r>
  <r>
    <n v="11526"/>
    <d v="2025-03-06T00:00:00"/>
    <d v="2025-03-13T00:00:00"/>
    <d v="2025-03-16T00:00:00"/>
    <x v="0"/>
    <s v="India"/>
    <s v="Maharashtra"/>
    <s v="Chennai"/>
    <x v="1"/>
    <s v="Table"/>
    <s v="Office Chair"/>
    <s v="Consumer"/>
    <n v="64636"/>
    <n v="0.16"/>
    <n v="18361"/>
    <n v="19"/>
    <s v="Net Banking"/>
    <s v="Medium"/>
    <x v="4"/>
    <x v="2"/>
    <n v="7"/>
    <n v="10"/>
    <n v="0.28406770220929511"/>
  </r>
  <r>
    <n v="11527"/>
    <d v="2025-03-07T00:00:00"/>
    <d v="2025-03-09T00:00:00"/>
    <d v="2025-03-10T00:00:00"/>
    <x v="0"/>
    <s v="India"/>
    <s v="Telangana"/>
    <s v="Delhi"/>
    <x v="0"/>
    <s v="Table"/>
    <s v="Gaming Laptop"/>
    <s v="Home Office"/>
    <n v="73742"/>
    <n v="0.33"/>
    <n v="6959"/>
    <n v="10"/>
    <s v="Debit Card"/>
    <s v="Low"/>
    <x v="4"/>
    <x v="2"/>
    <n v="2"/>
    <n v="3"/>
    <n v="9.4369558731794631E-2"/>
  </r>
  <r>
    <n v="11528"/>
    <d v="2025-03-08T00:00:00"/>
    <d v="2025-03-12T00:00:00"/>
    <d v="2025-03-16T00:00:00"/>
    <x v="2"/>
    <s v="India"/>
    <s v="Maharashtra"/>
    <s v="Kochi"/>
    <x v="2"/>
    <s v="Chair"/>
    <s v="Gaming Laptop"/>
    <s v="Home Office"/>
    <n v="72517"/>
    <n v="0.09"/>
    <n v="12321"/>
    <n v="5"/>
    <s v="Debit Card"/>
    <s v="Critical"/>
    <x v="4"/>
    <x v="2"/>
    <n v="4"/>
    <n v="8"/>
    <n v="0.16990498779596508"/>
  </r>
  <r>
    <n v="11529"/>
    <d v="2025-03-09T00:00:00"/>
    <d v="2025-03-12T00:00:00"/>
    <d v="2025-03-13T00:00:00"/>
    <x v="0"/>
    <s v="India"/>
    <s v="Maharashtra"/>
    <s v="Bangalore"/>
    <x v="0"/>
    <s v="Mobile"/>
    <s v="Gel Pen"/>
    <s v="Home Office"/>
    <n v="55858"/>
    <n v="0.32"/>
    <n v="6977"/>
    <n v="4"/>
    <s v="Debit Card"/>
    <s v="Medium"/>
    <x v="4"/>
    <x v="2"/>
    <n v="3"/>
    <n v="4"/>
    <n v="0.12490601167245516"/>
  </r>
  <r>
    <n v="11530"/>
    <d v="2025-03-10T00:00:00"/>
    <d v="2025-03-12T00:00:00"/>
    <d v="2025-03-16T00:00:00"/>
    <x v="1"/>
    <s v="India"/>
    <s v="Telangana"/>
    <s v="Kochi"/>
    <x v="2"/>
    <s v="Printer"/>
    <s v="Office Chair"/>
    <s v="Home Office"/>
    <n v="70691"/>
    <n v="0.21"/>
    <n v="15460"/>
    <n v="15"/>
    <s v="Debit Card"/>
    <s v="Low"/>
    <x v="4"/>
    <x v="2"/>
    <n v="2"/>
    <n v="6"/>
    <n v="0.21869827842299586"/>
  </r>
  <r>
    <n v="11531"/>
    <d v="2025-03-11T00:00:00"/>
    <d v="2025-03-17T00:00:00"/>
    <d v="2025-03-19T00:00:00"/>
    <x v="2"/>
    <s v="India"/>
    <s v="Delhi"/>
    <s v="Kochi"/>
    <x v="1"/>
    <s v="Pen"/>
    <s v="Smartphone"/>
    <s v="Consumer"/>
    <n v="44663"/>
    <n v="0.22"/>
    <n v="19214"/>
    <n v="22"/>
    <s v="UPI"/>
    <s v="Critical"/>
    <x v="4"/>
    <x v="2"/>
    <n v="6"/>
    <n v="8"/>
    <n v="0.43019949398831248"/>
  </r>
  <r>
    <n v="11532"/>
    <d v="2025-03-12T00:00:00"/>
    <d v="2025-03-14T00:00:00"/>
    <d v="2025-03-15T00:00:00"/>
    <x v="1"/>
    <s v="India"/>
    <s v="Tamil Nadu"/>
    <s v="Hyderabad"/>
    <x v="0"/>
    <s v="Chair"/>
    <s v="Gaming Laptop"/>
    <s v="Home Office"/>
    <n v="4121"/>
    <n v="0.25"/>
    <n v="17986"/>
    <n v="11"/>
    <s v="Credit Card"/>
    <s v="Critical"/>
    <x v="4"/>
    <x v="2"/>
    <n v="2"/>
    <n v="3"/>
    <n v="4.3644746420771661"/>
  </r>
  <r>
    <n v="11533"/>
    <d v="2025-03-13T00:00:00"/>
    <d v="2025-03-19T00:00:00"/>
    <d v="2025-03-22T00:00:00"/>
    <x v="1"/>
    <s v="India"/>
    <s v="Tamil Nadu"/>
    <s v="Bangalore"/>
    <x v="1"/>
    <s v="Table"/>
    <s v="Smartphone"/>
    <s v="Corporate"/>
    <n v="2971"/>
    <n v="0.4"/>
    <n v="8842"/>
    <n v="11"/>
    <s v="Debit Card"/>
    <s v="Low"/>
    <x v="4"/>
    <x v="2"/>
    <n v="6"/>
    <n v="9"/>
    <n v="2.9761023224503536"/>
  </r>
  <r>
    <n v="11534"/>
    <d v="2025-03-14T00:00:00"/>
    <d v="2025-03-20T00:00:00"/>
    <d v="2025-03-22T00:00:00"/>
    <x v="3"/>
    <s v="India"/>
    <s v="Telangana"/>
    <s v="Kochi"/>
    <x v="2"/>
    <s v="Pen"/>
    <s v="Dining Table"/>
    <s v="Corporate"/>
    <n v="46390"/>
    <n v="0.33"/>
    <n v="13198"/>
    <n v="8"/>
    <s v="Debit Card"/>
    <s v="Low"/>
    <x v="4"/>
    <x v="2"/>
    <n v="6"/>
    <n v="8"/>
    <n v="0.28450097003664582"/>
  </r>
  <r>
    <n v="11535"/>
    <d v="2025-03-15T00:00:00"/>
    <d v="2025-03-20T00:00:00"/>
    <d v="2025-03-25T00:00:00"/>
    <x v="0"/>
    <s v="India"/>
    <s v="Tamil Nadu"/>
    <s v="Delhi"/>
    <x v="1"/>
    <s v="Table"/>
    <s v="Spiral Notebook"/>
    <s v="Corporate"/>
    <n v="73635"/>
    <n v="0.22"/>
    <n v="19008"/>
    <n v="17"/>
    <s v="Debit Card"/>
    <s v="High"/>
    <x v="4"/>
    <x v="2"/>
    <n v="5"/>
    <n v="10"/>
    <n v="0.25813811366877165"/>
  </r>
  <r>
    <n v="11536"/>
    <d v="2025-03-16T00:00:00"/>
    <d v="2025-03-18T00:00:00"/>
    <d v="2025-03-19T00:00:00"/>
    <x v="0"/>
    <s v="India"/>
    <s v="Karnataka"/>
    <s v="Delhi"/>
    <x v="2"/>
    <s v="Chair"/>
    <s v="Office Chair"/>
    <s v="Consumer"/>
    <n v="30643"/>
    <n v="0.08"/>
    <n v="5480"/>
    <n v="10"/>
    <s v="UPI"/>
    <s v="High"/>
    <x v="4"/>
    <x v="2"/>
    <n v="2"/>
    <n v="3"/>
    <n v="0.17883366511111837"/>
  </r>
  <r>
    <n v="11537"/>
    <d v="2025-03-17T00:00:00"/>
    <d v="2025-03-19T00:00:00"/>
    <d v="2025-03-21T00:00:00"/>
    <x v="2"/>
    <s v="India"/>
    <s v="Tamil Nadu"/>
    <s v="Chennai"/>
    <x v="0"/>
    <s v="Printer"/>
    <s v="Spiral Notebook"/>
    <s v="Home Office"/>
    <n v="62974"/>
    <n v="0.28999999999999998"/>
    <n v="4485"/>
    <n v="17"/>
    <s v="Net Banking"/>
    <s v="Low"/>
    <x v="4"/>
    <x v="2"/>
    <n v="2"/>
    <n v="4"/>
    <n v="7.1219868517165816E-2"/>
  </r>
  <r>
    <n v="11538"/>
    <d v="2025-03-18T00:00:00"/>
    <d v="2025-03-22T00:00:00"/>
    <d v="2025-03-27T00:00:00"/>
    <x v="0"/>
    <s v="India"/>
    <s v="Telangana"/>
    <s v="Chennai"/>
    <x v="0"/>
    <s v="Printer"/>
    <s v="Spiral Notebook"/>
    <s v="Consumer"/>
    <n v="45854"/>
    <n v="0.16"/>
    <n v="13178"/>
    <n v="1"/>
    <s v="UPI"/>
    <s v="High"/>
    <x v="4"/>
    <x v="2"/>
    <n v="4"/>
    <n v="9"/>
    <n v="0.28739041305011559"/>
  </r>
  <r>
    <n v="11539"/>
    <d v="2025-03-19T00:00:00"/>
    <d v="2025-03-24T00:00:00"/>
    <d v="2025-03-27T00:00:00"/>
    <x v="3"/>
    <s v="India"/>
    <s v="Delhi"/>
    <s v="Mumbai"/>
    <x v="0"/>
    <s v="Chair"/>
    <s v="Gaming Laptop"/>
    <s v="Consumer"/>
    <n v="9567"/>
    <n v="0.16"/>
    <n v="8983"/>
    <n v="15"/>
    <s v="Debit Card"/>
    <s v="Medium"/>
    <x v="4"/>
    <x v="2"/>
    <n v="5"/>
    <n v="8"/>
    <n v="0.93895683077244696"/>
  </r>
  <r>
    <n v="11540"/>
    <d v="2025-03-20T00:00:00"/>
    <d v="2025-03-22T00:00:00"/>
    <d v="2025-03-27T00:00:00"/>
    <x v="1"/>
    <s v="India"/>
    <s v="Telangana"/>
    <s v="Kochi"/>
    <x v="0"/>
    <s v="Notebook"/>
    <s v="Office Chair"/>
    <s v="Corporate"/>
    <n v="51686"/>
    <n v="0.37"/>
    <n v="9620"/>
    <n v="10"/>
    <s v="Debit Card"/>
    <s v="Critical"/>
    <x v="4"/>
    <x v="2"/>
    <n v="2"/>
    <n v="7"/>
    <n v="0.18612390202375886"/>
  </r>
  <r>
    <n v="11541"/>
    <d v="2025-03-21T00:00:00"/>
    <d v="2025-03-26T00:00:00"/>
    <d v="2025-03-27T00:00:00"/>
    <x v="2"/>
    <s v="India"/>
    <s v="Telangana"/>
    <s v="Chennai"/>
    <x v="2"/>
    <s v="Laptop"/>
    <s v="Dining Table"/>
    <s v="Consumer"/>
    <n v="14571"/>
    <n v="0.35"/>
    <n v="3236"/>
    <n v="21"/>
    <s v="Credit Card"/>
    <s v="Medium"/>
    <x v="4"/>
    <x v="2"/>
    <n v="5"/>
    <n v="6"/>
    <n v="0.22208496328323382"/>
  </r>
  <r>
    <n v="11542"/>
    <d v="2025-03-22T00:00:00"/>
    <d v="2025-03-27T00:00:00"/>
    <d v="2025-03-29T00:00:00"/>
    <x v="2"/>
    <s v="India"/>
    <s v="Kerala"/>
    <s v="Kochi"/>
    <x v="0"/>
    <s v="Pen"/>
    <s v="Laser Printer"/>
    <s v="Home Office"/>
    <n v="17256"/>
    <n v="0.31"/>
    <n v="8061"/>
    <n v="3"/>
    <s v="Cash"/>
    <s v="Low"/>
    <x v="4"/>
    <x v="2"/>
    <n v="5"/>
    <n v="7"/>
    <n v="0.46714186369958277"/>
  </r>
  <r>
    <n v="11543"/>
    <d v="2025-03-23T00:00:00"/>
    <d v="2025-03-29T00:00:00"/>
    <d v="2025-04-01T00:00:00"/>
    <x v="1"/>
    <s v="India"/>
    <s v="Tamil Nadu"/>
    <s v="Bangalore"/>
    <x v="1"/>
    <s v="Table"/>
    <s v="Dining Table"/>
    <s v="Home Office"/>
    <n v="27998"/>
    <n v="0.18"/>
    <n v="377"/>
    <n v="2"/>
    <s v="Cash"/>
    <s v="Critical"/>
    <x v="4"/>
    <x v="2"/>
    <n v="6"/>
    <n v="9"/>
    <n v="1.3465247517679834E-2"/>
  </r>
  <r>
    <n v="11544"/>
    <d v="2025-03-24T00:00:00"/>
    <d v="2025-03-27T00:00:00"/>
    <d v="2025-03-31T00:00:00"/>
    <x v="0"/>
    <s v="India"/>
    <s v="Delhi"/>
    <s v="Bangalore"/>
    <x v="0"/>
    <s v="Table"/>
    <s v="Spiral Notebook"/>
    <s v="Consumer"/>
    <n v="32465"/>
    <n v="0.25"/>
    <n v="1563"/>
    <n v="7"/>
    <s v="Credit Card"/>
    <s v="High"/>
    <x v="4"/>
    <x v="2"/>
    <n v="3"/>
    <n v="7"/>
    <n v="4.814415524410904E-2"/>
  </r>
  <r>
    <n v="11545"/>
    <d v="2025-03-25T00:00:00"/>
    <d v="2025-03-31T00:00:00"/>
    <d v="2025-04-03T00:00:00"/>
    <x v="2"/>
    <s v="India"/>
    <s v="Tamil Nadu"/>
    <s v="Bangalore"/>
    <x v="0"/>
    <s v="Mobile"/>
    <s v="Dining Table"/>
    <s v="Corporate"/>
    <n v="42685"/>
    <n v="0.18"/>
    <n v="13114"/>
    <n v="17"/>
    <s v="Credit Card"/>
    <s v="High"/>
    <x v="4"/>
    <x v="2"/>
    <n v="6"/>
    <n v="9"/>
    <n v="0.30722736324235678"/>
  </r>
  <r>
    <n v="11546"/>
    <d v="2025-03-26T00:00:00"/>
    <d v="2025-03-29T00:00:00"/>
    <d v="2025-04-02T00:00:00"/>
    <x v="3"/>
    <s v="India"/>
    <s v="Delhi"/>
    <s v="Mumbai"/>
    <x v="1"/>
    <s v="Notebook"/>
    <s v="Laser Printer"/>
    <s v="Corporate"/>
    <n v="58875"/>
    <n v="0.2"/>
    <n v="9203"/>
    <n v="6"/>
    <s v="Net Banking"/>
    <s v="Medium"/>
    <x v="4"/>
    <x v="2"/>
    <n v="3"/>
    <n v="7"/>
    <n v="0.15631422505307854"/>
  </r>
  <r>
    <n v="11547"/>
    <d v="2025-03-27T00:00:00"/>
    <d v="2025-03-30T00:00:00"/>
    <d v="2025-04-04T00:00:00"/>
    <x v="1"/>
    <s v="India"/>
    <s v="Maharashtra"/>
    <s v="Kochi"/>
    <x v="0"/>
    <s v="Printer"/>
    <s v="Spiral Notebook"/>
    <s v="Consumer"/>
    <n v="48096"/>
    <n v="0.19"/>
    <n v="14691"/>
    <n v="1"/>
    <s v="Credit Card"/>
    <s v="High"/>
    <x v="4"/>
    <x v="2"/>
    <n v="3"/>
    <n v="8"/>
    <n v="0.30545159680638723"/>
  </r>
  <r>
    <n v="11548"/>
    <d v="2025-03-28T00:00:00"/>
    <d v="2025-04-03T00:00:00"/>
    <d v="2025-04-04T00:00:00"/>
    <x v="3"/>
    <s v="India"/>
    <s v="Maharashtra"/>
    <s v="Mumbai"/>
    <x v="2"/>
    <s v="Pen"/>
    <s v="Laser Printer"/>
    <s v="Consumer"/>
    <n v="2974"/>
    <n v="0.2"/>
    <n v="11733"/>
    <n v="17"/>
    <s v="Cash"/>
    <s v="Medium"/>
    <x v="4"/>
    <x v="2"/>
    <n v="6"/>
    <n v="7"/>
    <n v="3.9451916610625419"/>
  </r>
  <r>
    <n v="11549"/>
    <d v="2025-03-29T00:00:00"/>
    <d v="2025-04-05T00:00:00"/>
    <d v="2025-04-07T00:00:00"/>
    <x v="0"/>
    <s v="India"/>
    <s v="Karnataka"/>
    <s v="Kochi"/>
    <x v="2"/>
    <s v="Table"/>
    <s v="Office Chair"/>
    <s v="Consumer"/>
    <n v="28700"/>
    <n v="0.14000000000000001"/>
    <n v="16172"/>
    <n v="22"/>
    <s v="Net Banking"/>
    <s v="High"/>
    <x v="4"/>
    <x v="2"/>
    <n v="7"/>
    <n v="9"/>
    <n v="0.56348432055749131"/>
  </r>
  <r>
    <n v="11550"/>
    <d v="2025-03-30T00:00:00"/>
    <d v="2025-04-01T00:00:00"/>
    <d v="2025-04-04T00:00:00"/>
    <x v="2"/>
    <s v="India"/>
    <s v="Telangana"/>
    <s v="Mumbai"/>
    <x v="2"/>
    <s v="Laptop"/>
    <s v="Spiral Notebook"/>
    <s v="Corporate"/>
    <n v="10456"/>
    <n v="0.32"/>
    <n v="16045"/>
    <n v="19"/>
    <s v="Credit Card"/>
    <s v="Medium"/>
    <x v="4"/>
    <x v="2"/>
    <n v="2"/>
    <n v="5"/>
    <n v="1.5345256312165263"/>
  </r>
  <r>
    <n v="11551"/>
    <d v="2025-03-31T00:00:00"/>
    <d v="2025-04-07T00:00:00"/>
    <d v="2025-04-12T00:00:00"/>
    <x v="2"/>
    <s v="India"/>
    <s v="Karnataka"/>
    <s v="Hyderabad"/>
    <x v="2"/>
    <s v="Table"/>
    <s v="Spiral Notebook"/>
    <s v="Corporate"/>
    <n v="31655"/>
    <n v="0.22"/>
    <n v="19864"/>
    <n v="23"/>
    <s v="Credit Card"/>
    <s v="Medium"/>
    <x v="4"/>
    <x v="2"/>
    <n v="7"/>
    <n v="12"/>
    <n v="0.62751540041067766"/>
  </r>
  <r>
    <n v="11552"/>
    <d v="2025-04-01T00:00:00"/>
    <d v="2025-04-03T00:00:00"/>
    <d v="2025-04-08T00:00:00"/>
    <x v="2"/>
    <s v="India"/>
    <s v="Karnataka"/>
    <s v="Kochi"/>
    <x v="1"/>
    <s v="Notebook"/>
    <s v="Spiral Notebook"/>
    <s v="Home Office"/>
    <n v="49055"/>
    <n v="0.35"/>
    <n v="16391"/>
    <n v="6"/>
    <s v="Credit Card"/>
    <s v="Critical"/>
    <x v="4"/>
    <x v="3"/>
    <n v="2"/>
    <n v="7"/>
    <n v="0.33413515441850983"/>
  </r>
  <r>
    <n v="11553"/>
    <d v="2025-04-02T00:00:00"/>
    <d v="2025-04-07T00:00:00"/>
    <d v="2025-04-08T00:00:00"/>
    <x v="0"/>
    <s v="India"/>
    <s v="Maharashtra"/>
    <s v="Kochi"/>
    <x v="2"/>
    <s v="Mobile"/>
    <s v="Dining Table"/>
    <s v="Home Office"/>
    <n v="66560"/>
    <n v="0.39"/>
    <n v="3983"/>
    <n v="11"/>
    <s v="Net Banking"/>
    <s v="Critical"/>
    <x v="4"/>
    <x v="3"/>
    <n v="5"/>
    <n v="6"/>
    <n v="5.9840745192307691E-2"/>
  </r>
  <r>
    <n v="11554"/>
    <d v="2025-04-03T00:00:00"/>
    <d v="2025-04-07T00:00:00"/>
    <d v="2025-04-12T00:00:00"/>
    <x v="3"/>
    <s v="India"/>
    <s v="Kerala"/>
    <s v="Chennai"/>
    <x v="0"/>
    <s v="Pen"/>
    <s v="Spiral Notebook"/>
    <s v="Home Office"/>
    <n v="33832"/>
    <n v="0.22"/>
    <n v="7173"/>
    <n v="8"/>
    <s v="Credit Card"/>
    <s v="High"/>
    <x v="4"/>
    <x v="3"/>
    <n v="4"/>
    <n v="9"/>
    <n v="0.21201820761409318"/>
  </r>
  <r>
    <n v="11555"/>
    <d v="2025-04-04T00:00:00"/>
    <d v="2025-04-09T00:00:00"/>
    <d v="2025-04-13T00:00:00"/>
    <x v="3"/>
    <s v="India"/>
    <s v="Kerala"/>
    <s v="Hyderabad"/>
    <x v="2"/>
    <s v="Printer"/>
    <s v="Spiral Notebook"/>
    <s v="Corporate"/>
    <n v="58800"/>
    <n v="0.26"/>
    <n v="8199"/>
    <n v="18"/>
    <s v="Credit Card"/>
    <s v="Low"/>
    <x v="4"/>
    <x v="3"/>
    <n v="5"/>
    <n v="9"/>
    <n v="0.13943877551020409"/>
  </r>
  <r>
    <n v="11556"/>
    <d v="2025-04-05T00:00:00"/>
    <d v="2025-04-11T00:00:00"/>
    <d v="2025-04-14T00:00:00"/>
    <x v="0"/>
    <s v="India"/>
    <s v="Delhi"/>
    <s v="Kochi"/>
    <x v="2"/>
    <s v="Printer"/>
    <s v="Gaming Laptop"/>
    <s v="Corporate"/>
    <n v="21267"/>
    <n v="0.27"/>
    <n v="-233"/>
    <n v="16"/>
    <s v="Cash"/>
    <s v="Low"/>
    <x v="4"/>
    <x v="3"/>
    <n v="6"/>
    <n v="9"/>
    <n v="-1.0955941129449382E-2"/>
  </r>
  <r>
    <n v="11557"/>
    <d v="2025-04-06T00:00:00"/>
    <d v="2025-04-10T00:00:00"/>
    <d v="2025-04-12T00:00:00"/>
    <x v="1"/>
    <s v="India"/>
    <s v="Telangana"/>
    <s v="Hyderabad"/>
    <x v="1"/>
    <s v="Pen"/>
    <s v="Dining Table"/>
    <s v="Corporate"/>
    <n v="26800"/>
    <n v="0.35"/>
    <n v="7383"/>
    <n v="24"/>
    <s v="Credit Card"/>
    <s v="High"/>
    <x v="4"/>
    <x v="3"/>
    <n v="4"/>
    <n v="6"/>
    <n v="0.27548507462686567"/>
  </r>
  <r>
    <n v="11558"/>
    <d v="2025-04-07T00:00:00"/>
    <d v="2025-04-09T00:00:00"/>
    <d v="2025-04-10T00:00:00"/>
    <x v="0"/>
    <s v="India"/>
    <s v="Maharashtra"/>
    <s v="Bangalore"/>
    <x v="1"/>
    <s v="Mobile"/>
    <s v="Spiral Notebook"/>
    <s v="Corporate"/>
    <n v="55438"/>
    <n v="0.34"/>
    <n v="979"/>
    <n v="23"/>
    <s v="Debit Card"/>
    <s v="Medium"/>
    <x v="4"/>
    <x v="3"/>
    <n v="2"/>
    <n v="3"/>
    <n v="1.765936722103972E-2"/>
  </r>
  <r>
    <n v="11559"/>
    <d v="2025-04-08T00:00:00"/>
    <d v="2025-04-14T00:00:00"/>
    <d v="2025-04-18T00:00:00"/>
    <x v="0"/>
    <s v="India"/>
    <s v="Karnataka"/>
    <s v="Chennai"/>
    <x v="0"/>
    <s v="Table"/>
    <s v="Laser Printer"/>
    <s v="Consumer"/>
    <n v="31262"/>
    <n v="0.02"/>
    <n v="14408"/>
    <n v="17"/>
    <s v="Net Banking"/>
    <s v="Medium"/>
    <x v="4"/>
    <x v="3"/>
    <n v="6"/>
    <n v="10"/>
    <n v="0.46087902245537715"/>
  </r>
  <r>
    <n v="11560"/>
    <d v="2025-04-09T00:00:00"/>
    <d v="2025-04-11T00:00:00"/>
    <d v="2025-04-14T00:00:00"/>
    <x v="2"/>
    <s v="India"/>
    <s v="Tamil Nadu"/>
    <s v="Bangalore"/>
    <x v="2"/>
    <s v="Laptop"/>
    <s v="Smartphone"/>
    <s v="Corporate"/>
    <n v="19612"/>
    <n v="0.25"/>
    <n v="7211"/>
    <n v="19"/>
    <s v="Cash"/>
    <s v="High"/>
    <x v="4"/>
    <x v="3"/>
    <n v="2"/>
    <n v="5"/>
    <n v="0.36768305119314704"/>
  </r>
  <r>
    <n v="11561"/>
    <d v="2025-04-10T00:00:00"/>
    <d v="2025-04-14T00:00:00"/>
    <d v="2025-04-17T00:00:00"/>
    <x v="2"/>
    <s v="India"/>
    <s v="Tamil Nadu"/>
    <s v="Delhi"/>
    <x v="1"/>
    <s v="Mobile"/>
    <s v="Smartphone"/>
    <s v="Corporate"/>
    <n v="31963"/>
    <n v="0.04"/>
    <n v="-1839"/>
    <n v="10"/>
    <s v="UPI"/>
    <s v="High"/>
    <x v="4"/>
    <x v="3"/>
    <n v="4"/>
    <n v="7"/>
    <n v="-5.7535275161905951E-2"/>
  </r>
  <r>
    <n v="11562"/>
    <d v="2025-04-11T00:00:00"/>
    <d v="2025-04-16T00:00:00"/>
    <d v="2025-04-18T00:00:00"/>
    <x v="2"/>
    <s v="India"/>
    <s v="Delhi"/>
    <s v="Chennai"/>
    <x v="1"/>
    <s v="Printer"/>
    <s v="Dining Table"/>
    <s v="Home Office"/>
    <n v="70227"/>
    <n v="0.18"/>
    <n v="10237"/>
    <n v="23"/>
    <s v="Credit Card"/>
    <s v="Medium"/>
    <x v="4"/>
    <x v="3"/>
    <n v="5"/>
    <n v="7"/>
    <n v="0.14577014538567787"/>
  </r>
  <r>
    <n v="11563"/>
    <d v="2025-04-12T00:00:00"/>
    <d v="2025-04-16T00:00:00"/>
    <d v="2025-04-17T00:00:00"/>
    <x v="3"/>
    <s v="India"/>
    <s v="Telangana"/>
    <s v="Chennai"/>
    <x v="1"/>
    <s v="Chair"/>
    <s v="Smartphone"/>
    <s v="Consumer"/>
    <n v="2488"/>
    <n v="0.22"/>
    <n v="5533"/>
    <n v="5"/>
    <s v="Credit Card"/>
    <s v="High"/>
    <x v="4"/>
    <x v="3"/>
    <n v="4"/>
    <n v="5"/>
    <n v="2.2238745980707395"/>
  </r>
  <r>
    <n v="11564"/>
    <d v="2025-04-13T00:00:00"/>
    <d v="2025-04-18T00:00:00"/>
    <d v="2025-04-21T00:00:00"/>
    <x v="2"/>
    <s v="India"/>
    <s v="Maharashtra"/>
    <s v="Chennai"/>
    <x v="0"/>
    <s v="Pen"/>
    <s v="Office Chair"/>
    <s v="Home Office"/>
    <n v="724"/>
    <n v="0.13"/>
    <n v="12392"/>
    <n v="14"/>
    <s v="Credit Card"/>
    <s v="High"/>
    <x v="4"/>
    <x v="3"/>
    <n v="5"/>
    <n v="8"/>
    <n v="17.116022099447513"/>
  </r>
  <r>
    <n v="11565"/>
    <d v="2025-04-14T00:00:00"/>
    <d v="2025-04-21T00:00:00"/>
    <d v="2025-04-23T00:00:00"/>
    <x v="2"/>
    <s v="India"/>
    <s v="Tamil Nadu"/>
    <s v="Chennai"/>
    <x v="0"/>
    <s v="Table"/>
    <s v="Laser Printer"/>
    <s v="Home Office"/>
    <n v="4115"/>
    <n v="0.35"/>
    <n v="6659"/>
    <n v="5"/>
    <s v="UPI"/>
    <s v="Low"/>
    <x v="4"/>
    <x v="3"/>
    <n v="7"/>
    <n v="9"/>
    <n v="1.6182260024301336"/>
  </r>
  <r>
    <n v="11566"/>
    <d v="2025-04-15T00:00:00"/>
    <d v="2025-04-17T00:00:00"/>
    <d v="2025-04-19T00:00:00"/>
    <x v="1"/>
    <s v="India"/>
    <s v="Telangana"/>
    <s v="Mumbai"/>
    <x v="2"/>
    <s v="Mobile"/>
    <s v="Gaming Laptop"/>
    <s v="Consumer"/>
    <n v="18859"/>
    <n v="0.28000000000000003"/>
    <n v="2981"/>
    <n v="10"/>
    <s v="Cash"/>
    <s v="High"/>
    <x v="4"/>
    <x v="3"/>
    <n v="2"/>
    <n v="4"/>
    <n v="0.15806776605334324"/>
  </r>
  <r>
    <n v="11567"/>
    <d v="2025-04-16T00:00:00"/>
    <d v="2025-04-22T00:00:00"/>
    <d v="2025-04-26T00:00:00"/>
    <x v="1"/>
    <s v="India"/>
    <s v="Delhi"/>
    <s v="Hyderabad"/>
    <x v="1"/>
    <s v="Notebook"/>
    <s v="Spiral Notebook"/>
    <s v="Home Office"/>
    <n v="12498"/>
    <n v="0.33"/>
    <n v="8715"/>
    <n v="14"/>
    <s v="Credit Card"/>
    <s v="Critical"/>
    <x v="4"/>
    <x v="3"/>
    <n v="6"/>
    <n v="10"/>
    <n v="0.69731156985117615"/>
  </r>
  <r>
    <n v="11568"/>
    <d v="2025-04-17T00:00:00"/>
    <d v="2025-04-19T00:00:00"/>
    <d v="2025-04-23T00:00:00"/>
    <x v="3"/>
    <s v="India"/>
    <s v="Tamil Nadu"/>
    <s v="Chennai"/>
    <x v="1"/>
    <s v="Laptop"/>
    <s v="Gel Pen"/>
    <s v="Corporate"/>
    <n v="56192"/>
    <n v="0.02"/>
    <n v="-789"/>
    <n v="12"/>
    <s v="Cash"/>
    <s v="High"/>
    <x v="4"/>
    <x v="3"/>
    <n v="2"/>
    <n v="6"/>
    <n v="-1.404114464692483E-2"/>
  </r>
  <r>
    <n v="11569"/>
    <d v="2025-04-18T00:00:00"/>
    <d v="2025-04-21T00:00:00"/>
    <d v="2025-04-23T00:00:00"/>
    <x v="1"/>
    <s v="India"/>
    <s v="Maharashtra"/>
    <s v="Delhi"/>
    <x v="0"/>
    <s v="Table"/>
    <s v="Office Chair"/>
    <s v="Consumer"/>
    <n v="20563"/>
    <n v="0.33"/>
    <n v="17007"/>
    <n v="16"/>
    <s v="UPI"/>
    <s v="High"/>
    <x v="4"/>
    <x v="3"/>
    <n v="3"/>
    <n v="5"/>
    <n v="0.82706803481982205"/>
  </r>
  <r>
    <n v="11570"/>
    <d v="2025-04-19T00:00:00"/>
    <d v="2025-04-25T00:00:00"/>
    <d v="2025-04-28T00:00:00"/>
    <x v="3"/>
    <s v="India"/>
    <s v="Maharashtra"/>
    <s v="Bangalore"/>
    <x v="0"/>
    <s v="Laptop"/>
    <s v="Dining Table"/>
    <s v="Corporate"/>
    <n v="56429"/>
    <n v="0.28999999999999998"/>
    <n v="6121"/>
    <n v="4"/>
    <s v="UPI"/>
    <s v="High"/>
    <x v="4"/>
    <x v="3"/>
    <n v="6"/>
    <n v="9"/>
    <n v="0.10847259387903382"/>
  </r>
  <r>
    <n v="11571"/>
    <d v="2025-04-20T00:00:00"/>
    <d v="2025-04-27T00:00:00"/>
    <d v="2025-05-02T00:00:00"/>
    <x v="0"/>
    <s v="India"/>
    <s v="Telangana"/>
    <s v="Bangalore"/>
    <x v="2"/>
    <s v="Pen"/>
    <s v="Laser Printer"/>
    <s v="Corporate"/>
    <n v="32746"/>
    <n v="0.25"/>
    <n v="7165"/>
    <n v="7"/>
    <s v="UPI"/>
    <s v="Medium"/>
    <x v="4"/>
    <x v="3"/>
    <n v="7"/>
    <n v="12"/>
    <n v="0.21880535027178893"/>
  </r>
  <r>
    <n v="11572"/>
    <d v="2025-04-21T00:00:00"/>
    <d v="2025-04-24T00:00:00"/>
    <d v="2025-04-29T00:00:00"/>
    <x v="1"/>
    <s v="India"/>
    <s v="Karnataka"/>
    <s v="Bangalore"/>
    <x v="2"/>
    <s v="Pen"/>
    <s v="Office Chair"/>
    <s v="Home Office"/>
    <n v="72188"/>
    <n v="0.04"/>
    <n v="11885"/>
    <n v="3"/>
    <s v="Credit Card"/>
    <s v="Critical"/>
    <x v="4"/>
    <x v="3"/>
    <n v="3"/>
    <n v="8"/>
    <n v="0.16463955228015736"/>
  </r>
  <r>
    <n v="11573"/>
    <d v="2025-04-22T00:00:00"/>
    <d v="2025-04-28T00:00:00"/>
    <d v="2025-04-29T00:00:00"/>
    <x v="1"/>
    <s v="India"/>
    <s v="Karnataka"/>
    <s v="Delhi"/>
    <x v="1"/>
    <s v="Mobile"/>
    <s v="Laser Printer"/>
    <s v="Consumer"/>
    <n v="3579"/>
    <n v="0.31"/>
    <n v="16870"/>
    <n v="2"/>
    <s v="Credit Card"/>
    <s v="Low"/>
    <x v="4"/>
    <x v="3"/>
    <n v="6"/>
    <n v="7"/>
    <n v="4.713607152835988"/>
  </r>
  <r>
    <n v="11574"/>
    <d v="2025-04-23T00:00:00"/>
    <d v="2025-04-25T00:00:00"/>
    <d v="2025-04-30T00:00:00"/>
    <x v="1"/>
    <s v="India"/>
    <s v="Maharashtra"/>
    <s v="Bangalore"/>
    <x v="1"/>
    <s v="Printer"/>
    <s v="Smartphone"/>
    <s v="Consumer"/>
    <n v="25277"/>
    <n v="0.4"/>
    <n v="-141"/>
    <n v="7"/>
    <s v="Credit Card"/>
    <s v="Medium"/>
    <x v="4"/>
    <x v="3"/>
    <n v="2"/>
    <n v="7"/>
    <n v="-5.5781936147485858E-3"/>
  </r>
  <r>
    <n v="11575"/>
    <d v="2025-04-24T00:00:00"/>
    <d v="2025-04-29T00:00:00"/>
    <d v="2025-04-30T00:00:00"/>
    <x v="1"/>
    <s v="India"/>
    <s v="Telangana"/>
    <s v="Bangalore"/>
    <x v="1"/>
    <s v="Laptop"/>
    <s v="Gaming Laptop"/>
    <s v="Home Office"/>
    <n v="15380"/>
    <n v="0.04"/>
    <n v="6690"/>
    <n v="15"/>
    <s v="Credit Card"/>
    <s v="Low"/>
    <x v="4"/>
    <x v="3"/>
    <n v="5"/>
    <n v="6"/>
    <n v="0.43498049414824447"/>
  </r>
  <r>
    <n v="11576"/>
    <d v="2025-04-25T00:00:00"/>
    <d v="2025-05-02T00:00:00"/>
    <d v="2025-05-05T00:00:00"/>
    <x v="2"/>
    <s v="India"/>
    <s v="Tamil Nadu"/>
    <s v="Bangalore"/>
    <x v="0"/>
    <s v="Laptop"/>
    <s v="Gel Pen"/>
    <s v="Consumer"/>
    <n v="49720"/>
    <n v="0.28000000000000003"/>
    <n v="-1297"/>
    <n v="1"/>
    <s v="Debit Card"/>
    <s v="Critical"/>
    <x v="4"/>
    <x v="3"/>
    <n v="7"/>
    <n v="10"/>
    <n v="-2.6086082059533389E-2"/>
  </r>
  <r>
    <n v="11577"/>
    <d v="2025-04-26T00:00:00"/>
    <d v="2025-04-29T00:00:00"/>
    <d v="2025-05-04T00:00:00"/>
    <x v="0"/>
    <s v="India"/>
    <s v="Delhi"/>
    <s v="Bangalore"/>
    <x v="0"/>
    <s v="Notebook"/>
    <s v="Office Chair"/>
    <s v="Consumer"/>
    <n v="7912"/>
    <n v="0.1"/>
    <n v="16270"/>
    <n v="10"/>
    <s v="UPI"/>
    <s v="Medium"/>
    <x v="4"/>
    <x v="3"/>
    <n v="3"/>
    <n v="8"/>
    <n v="2.0563700707785642"/>
  </r>
  <r>
    <n v="11578"/>
    <d v="2025-04-27T00:00:00"/>
    <d v="2025-05-03T00:00:00"/>
    <d v="2025-05-06T00:00:00"/>
    <x v="2"/>
    <s v="India"/>
    <s v="Tamil Nadu"/>
    <s v="Bangalore"/>
    <x v="1"/>
    <s v="Laptop"/>
    <s v="Spiral Notebook"/>
    <s v="Corporate"/>
    <n v="29484"/>
    <n v="0.04"/>
    <n v="7058"/>
    <n v="10"/>
    <s v="Credit Card"/>
    <s v="Critical"/>
    <x v="4"/>
    <x v="3"/>
    <n v="6"/>
    <n v="9"/>
    <n v="0.23938407271740605"/>
  </r>
  <r>
    <n v="11579"/>
    <d v="2025-04-28T00:00:00"/>
    <d v="2025-05-04T00:00:00"/>
    <d v="2025-05-07T00:00:00"/>
    <x v="2"/>
    <s v="India"/>
    <s v="Maharashtra"/>
    <s v="Chennai"/>
    <x v="0"/>
    <s v="Pen"/>
    <s v="Dining Table"/>
    <s v="Home Office"/>
    <n v="3946"/>
    <n v="0.34"/>
    <n v="10967"/>
    <n v="23"/>
    <s v="Net Banking"/>
    <s v="Medium"/>
    <x v="4"/>
    <x v="3"/>
    <n v="6"/>
    <n v="9"/>
    <n v="2.7792701469842878"/>
  </r>
  <r>
    <n v="11580"/>
    <d v="2025-04-29T00:00:00"/>
    <d v="2025-05-01T00:00:00"/>
    <d v="2025-05-06T00:00:00"/>
    <x v="0"/>
    <s v="India"/>
    <s v="Maharashtra"/>
    <s v="Bangalore"/>
    <x v="0"/>
    <s v="Table"/>
    <s v="Smartphone"/>
    <s v="Consumer"/>
    <n v="31276"/>
    <n v="0.09"/>
    <n v="14069"/>
    <n v="9"/>
    <s v="Credit Card"/>
    <s v="Critical"/>
    <x v="4"/>
    <x v="3"/>
    <n v="2"/>
    <n v="7"/>
    <n v="0.44983373832970969"/>
  </r>
  <r>
    <n v="11581"/>
    <d v="2025-04-30T00:00:00"/>
    <d v="2025-05-07T00:00:00"/>
    <d v="2025-05-09T00:00:00"/>
    <x v="2"/>
    <s v="India"/>
    <s v="Delhi"/>
    <s v="Kochi"/>
    <x v="2"/>
    <s v="Mobile"/>
    <s v="Smartphone"/>
    <s v="Home Office"/>
    <n v="62094"/>
    <n v="0.09"/>
    <n v="5809"/>
    <n v="8"/>
    <s v="Credit Card"/>
    <s v="Medium"/>
    <x v="4"/>
    <x v="3"/>
    <n v="7"/>
    <n v="9"/>
    <n v="9.3551711920636452E-2"/>
  </r>
  <r>
    <n v="11582"/>
    <d v="2025-05-01T00:00:00"/>
    <d v="2025-05-06T00:00:00"/>
    <d v="2025-05-11T00:00:00"/>
    <x v="1"/>
    <s v="India"/>
    <s v="Telangana"/>
    <s v="Chennai"/>
    <x v="2"/>
    <s v="Chair"/>
    <s v="Smartphone"/>
    <s v="Consumer"/>
    <n v="8126"/>
    <n v="0.35"/>
    <n v="18741"/>
    <n v="18"/>
    <s v="UPI"/>
    <s v="Critical"/>
    <x v="4"/>
    <x v="4"/>
    <n v="5"/>
    <n v="10"/>
    <n v="2.3063007629830174"/>
  </r>
  <r>
    <n v="11583"/>
    <d v="2025-05-02T00:00:00"/>
    <d v="2025-05-06T00:00:00"/>
    <d v="2025-05-10T00:00:00"/>
    <x v="2"/>
    <s v="India"/>
    <s v="Telangana"/>
    <s v="Mumbai"/>
    <x v="1"/>
    <s v="Pen"/>
    <s v="Gaming Laptop"/>
    <s v="Home Office"/>
    <n v="3210"/>
    <n v="0.39"/>
    <n v="709"/>
    <n v="13"/>
    <s v="Net Banking"/>
    <s v="Critical"/>
    <x v="4"/>
    <x v="4"/>
    <n v="4"/>
    <n v="8"/>
    <n v="0.22087227414330218"/>
  </r>
  <r>
    <n v="11584"/>
    <d v="2025-05-03T00:00:00"/>
    <d v="2025-05-08T00:00:00"/>
    <d v="2025-05-11T00:00:00"/>
    <x v="2"/>
    <s v="India"/>
    <s v="Telangana"/>
    <s v="Mumbai"/>
    <x v="2"/>
    <s v="Printer"/>
    <s v="Gaming Laptop"/>
    <s v="Home Office"/>
    <n v="24649"/>
    <n v="0.28999999999999998"/>
    <n v="2878"/>
    <n v="20"/>
    <s v="UPI"/>
    <s v="Medium"/>
    <x v="4"/>
    <x v="4"/>
    <n v="5"/>
    <n v="8"/>
    <n v="0.11675930058014523"/>
  </r>
  <r>
    <n v="11585"/>
    <d v="2025-05-04T00:00:00"/>
    <d v="2025-05-11T00:00:00"/>
    <d v="2025-05-15T00:00:00"/>
    <x v="0"/>
    <s v="India"/>
    <s v="Kerala"/>
    <s v="Mumbai"/>
    <x v="2"/>
    <s v="Mobile"/>
    <s v="Gaming Laptop"/>
    <s v="Consumer"/>
    <n v="23868"/>
    <n v="0.18"/>
    <n v="2542"/>
    <n v="20"/>
    <s v="UPI"/>
    <s v="High"/>
    <x v="4"/>
    <x v="4"/>
    <n v="7"/>
    <n v="11"/>
    <n v="0.1065024300318418"/>
  </r>
  <r>
    <n v="11586"/>
    <d v="2025-05-05T00:00:00"/>
    <d v="2025-05-09T00:00:00"/>
    <d v="2025-05-10T00:00:00"/>
    <x v="1"/>
    <s v="India"/>
    <s v="Kerala"/>
    <s v="Hyderabad"/>
    <x v="2"/>
    <s v="Chair"/>
    <s v="Spiral Notebook"/>
    <s v="Home Office"/>
    <n v="72242"/>
    <n v="0.03"/>
    <n v="17223"/>
    <n v="2"/>
    <s v="UPI"/>
    <s v="Low"/>
    <x v="4"/>
    <x v="4"/>
    <n v="4"/>
    <n v="5"/>
    <n v="0.23840702084659893"/>
  </r>
  <r>
    <n v="11587"/>
    <d v="2025-05-06T00:00:00"/>
    <d v="2025-05-13T00:00:00"/>
    <d v="2025-05-17T00:00:00"/>
    <x v="3"/>
    <s v="India"/>
    <s v="Telangana"/>
    <s v="Kochi"/>
    <x v="0"/>
    <s v="Mobile"/>
    <s v="Office Chair"/>
    <s v="Home Office"/>
    <n v="72488"/>
    <n v="0.27"/>
    <n v="7500"/>
    <n v="20"/>
    <s v="Cash"/>
    <s v="Critical"/>
    <x v="4"/>
    <x v="4"/>
    <n v="7"/>
    <n v="11"/>
    <n v="0.1034654011698488"/>
  </r>
  <r>
    <n v="11588"/>
    <d v="2025-05-07T00:00:00"/>
    <d v="2025-05-09T00:00:00"/>
    <d v="2025-05-13T00:00:00"/>
    <x v="1"/>
    <s v="India"/>
    <s v="Karnataka"/>
    <s v="Chennai"/>
    <x v="0"/>
    <s v="Laptop"/>
    <s v="Gaming Laptop"/>
    <s v="Consumer"/>
    <n v="49828"/>
    <n v="0.33"/>
    <n v="10210"/>
    <n v="23"/>
    <s v="UPI"/>
    <s v="Critical"/>
    <x v="4"/>
    <x v="4"/>
    <n v="2"/>
    <n v="6"/>
    <n v="0.20490487276230232"/>
  </r>
  <r>
    <n v="11589"/>
    <d v="2025-05-08T00:00:00"/>
    <d v="2025-05-14T00:00:00"/>
    <d v="2025-05-17T00:00:00"/>
    <x v="0"/>
    <s v="India"/>
    <s v="Tamil Nadu"/>
    <s v="Mumbai"/>
    <x v="0"/>
    <s v="Printer"/>
    <s v="Smartphone"/>
    <s v="Consumer"/>
    <n v="1906"/>
    <n v="0.17"/>
    <n v="11109"/>
    <n v="6"/>
    <s v="Debit Card"/>
    <s v="Low"/>
    <x v="4"/>
    <x v="4"/>
    <n v="6"/>
    <n v="9"/>
    <n v="5.8284365162644285"/>
  </r>
  <r>
    <n v="11590"/>
    <d v="2025-05-09T00:00:00"/>
    <d v="2025-05-16T00:00:00"/>
    <d v="2025-05-18T00:00:00"/>
    <x v="0"/>
    <s v="India"/>
    <s v="Karnataka"/>
    <s v="Delhi"/>
    <x v="1"/>
    <s v="Notebook"/>
    <s v="Gaming Laptop"/>
    <s v="Home Office"/>
    <n v="41146"/>
    <n v="0.03"/>
    <n v="7453"/>
    <n v="13"/>
    <s v="UPI"/>
    <s v="Critical"/>
    <x v="4"/>
    <x v="4"/>
    <n v="7"/>
    <n v="9"/>
    <n v="0.18113546881835416"/>
  </r>
  <r>
    <n v="11591"/>
    <d v="2025-05-10T00:00:00"/>
    <d v="2025-05-13T00:00:00"/>
    <d v="2025-05-16T00:00:00"/>
    <x v="1"/>
    <s v="India"/>
    <s v="Kerala"/>
    <s v="Delhi"/>
    <x v="0"/>
    <s v="Mobile"/>
    <s v="Spiral Notebook"/>
    <s v="Consumer"/>
    <n v="51450"/>
    <n v="0.17"/>
    <n v="7200"/>
    <n v="17"/>
    <s v="Debit Card"/>
    <s v="Medium"/>
    <x v="4"/>
    <x v="4"/>
    <n v="3"/>
    <n v="6"/>
    <n v="0.13994169096209913"/>
  </r>
  <r>
    <n v="11592"/>
    <d v="2025-05-11T00:00:00"/>
    <d v="2025-05-17T00:00:00"/>
    <d v="2025-05-22T00:00:00"/>
    <x v="3"/>
    <s v="India"/>
    <s v="Tamil Nadu"/>
    <s v="Mumbai"/>
    <x v="1"/>
    <s v="Printer"/>
    <s v="Laser Printer"/>
    <s v="Home Office"/>
    <n v="21173"/>
    <n v="0.03"/>
    <n v="17026"/>
    <n v="21"/>
    <s v="Net Banking"/>
    <s v="High"/>
    <x v="4"/>
    <x v="4"/>
    <n v="6"/>
    <n v="11"/>
    <n v="0.80413734473149767"/>
  </r>
  <r>
    <n v="11593"/>
    <d v="2025-05-12T00:00:00"/>
    <d v="2025-05-19T00:00:00"/>
    <d v="2025-05-22T00:00:00"/>
    <x v="2"/>
    <s v="India"/>
    <s v="Telangana"/>
    <s v="Mumbai"/>
    <x v="0"/>
    <s v="Chair"/>
    <s v="Office Chair"/>
    <s v="Corporate"/>
    <n v="21357"/>
    <n v="0.06"/>
    <n v="11622"/>
    <n v="14"/>
    <s v="Credit Card"/>
    <s v="Critical"/>
    <x v="4"/>
    <x v="4"/>
    <n v="7"/>
    <n v="10"/>
    <n v="0.54417755302711057"/>
  </r>
  <r>
    <n v="11594"/>
    <d v="2025-05-13T00:00:00"/>
    <d v="2025-05-16T00:00:00"/>
    <d v="2025-05-19T00:00:00"/>
    <x v="2"/>
    <s v="India"/>
    <s v="Maharashtra"/>
    <s v="Kochi"/>
    <x v="1"/>
    <s v="Notebook"/>
    <s v="Gaming Laptop"/>
    <s v="Corporate"/>
    <n v="34874"/>
    <n v="0.09"/>
    <n v="-946"/>
    <n v="17"/>
    <s v="Cash"/>
    <s v="Critical"/>
    <x v="4"/>
    <x v="4"/>
    <n v="3"/>
    <n v="6"/>
    <n v="-2.7126225841601192E-2"/>
  </r>
  <r>
    <n v="11595"/>
    <d v="2025-05-14T00:00:00"/>
    <d v="2025-05-16T00:00:00"/>
    <d v="2025-05-20T00:00:00"/>
    <x v="1"/>
    <s v="India"/>
    <s v="Karnataka"/>
    <s v="Chennai"/>
    <x v="2"/>
    <s v="Chair"/>
    <s v="Spiral Notebook"/>
    <s v="Home Office"/>
    <n v="59438"/>
    <n v="0.27"/>
    <n v="17382"/>
    <n v="21"/>
    <s v="Credit Card"/>
    <s v="High"/>
    <x v="4"/>
    <x v="4"/>
    <n v="2"/>
    <n v="6"/>
    <n v="0.29243918032235272"/>
  </r>
  <r>
    <n v="11596"/>
    <d v="2025-05-15T00:00:00"/>
    <d v="2025-05-19T00:00:00"/>
    <d v="2025-05-22T00:00:00"/>
    <x v="2"/>
    <s v="India"/>
    <s v="Kerala"/>
    <s v="Kochi"/>
    <x v="2"/>
    <s v="Mobile"/>
    <s v="Laser Printer"/>
    <s v="Consumer"/>
    <n v="23564"/>
    <n v="0.18"/>
    <n v="11309"/>
    <n v="12"/>
    <s v="Debit Card"/>
    <s v="Medium"/>
    <x v="4"/>
    <x v="4"/>
    <n v="4"/>
    <n v="7"/>
    <n v="0.47992700729927007"/>
  </r>
  <r>
    <n v="11597"/>
    <d v="2025-05-16T00:00:00"/>
    <d v="2025-05-21T00:00:00"/>
    <d v="2025-05-26T00:00:00"/>
    <x v="1"/>
    <s v="India"/>
    <s v="Tamil Nadu"/>
    <s v="Chennai"/>
    <x v="1"/>
    <s v="Pen"/>
    <s v="Dining Table"/>
    <s v="Home Office"/>
    <n v="3970"/>
    <n v="0.28999999999999998"/>
    <n v="3217"/>
    <n v="14"/>
    <s v="UPI"/>
    <s v="Low"/>
    <x v="4"/>
    <x v="4"/>
    <n v="5"/>
    <n v="10"/>
    <n v="0.81032745591939548"/>
  </r>
  <r>
    <n v="11598"/>
    <d v="2025-05-17T00:00:00"/>
    <d v="2025-05-22T00:00:00"/>
    <d v="2025-05-27T00:00:00"/>
    <x v="1"/>
    <s v="India"/>
    <s v="Maharashtra"/>
    <s v="Bangalore"/>
    <x v="2"/>
    <s v="Chair"/>
    <s v="Smartphone"/>
    <s v="Corporate"/>
    <n v="35040"/>
    <n v="0.33"/>
    <n v="3123"/>
    <n v="7"/>
    <s v="UPI"/>
    <s v="High"/>
    <x v="4"/>
    <x v="4"/>
    <n v="5"/>
    <n v="10"/>
    <n v="8.9126712328767121E-2"/>
  </r>
  <r>
    <n v="11599"/>
    <d v="2025-05-18T00:00:00"/>
    <d v="2025-05-22T00:00:00"/>
    <d v="2025-05-23T00:00:00"/>
    <x v="0"/>
    <s v="India"/>
    <s v="Tamil Nadu"/>
    <s v="Chennai"/>
    <x v="2"/>
    <s v="Printer"/>
    <s v="Laser Printer"/>
    <s v="Corporate"/>
    <n v="24750"/>
    <n v="0.28000000000000003"/>
    <n v="11850"/>
    <n v="9"/>
    <s v="Credit Card"/>
    <s v="High"/>
    <x v="4"/>
    <x v="4"/>
    <n v="4"/>
    <n v="5"/>
    <n v="0.47878787878787876"/>
  </r>
  <r>
    <n v="11600"/>
    <d v="2025-05-19T00:00:00"/>
    <d v="2025-05-22T00:00:00"/>
    <d v="2025-05-24T00:00:00"/>
    <x v="2"/>
    <s v="India"/>
    <s v="Tamil Nadu"/>
    <s v="Bangalore"/>
    <x v="0"/>
    <s v="Pen"/>
    <s v="Dining Table"/>
    <s v="Corporate"/>
    <n v="67331"/>
    <n v="0.09"/>
    <n v="6725"/>
    <n v="14"/>
    <s v="Cash"/>
    <s v="Low"/>
    <x v="4"/>
    <x v="4"/>
    <n v="3"/>
    <n v="5"/>
    <n v="9.9879698801443609E-2"/>
  </r>
  <r>
    <n v="11601"/>
    <d v="2025-05-20T00:00:00"/>
    <d v="2025-05-24T00:00:00"/>
    <d v="2025-05-29T00:00:00"/>
    <x v="2"/>
    <s v="India"/>
    <s v="Delhi"/>
    <s v="Mumbai"/>
    <x v="1"/>
    <s v="Laptop"/>
    <s v="Office Chair"/>
    <s v="Home Office"/>
    <n v="8432"/>
    <n v="0.18"/>
    <n v="2186"/>
    <n v="9"/>
    <s v="Credit Card"/>
    <s v="High"/>
    <x v="4"/>
    <x v="4"/>
    <n v="4"/>
    <n v="9"/>
    <n v="0.25925047438330173"/>
  </r>
  <r>
    <n v="11602"/>
    <d v="2025-05-21T00:00:00"/>
    <d v="2025-05-28T00:00:00"/>
    <d v="2025-06-01T00:00:00"/>
    <x v="0"/>
    <s v="India"/>
    <s v="Karnataka"/>
    <s v="Delhi"/>
    <x v="0"/>
    <s v="Notebook"/>
    <s v="Gaming Laptop"/>
    <s v="Corporate"/>
    <n v="71533"/>
    <n v="0.34"/>
    <n v="19116"/>
    <n v="11"/>
    <s v="Credit Card"/>
    <s v="Critical"/>
    <x v="4"/>
    <x v="4"/>
    <n v="7"/>
    <n v="11"/>
    <n v="0.26723330490822417"/>
  </r>
  <r>
    <n v="11603"/>
    <d v="2025-05-22T00:00:00"/>
    <d v="2025-05-29T00:00:00"/>
    <d v="2025-06-02T00:00:00"/>
    <x v="2"/>
    <s v="India"/>
    <s v="Tamil Nadu"/>
    <s v="Hyderabad"/>
    <x v="1"/>
    <s v="Pen"/>
    <s v="Smartphone"/>
    <s v="Consumer"/>
    <n v="53416"/>
    <n v="0.02"/>
    <n v="16956"/>
    <n v="8"/>
    <s v="Debit Card"/>
    <s v="High"/>
    <x v="4"/>
    <x v="4"/>
    <n v="7"/>
    <n v="11"/>
    <n v="0.31743297888273175"/>
  </r>
  <r>
    <n v="11604"/>
    <d v="2025-05-23T00:00:00"/>
    <d v="2025-05-26T00:00:00"/>
    <d v="2025-05-30T00:00:00"/>
    <x v="1"/>
    <s v="India"/>
    <s v="Telangana"/>
    <s v="Mumbai"/>
    <x v="2"/>
    <s v="Printer"/>
    <s v="Gaming Laptop"/>
    <s v="Consumer"/>
    <n v="71812"/>
    <n v="0.25"/>
    <n v="15743"/>
    <n v="17"/>
    <s v="Cash"/>
    <s v="Critical"/>
    <x v="4"/>
    <x v="4"/>
    <n v="3"/>
    <n v="7"/>
    <n v="0.21922519913106445"/>
  </r>
  <r>
    <n v="11605"/>
    <d v="2025-05-24T00:00:00"/>
    <d v="2025-05-31T00:00:00"/>
    <d v="2025-06-02T00:00:00"/>
    <x v="2"/>
    <s v="India"/>
    <s v="Tamil Nadu"/>
    <s v="Hyderabad"/>
    <x v="0"/>
    <s v="Table"/>
    <s v="Dining Table"/>
    <s v="Home Office"/>
    <n v="15064"/>
    <n v="0.04"/>
    <n v="19271"/>
    <n v="18"/>
    <s v="Credit Card"/>
    <s v="High"/>
    <x v="4"/>
    <x v="4"/>
    <n v="7"/>
    <n v="9"/>
    <n v="1.2792750929368031"/>
  </r>
  <r>
    <n v="11606"/>
    <d v="2025-05-25T00:00:00"/>
    <d v="2025-06-01T00:00:00"/>
    <d v="2025-06-02T00:00:00"/>
    <x v="2"/>
    <s v="India"/>
    <s v="Delhi"/>
    <s v="Bangalore"/>
    <x v="0"/>
    <s v="Printer"/>
    <s v="Dining Table"/>
    <s v="Consumer"/>
    <n v="37116"/>
    <n v="0.32"/>
    <n v="8174"/>
    <n v="7"/>
    <s v="Net Banking"/>
    <s v="Critical"/>
    <x v="4"/>
    <x v="4"/>
    <n v="7"/>
    <n v="8"/>
    <n v="0.22022847289578618"/>
  </r>
  <r>
    <n v="11607"/>
    <d v="2025-05-26T00:00:00"/>
    <d v="2025-05-30T00:00:00"/>
    <d v="2025-06-01T00:00:00"/>
    <x v="1"/>
    <s v="India"/>
    <s v="Kerala"/>
    <s v="Bangalore"/>
    <x v="0"/>
    <s v="Laptop"/>
    <s v="Spiral Notebook"/>
    <s v="Corporate"/>
    <n v="51380"/>
    <n v="0.02"/>
    <n v="7538"/>
    <n v="4"/>
    <s v="Credit Card"/>
    <s v="Medium"/>
    <x v="4"/>
    <x v="4"/>
    <n v="4"/>
    <n v="6"/>
    <n v="0.14671078240560528"/>
  </r>
  <r>
    <n v="11608"/>
    <d v="2025-05-27T00:00:00"/>
    <d v="2025-05-31T00:00:00"/>
    <d v="2025-06-01T00:00:00"/>
    <x v="2"/>
    <s v="India"/>
    <s v="Delhi"/>
    <s v="Hyderabad"/>
    <x v="1"/>
    <s v="Pen"/>
    <s v="Gel Pen"/>
    <s v="Home Office"/>
    <n v="15985"/>
    <n v="0.28000000000000003"/>
    <n v="8604"/>
    <n v="2"/>
    <s v="Cash"/>
    <s v="Low"/>
    <x v="4"/>
    <x v="4"/>
    <n v="4"/>
    <n v="5"/>
    <n v="0.53825461370034411"/>
  </r>
  <r>
    <n v="11609"/>
    <d v="2025-05-28T00:00:00"/>
    <d v="2025-05-31T00:00:00"/>
    <d v="2025-06-03T00:00:00"/>
    <x v="3"/>
    <s v="India"/>
    <s v="Kerala"/>
    <s v="Hyderabad"/>
    <x v="0"/>
    <s v="Table"/>
    <s v="Dining Table"/>
    <s v="Home Office"/>
    <n v="52457"/>
    <n v="7.0000000000000007E-2"/>
    <n v="6612"/>
    <n v="23"/>
    <s v="Credit Card"/>
    <s v="Medium"/>
    <x v="4"/>
    <x v="4"/>
    <n v="3"/>
    <n v="6"/>
    <n v="0.1260460948967726"/>
  </r>
  <r>
    <n v="11610"/>
    <d v="2025-05-29T00:00:00"/>
    <d v="2025-06-05T00:00:00"/>
    <d v="2025-06-08T00:00:00"/>
    <x v="0"/>
    <s v="India"/>
    <s v="Maharashtra"/>
    <s v="Chennai"/>
    <x v="0"/>
    <s v="Table"/>
    <s v="Office Chair"/>
    <s v="Home Office"/>
    <n v="17144"/>
    <n v="0.05"/>
    <n v="9620"/>
    <n v="10"/>
    <s v="Net Banking"/>
    <s v="Critical"/>
    <x v="4"/>
    <x v="4"/>
    <n v="7"/>
    <n v="10"/>
    <n v="0.56112925804946334"/>
  </r>
  <r>
    <n v="11611"/>
    <d v="2025-05-30T00:00:00"/>
    <d v="2025-06-06T00:00:00"/>
    <d v="2025-06-08T00:00:00"/>
    <x v="0"/>
    <s v="India"/>
    <s v="Maharashtra"/>
    <s v="Hyderabad"/>
    <x v="0"/>
    <s v="Table"/>
    <s v="Dining Table"/>
    <s v="Corporate"/>
    <n v="36443"/>
    <n v="0.24"/>
    <n v="9288"/>
    <n v="1"/>
    <s v="Cash"/>
    <s v="High"/>
    <x v="4"/>
    <x v="4"/>
    <n v="7"/>
    <n v="9"/>
    <n v="0.25486375984414017"/>
  </r>
  <r>
    <n v="11612"/>
    <d v="2025-05-31T00:00:00"/>
    <d v="2025-06-05T00:00:00"/>
    <d v="2025-06-10T00:00:00"/>
    <x v="0"/>
    <s v="India"/>
    <s v="Telangana"/>
    <s v="Chennai"/>
    <x v="2"/>
    <s v="Chair"/>
    <s v="Gaming Laptop"/>
    <s v="Corporate"/>
    <n v="5996"/>
    <n v="0.26"/>
    <n v="13652"/>
    <n v="11"/>
    <s v="Net Banking"/>
    <s v="Critical"/>
    <x v="4"/>
    <x v="4"/>
    <n v="5"/>
    <n v="10"/>
    <n v="2.276851234156104"/>
  </r>
  <r>
    <n v="11613"/>
    <d v="2025-06-01T00:00:00"/>
    <d v="2025-06-03T00:00:00"/>
    <d v="2025-06-06T00:00:00"/>
    <x v="3"/>
    <s v="India"/>
    <s v="Karnataka"/>
    <s v="Kochi"/>
    <x v="1"/>
    <s v="Chair"/>
    <s v="Office Chair"/>
    <s v="Home Office"/>
    <n v="16573"/>
    <n v="0.15"/>
    <n v="6410"/>
    <n v="7"/>
    <s v="Credit Card"/>
    <s v="Medium"/>
    <x v="4"/>
    <x v="5"/>
    <n v="2"/>
    <n v="5"/>
    <n v="0.38677366801424001"/>
  </r>
  <r>
    <n v="11614"/>
    <d v="2025-06-02T00:00:00"/>
    <d v="2025-06-09T00:00:00"/>
    <d v="2025-06-14T00:00:00"/>
    <x v="3"/>
    <s v="India"/>
    <s v="Delhi"/>
    <s v="Mumbai"/>
    <x v="0"/>
    <s v="Notebook"/>
    <s v="Gaming Laptop"/>
    <s v="Consumer"/>
    <n v="12920"/>
    <n v="0.05"/>
    <n v="2310"/>
    <n v="20"/>
    <s v="UPI"/>
    <s v="Low"/>
    <x v="4"/>
    <x v="5"/>
    <n v="7"/>
    <n v="12"/>
    <n v="0.17879256965944273"/>
  </r>
  <r>
    <n v="11615"/>
    <d v="2025-06-03T00:00:00"/>
    <d v="2025-06-05T00:00:00"/>
    <d v="2025-06-06T00:00:00"/>
    <x v="2"/>
    <s v="India"/>
    <s v="Kerala"/>
    <s v="Delhi"/>
    <x v="0"/>
    <s v="Printer"/>
    <s v="Smartphone"/>
    <s v="Home Office"/>
    <n v="73157"/>
    <n v="0.14000000000000001"/>
    <n v="8733"/>
    <n v="24"/>
    <s v="Credit Card"/>
    <s v="Medium"/>
    <x v="4"/>
    <x v="5"/>
    <n v="2"/>
    <n v="3"/>
    <n v="0.11937340240851867"/>
  </r>
  <r>
    <n v="11616"/>
    <d v="2025-06-04T00:00:00"/>
    <d v="2025-06-10T00:00:00"/>
    <d v="2025-06-11T00:00:00"/>
    <x v="2"/>
    <s v="India"/>
    <s v="Tamil Nadu"/>
    <s v="Chennai"/>
    <x v="1"/>
    <s v="Pen"/>
    <s v="Dining Table"/>
    <s v="Corporate"/>
    <n v="3422"/>
    <n v="0.22"/>
    <n v="19513"/>
    <n v="11"/>
    <s v="Debit Card"/>
    <s v="Critical"/>
    <x v="4"/>
    <x v="5"/>
    <n v="6"/>
    <n v="7"/>
    <n v="5.7022209234365864"/>
  </r>
  <r>
    <n v="11617"/>
    <d v="2025-06-05T00:00:00"/>
    <d v="2025-06-08T00:00:00"/>
    <d v="2025-06-11T00:00:00"/>
    <x v="2"/>
    <s v="India"/>
    <s v="Karnataka"/>
    <s v="Chennai"/>
    <x v="2"/>
    <s v="Notebook"/>
    <s v="Office Chair"/>
    <s v="Home Office"/>
    <n v="58853"/>
    <n v="0.1"/>
    <n v="4726"/>
    <n v="1"/>
    <s v="Net Banking"/>
    <s v="Low"/>
    <x v="4"/>
    <x v="5"/>
    <n v="3"/>
    <n v="6"/>
    <n v="8.0301768813824267E-2"/>
  </r>
  <r>
    <n v="11618"/>
    <d v="2025-06-06T00:00:00"/>
    <d v="2025-06-13T00:00:00"/>
    <d v="2025-06-17T00:00:00"/>
    <x v="0"/>
    <s v="India"/>
    <s v="Delhi"/>
    <s v="Hyderabad"/>
    <x v="0"/>
    <s v="Notebook"/>
    <s v="Gaming Laptop"/>
    <s v="Corporate"/>
    <n v="28821"/>
    <n v="0.08"/>
    <n v="-944"/>
    <n v="11"/>
    <s v="Net Banking"/>
    <s v="Low"/>
    <x v="4"/>
    <x v="5"/>
    <n v="7"/>
    <n v="11"/>
    <n v="-3.2753894729537492E-2"/>
  </r>
  <r>
    <n v="11619"/>
    <d v="2025-06-07T00:00:00"/>
    <d v="2025-06-13T00:00:00"/>
    <d v="2025-06-17T00:00:00"/>
    <x v="3"/>
    <s v="India"/>
    <s v="Kerala"/>
    <s v="Kochi"/>
    <x v="2"/>
    <s v="Table"/>
    <s v="Laser Printer"/>
    <s v="Corporate"/>
    <n v="23025"/>
    <n v="0.15"/>
    <n v="775"/>
    <n v="21"/>
    <s v="Cash"/>
    <s v="High"/>
    <x v="4"/>
    <x v="5"/>
    <n v="6"/>
    <n v="10"/>
    <n v="3.3659066232356136E-2"/>
  </r>
  <r>
    <n v="11620"/>
    <d v="2025-06-08T00:00:00"/>
    <d v="2025-06-14T00:00:00"/>
    <d v="2025-06-17T00:00:00"/>
    <x v="2"/>
    <s v="India"/>
    <s v="Tamil Nadu"/>
    <s v="Hyderabad"/>
    <x v="0"/>
    <s v="Laptop"/>
    <s v="Smartphone"/>
    <s v="Corporate"/>
    <n v="47827"/>
    <n v="0.18"/>
    <n v="-1094"/>
    <n v="21"/>
    <s v="Net Banking"/>
    <s v="Medium"/>
    <x v="4"/>
    <x v="5"/>
    <n v="6"/>
    <n v="9"/>
    <n v="-2.2874108767014449E-2"/>
  </r>
  <r>
    <n v="11621"/>
    <d v="2025-06-09T00:00:00"/>
    <d v="2025-06-12T00:00:00"/>
    <d v="2025-06-15T00:00:00"/>
    <x v="1"/>
    <s v="India"/>
    <s v="Telangana"/>
    <s v="Bangalore"/>
    <x v="0"/>
    <s v="Mobile"/>
    <s v="Office Chair"/>
    <s v="Corporate"/>
    <n v="63400"/>
    <n v="0.36"/>
    <n v="2333"/>
    <n v="6"/>
    <s v="Credit Card"/>
    <s v="Low"/>
    <x v="4"/>
    <x v="5"/>
    <n v="3"/>
    <n v="6"/>
    <n v="3.6798107255520504E-2"/>
  </r>
  <r>
    <n v="11622"/>
    <d v="2025-06-10T00:00:00"/>
    <d v="2025-06-16T00:00:00"/>
    <d v="2025-06-21T00:00:00"/>
    <x v="3"/>
    <s v="India"/>
    <s v="Delhi"/>
    <s v="Mumbai"/>
    <x v="0"/>
    <s v="Notebook"/>
    <s v="Smartphone"/>
    <s v="Corporate"/>
    <n v="64985"/>
    <n v="0.34"/>
    <n v="16860"/>
    <n v="23"/>
    <s v="Net Banking"/>
    <s v="Medium"/>
    <x v="4"/>
    <x v="5"/>
    <n v="6"/>
    <n v="11"/>
    <n v="0.25944448718935137"/>
  </r>
  <r>
    <n v="11623"/>
    <d v="2025-06-11T00:00:00"/>
    <d v="2025-06-16T00:00:00"/>
    <d v="2025-06-18T00:00:00"/>
    <x v="3"/>
    <s v="India"/>
    <s v="Telangana"/>
    <s v="Kochi"/>
    <x v="2"/>
    <s v="Chair"/>
    <s v="Smartphone"/>
    <s v="Corporate"/>
    <n v="17421"/>
    <n v="0.05"/>
    <n v="18458"/>
    <n v="1"/>
    <s v="Credit Card"/>
    <s v="Low"/>
    <x v="4"/>
    <x v="5"/>
    <n v="5"/>
    <n v="7"/>
    <n v="1.0595258595947419"/>
  </r>
  <r>
    <n v="11624"/>
    <d v="2025-06-12T00:00:00"/>
    <d v="2025-06-15T00:00:00"/>
    <d v="2025-06-18T00:00:00"/>
    <x v="2"/>
    <s v="India"/>
    <s v="Telangana"/>
    <s v="Kochi"/>
    <x v="0"/>
    <s v="Laptop"/>
    <s v="Gel Pen"/>
    <s v="Corporate"/>
    <n v="5779"/>
    <n v="0.22"/>
    <n v="16904"/>
    <n v="2"/>
    <s v="Cash"/>
    <s v="Low"/>
    <x v="4"/>
    <x v="5"/>
    <n v="3"/>
    <n v="6"/>
    <n v="2.9250735421353173"/>
  </r>
  <r>
    <n v="11625"/>
    <d v="2025-06-13T00:00:00"/>
    <d v="2025-06-16T00:00:00"/>
    <d v="2025-06-21T00:00:00"/>
    <x v="0"/>
    <s v="India"/>
    <s v="Karnataka"/>
    <s v="Mumbai"/>
    <x v="0"/>
    <s v="Chair"/>
    <s v="Gaming Laptop"/>
    <s v="Corporate"/>
    <n v="73860"/>
    <n v="0.14000000000000001"/>
    <n v="2571"/>
    <n v="14"/>
    <s v="Credit Card"/>
    <s v="Critical"/>
    <x v="4"/>
    <x v="5"/>
    <n v="3"/>
    <n v="8"/>
    <n v="3.4809098294069862E-2"/>
  </r>
  <r>
    <n v="11626"/>
    <d v="2025-06-14T00:00:00"/>
    <d v="2025-06-17T00:00:00"/>
    <d v="2025-06-22T00:00:00"/>
    <x v="1"/>
    <s v="India"/>
    <s v="Karnataka"/>
    <s v="Kochi"/>
    <x v="1"/>
    <s v="Notebook"/>
    <s v="Laser Printer"/>
    <s v="Corporate"/>
    <n v="22127"/>
    <n v="0.36"/>
    <n v="10969"/>
    <n v="10"/>
    <s v="Credit Card"/>
    <s v="Low"/>
    <x v="4"/>
    <x v="5"/>
    <n v="3"/>
    <n v="8"/>
    <n v="0.49572919962037332"/>
  </r>
  <r>
    <n v="11627"/>
    <d v="2025-06-15T00:00:00"/>
    <d v="2025-06-22T00:00:00"/>
    <d v="2025-06-25T00:00:00"/>
    <x v="1"/>
    <s v="India"/>
    <s v="Delhi"/>
    <s v="Kochi"/>
    <x v="2"/>
    <s v="Chair"/>
    <s v="Smartphone"/>
    <s v="Corporate"/>
    <n v="41422"/>
    <n v="0.1"/>
    <n v="10972"/>
    <n v="7"/>
    <s v="Credit Card"/>
    <s v="Critical"/>
    <x v="4"/>
    <x v="5"/>
    <n v="7"/>
    <n v="10"/>
    <n v="0.26488339529718508"/>
  </r>
  <r>
    <n v="11628"/>
    <d v="2025-06-16T00:00:00"/>
    <d v="2025-06-20T00:00:00"/>
    <d v="2025-06-21T00:00:00"/>
    <x v="3"/>
    <s v="India"/>
    <s v="Karnataka"/>
    <s v="Hyderabad"/>
    <x v="1"/>
    <s v="Chair"/>
    <s v="Spiral Notebook"/>
    <s v="Home Office"/>
    <n v="54393"/>
    <n v="0.03"/>
    <n v="19253"/>
    <n v="14"/>
    <s v="Credit Card"/>
    <s v="Medium"/>
    <x v="4"/>
    <x v="5"/>
    <n v="4"/>
    <n v="5"/>
    <n v="0.35396098762708439"/>
  </r>
  <r>
    <n v="11629"/>
    <d v="2025-06-17T00:00:00"/>
    <d v="2025-06-23T00:00:00"/>
    <d v="2025-06-26T00:00:00"/>
    <x v="2"/>
    <s v="India"/>
    <s v="Delhi"/>
    <s v="Kochi"/>
    <x v="2"/>
    <s v="Chair"/>
    <s v="Office Chair"/>
    <s v="Home Office"/>
    <n v="51206"/>
    <n v="0.13"/>
    <n v="15513"/>
    <n v="22"/>
    <s v="Cash"/>
    <s v="High"/>
    <x v="4"/>
    <x v="5"/>
    <n v="6"/>
    <n v="9"/>
    <n v="0.30295277897121431"/>
  </r>
  <r>
    <n v="11630"/>
    <d v="2025-06-18T00:00:00"/>
    <d v="2025-06-22T00:00:00"/>
    <d v="2025-06-27T00:00:00"/>
    <x v="1"/>
    <s v="India"/>
    <s v="Delhi"/>
    <s v="Chennai"/>
    <x v="1"/>
    <s v="Laptop"/>
    <s v="Smartphone"/>
    <s v="Home Office"/>
    <n v="8086"/>
    <n v="0.34"/>
    <n v="9082"/>
    <n v="21"/>
    <s v="Debit Card"/>
    <s v="High"/>
    <x v="4"/>
    <x v="5"/>
    <n v="4"/>
    <n v="9"/>
    <n v="1.1231758595102646"/>
  </r>
  <r>
    <n v="11631"/>
    <d v="2025-06-19T00:00:00"/>
    <d v="2025-06-25T00:00:00"/>
    <d v="2025-06-29T00:00:00"/>
    <x v="1"/>
    <s v="India"/>
    <s v="Telangana"/>
    <s v="Chennai"/>
    <x v="2"/>
    <s v="Table"/>
    <s v="Laser Printer"/>
    <s v="Consumer"/>
    <n v="6546"/>
    <n v="0.06"/>
    <n v="652"/>
    <n v="24"/>
    <s v="UPI"/>
    <s v="Critical"/>
    <x v="4"/>
    <x v="5"/>
    <n v="6"/>
    <n v="10"/>
    <n v="9.9602810876871367E-2"/>
  </r>
  <r>
    <n v="11632"/>
    <d v="2025-06-20T00:00:00"/>
    <d v="2025-06-27T00:00:00"/>
    <d v="2025-07-02T00:00:00"/>
    <x v="1"/>
    <s v="India"/>
    <s v="Maharashtra"/>
    <s v="Bangalore"/>
    <x v="0"/>
    <s v="Pen"/>
    <s v="Gaming Laptop"/>
    <s v="Home Office"/>
    <n v="40689"/>
    <n v="0.02"/>
    <n v="14542"/>
    <n v="20"/>
    <s v="Credit Card"/>
    <s v="Critical"/>
    <x v="4"/>
    <x v="5"/>
    <n v="7"/>
    <n v="12"/>
    <n v="0.35739389024060558"/>
  </r>
  <r>
    <n v="11633"/>
    <d v="2025-06-21T00:00:00"/>
    <d v="2025-06-28T00:00:00"/>
    <d v="2025-07-01T00:00:00"/>
    <x v="2"/>
    <s v="India"/>
    <s v="Kerala"/>
    <s v="Kochi"/>
    <x v="0"/>
    <s v="Laptop"/>
    <s v="Office Chair"/>
    <s v="Corporate"/>
    <n v="67025"/>
    <n v="0.39"/>
    <n v="15270"/>
    <n v="1"/>
    <s v="Credit Card"/>
    <s v="Critical"/>
    <x v="4"/>
    <x v="5"/>
    <n v="7"/>
    <n v="10"/>
    <n v="0.22782543826930249"/>
  </r>
  <r>
    <n v="11634"/>
    <d v="2025-06-22T00:00:00"/>
    <d v="2025-06-28T00:00:00"/>
    <d v="2025-07-03T00:00:00"/>
    <x v="3"/>
    <s v="India"/>
    <s v="Maharashtra"/>
    <s v="Mumbai"/>
    <x v="2"/>
    <s v="Notebook"/>
    <s v="Dining Table"/>
    <s v="Home Office"/>
    <n v="22312"/>
    <n v="0.35"/>
    <n v="14062"/>
    <n v="19"/>
    <s v="Credit Card"/>
    <s v="Low"/>
    <x v="4"/>
    <x v="5"/>
    <n v="6"/>
    <n v="11"/>
    <n v="0.63024381498745075"/>
  </r>
  <r>
    <n v="11635"/>
    <d v="2025-06-23T00:00:00"/>
    <d v="2025-06-30T00:00:00"/>
    <d v="2025-07-02T00:00:00"/>
    <x v="2"/>
    <s v="India"/>
    <s v="Delhi"/>
    <s v="Mumbai"/>
    <x v="2"/>
    <s v="Table"/>
    <s v="Gaming Laptop"/>
    <s v="Home Office"/>
    <n v="54218"/>
    <n v="0.28000000000000003"/>
    <n v="10709"/>
    <n v="4"/>
    <s v="UPI"/>
    <s v="Critical"/>
    <x v="4"/>
    <x v="5"/>
    <n v="7"/>
    <n v="9"/>
    <n v="0.19751742963591426"/>
  </r>
  <r>
    <n v="11636"/>
    <d v="2025-06-24T00:00:00"/>
    <d v="2025-06-28T00:00:00"/>
    <d v="2025-06-30T00:00:00"/>
    <x v="3"/>
    <s v="India"/>
    <s v="Maharashtra"/>
    <s v="Kochi"/>
    <x v="1"/>
    <s v="Table"/>
    <s v="Dining Table"/>
    <s v="Home Office"/>
    <n v="66786"/>
    <n v="0.27"/>
    <n v="9862"/>
    <n v="16"/>
    <s v="Credit Card"/>
    <s v="Medium"/>
    <x v="4"/>
    <x v="5"/>
    <n v="4"/>
    <n v="6"/>
    <n v="0.14766567843560027"/>
  </r>
  <r>
    <n v="11637"/>
    <d v="2025-06-25T00:00:00"/>
    <d v="2025-06-30T00:00:00"/>
    <d v="2025-07-01T00:00:00"/>
    <x v="2"/>
    <s v="India"/>
    <s v="Delhi"/>
    <s v="Bangalore"/>
    <x v="1"/>
    <s v="Table"/>
    <s v="Gel Pen"/>
    <s v="Home Office"/>
    <n v="30263"/>
    <n v="0.35"/>
    <n v="18853"/>
    <n v="3"/>
    <s v="Cash"/>
    <s v="Medium"/>
    <x v="4"/>
    <x v="5"/>
    <n v="5"/>
    <n v="6"/>
    <n v="0.62297194594058747"/>
  </r>
  <r>
    <n v="11638"/>
    <d v="2025-06-26T00:00:00"/>
    <d v="2025-06-28T00:00:00"/>
    <d v="2025-07-02T00:00:00"/>
    <x v="3"/>
    <s v="India"/>
    <s v="Tamil Nadu"/>
    <s v="Bangalore"/>
    <x v="0"/>
    <s v="Chair"/>
    <s v="Laser Printer"/>
    <s v="Home Office"/>
    <n v="20573"/>
    <n v="0.38"/>
    <n v="16336"/>
    <n v="13"/>
    <s v="UPI"/>
    <s v="Low"/>
    <x v="4"/>
    <x v="5"/>
    <n v="2"/>
    <n v="6"/>
    <n v="0.79405045447917177"/>
  </r>
  <r>
    <n v="11639"/>
    <d v="2025-06-27T00:00:00"/>
    <d v="2025-07-03T00:00:00"/>
    <d v="2025-07-04T00:00:00"/>
    <x v="2"/>
    <s v="India"/>
    <s v="Maharashtra"/>
    <s v="Kochi"/>
    <x v="0"/>
    <s v="Table"/>
    <s v="Office Chair"/>
    <s v="Home Office"/>
    <n v="32889"/>
    <n v="0.15"/>
    <n v="9382"/>
    <n v="18"/>
    <s v="Debit Card"/>
    <s v="Critical"/>
    <x v="4"/>
    <x v="5"/>
    <n v="6"/>
    <n v="7"/>
    <n v="0.28526254978868315"/>
  </r>
  <r>
    <n v="11640"/>
    <d v="2025-06-28T00:00:00"/>
    <d v="2025-07-03T00:00:00"/>
    <d v="2025-07-07T00:00:00"/>
    <x v="0"/>
    <s v="India"/>
    <s v="Tamil Nadu"/>
    <s v="Bangalore"/>
    <x v="0"/>
    <s v="Notebook"/>
    <s v="Dining Table"/>
    <s v="Home Office"/>
    <n v="22811"/>
    <n v="0.23"/>
    <n v="8662"/>
    <n v="22"/>
    <s v="Net Banking"/>
    <s v="Medium"/>
    <x v="4"/>
    <x v="5"/>
    <n v="5"/>
    <n v="9"/>
    <n v="0.37972907807636669"/>
  </r>
  <r>
    <n v="11641"/>
    <d v="2025-06-29T00:00:00"/>
    <d v="2025-07-06T00:00:00"/>
    <d v="2025-07-07T00:00:00"/>
    <x v="0"/>
    <s v="India"/>
    <s v="Maharashtra"/>
    <s v="Kochi"/>
    <x v="1"/>
    <s v="Laptop"/>
    <s v="Spiral Notebook"/>
    <s v="Corporate"/>
    <n v="42891"/>
    <n v="0.22"/>
    <n v="19675"/>
    <n v="12"/>
    <s v="Net Banking"/>
    <s v="High"/>
    <x v="4"/>
    <x v="5"/>
    <n v="7"/>
    <n v="8"/>
    <n v="0.45872094378774103"/>
  </r>
  <r>
    <n v="11642"/>
    <d v="2025-06-30T00:00:00"/>
    <d v="2025-07-04T00:00:00"/>
    <d v="2025-07-07T00:00:00"/>
    <x v="1"/>
    <s v="India"/>
    <s v="Delhi"/>
    <s v="Bangalore"/>
    <x v="2"/>
    <s v="Printer"/>
    <s v="Dining Table"/>
    <s v="Consumer"/>
    <n v="25165"/>
    <n v="0.23"/>
    <n v="11732"/>
    <n v="22"/>
    <s v="Net Banking"/>
    <s v="Critical"/>
    <x v="4"/>
    <x v="5"/>
    <n v="4"/>
    <n v="7"/>
    <n v="0.46620305980528509"/>
  </r>
  <r>
    <n v="11643"/>
    <d v="2025-07-01T00:00:00"/>
    <d v="2025-07-06T00:00:00"/>
    <d v="2025-07-08T00:00:00"/>
    <x v="0"/>
    <s v="India"/>
    <s v="Kerala"/>
    <s v="Kochi"/>
    <x v="0"/>
    <s v="Table"/>
    <s v="Laser Printer"/>
    <s v="Home Office"/>
    <n v="24874"/>
    <n v="0.33"/>
    <n v="11227"/>
    <n v="22"/>
    <s v="Debit Card"/>
    <s v="Medium"/>
    <x v="4"/>
    <x v="6"/>
    <n v="5"/>
    <n v="7"/>
    <n v="0.45135482833480745"/>
  </r>
  <r>
    <n v="11644"/>
    <d v="2025-07-02T00:00:00"/>
    <d v="2025-07-04T00:00:00"/>
    <d v="2025-07-05T00:00:00"/>
    <x v="3"/>
    <s v="India"/>
    <s v="Karnataka"/>
    <s v="Chennai"/>
    <x v="0"/>
    <s v="Chair"/>
    <s v="Spiral Notebook"/>
    <s v="Consumer"/>
    <n v="9573"/>
    <n v="0.3"/>
    <n v="16498"/>
    <n v="22"/>
    <s v="Credit Card"/>
    <s v="Low"/>
    <x v="4"/>
    <x v="6"/>
    <n v="2"/>
    <n v="3"/>
    <n v="1.7233886973780423"/>
  </r>
  <r>
    <n v="11645"/>
    <d v="2025-07-03T00:00:00"/>
    <d v="2025-07-08T00:00:00"/>
    <d v="2025-07-11T00:00:00"/>
    <x v="1"/>
    <s v="India"/>
    <s v="Telangana"/>
    <s v="Chennai"/>
    <x v="1"/>
    <s v="Mobile"/>
    <s v="Smartphone"/>
    <s v="Consumer"/>
    <n v="61621"/>
    <n v="0.11"/>
    <n v="7037"/>
    <n v="20"/>
    <s v="Cash"/>
    <s v="Critical"/>
    <x v="4"/>
    <x v="6"/>
    <n v="5"/>
    <n v="8"/>
    <n v="0.11419808182275523"/>
  </r>
  <r>
    <n v="11646"/>
    <d v="2025-07-04T00:00:00"/>
    <d v="2025-07-11T00:00:00"/>
    <d v="2025-07-12T00:00:00"/>
    <x v="2"/>
    <s v="India"/>
    <s v="Karnataka"/>
    <s v="Bangalore"/>
    <x v="1"/>
    <s v="Chair"/>
    <s v="Gaming Laptop"/>
    <s v="Home Office"/>
    <n v="29526"/>
    <n v="0.23"/>
    <n v="18781"/>
    <n v="15"/>
    <s v="Cash"/>
    <s v="Low"/>
    <x v="4"/>
    <x v="6"/>
    <n v="7"/>
    <n v="8"/>
    <n v="0.63608345187292559"/>
  </r>
  <r>
    <n v="11647"/>
    <d v="2025-07-05T00:00:00"/>
    <d v="2025-07-08T00:00:00"/>
    <d v="2025-07-13T00:00:00"/>
    <x v="1"/>
    <s v="India"/>
    <s v="Telangana"/>
    <s v="Hyderabad"/>
    <x v="1"/>
    <s v="Notebook"/>
    <s v="Gaming Laptop"/>
    <s v="Consumer"/>
    <n v="21108"/>
    <n v="0.02"/>
    <n v="19969"/>
    <n v="1"/>
    <s v="Debit Card"/>
    <s v="Medium"/>
    <x v="4"/>
    <x v="6"/>
    <n v="3"/>
    <n v="8"/>
    <n v="0.94603941633503885"/>
  </r>
  <r>
    <n v="11648"/>
    <d v="2025-07-06T00:00:00"/>
    <d v="2025-07-11T00:00:00"/>
    <d v="2025-07-14T00:00:00"/>
    <x v="0"/>
    <s v="India"/>
    <s v="Tamil Nadu"/>
    <s v="Mumbai"/>
    <x v="1"/>
    <s v="Chair"/>
    <s v="Gaming Laptop"/>
    <s v="Corporate"/>
    <n v="68987"/>
    <n v="0.09"/>
    <n v="16018"/>
    <n v="5"/>
    <s v="Cash"/>
    <s v="Medium"/>
    <x v="4"/>
    <x v="6"/>
    <n v="5"/>
    <n v="8"/>
    <n v="0.2321886732282894"/>
  </r>
  <r>
    <n v="11649"/>
    <d v="2025-07-07T00:00:00"/>
    <d v="2025-07-11T00:00:00"/>
    <d v="2025-07-15T00:00:00"/>
    <x v="1"/>
    <s v="India"/>
    <s v="Maharashtra"/>
    <s v="Bangalore"/>
    <x v="0"/>
    <s v="Printer"/>
    <s v="Dining Table"/>
    <s v="Home Office"/>
    <n v="43780"/>
    <n v="0.37"/>
    <n v="8837"/>
    <n v="8"/>
    <s v="UPI"/>
    <s v="Critical"/>
    <x v="4"/>
    <x v="6"/>
    <n v="4"/>
    <n v="8"/>
    <n v="0.2018501598903609"/>
  </r>
  <r>
    <n v="11650"/>
    <d v="2025-07-08T00:00:00"/>
    <d v="2025-07-12T00:00:00"/>
    <d v="2025-07-15T00:00:00"/>
    <x v="2"/>
    <s v="India"/>
    <s v="Tamil Nadu"/>
    <s v="Bangalore"/>
    <x v="2"/>
    <s v="Laptop"/>
    <s v="Gaming Laptop"/>
    <s v="Consumer"/>
    <n v="52796"/>
    <n v="0.13"/>
    <n v="4847"/>
    <n v="20"/>
    <s v="Debit Card"/>
    <s v="Low"/>
    <x v="4"/>
    <x v="6"/>
    <n v="4"/>
    <n v="7"/>
    <n v="9.1806197439199932E-2"/>
  </r>
  <r>
    <n v="11651"/>
    <d v="2025-07-09T00:00:00"/>
    <d v="2025-07-16T00:00:00"/>
    <d v="2025-07-17T00:00:00"/>
    <x v="3"/>
    <s v="India"/>
    <s v="Kerala"/>
    <s v="Mumbai"/>
    <x v="0"/>
    <s v="Laptop"/>
    <s v="Office Chair"/>
    <s v="Consumer"/>
    <n v="49204"/>
    <n v="0.23"/>
    <n v="152"/>
    <n v="23"/>
    <s v="Debit Card"/>
    <s v="Medium"/>
    <x v="4"/>
    <x v="6"/>
    <n v="7"/>
    <n v="8"/>
    <n v="3.0891797414844321E-3"/>
  </r>
  <r>
    <n v="11652"/>
    <d v="2025-07-10T00:00:00"/>
    <d v="2025-07-13T00:00:00"/>
    <d v="2025-07-15T00:00:00"/>
    <x v="2"/>
    <s v="India"/>
    <s v="Maharashtra"/>
    <s v="Bangalore"/>
    <x v="0"/>
    <s v="Table"/>
    <s v="Laser Printer"/>
    <s v="Corporate"/>
    <n v="55680"/>
    <n v="0.21"/>
    <n v="10141"/>
    <n v="12"/>
    <s v="Debit Card"/>
    <s v="Critical"/>
    <x v="4"/>
    <x v="6"/>
    <n v="3"/>
    <n v="5"/>
    <n v="0.18213002873563219"/>
  </r>
  <r>
    <n v="11653"/>
    <d v="2025-07-11T00:00:00"/>
    <d v="2025-07-15T00:00:00"/>
    <d v="2025-07-20T00:00:00"/>
    <x v="0"/>
    <s v="India"/>
    <s v="Karnataka"/>
    <s v="Kochi"/>
    <x v="2"/>
    <s v="Printer"/>
    <s v="Office Chair"/>
    <s v="Home Office"/>
    <n v="11139"/>
    <n v="0.37"/>
    <n v="-1105"/>
    <n v="10"/>
    <s v="Debit Card"/>
    <s v="High"/>
    <x v="4"/>
    <x v="6"/>
    <n v="4"/>
    <n v="9"/>
    <n v="-9.92010054762546E-2"/>
  </r>
  <r>
    <n v="11654"/>
    <d v="2025-07-12T00:00:00"/>
    <d v="2025-07-17T00:00:00"/>
    <d v="2025-07-18T00:00:00"/>
    <x v="0"/>
    <s v="India"/>
    <s v="Kerala"/>
    <s v="Bangalore"/>
    <x v="0"/>
    <s v="Mobile"/>
    <s v="Dining Table"/>
    <s v="Consumer"/>
    <n v="22300"/>
    <n v="0.4"/>
    <n v="-1997"/>
    <n v="24"/>
    <s v="Debit Card"/>
    <s v="Medium"/>
    <x v="4"/>
    <x v="6"/>
    <n v="5"/>
    <n v="6"/>
    <n v="-8.9551569506726464E-2"/>
  </r>
  <r>
    <n v="11655"/>
    <d v="2025-07-13T00:00:00"/>
    <d v="2025-07-17T00:00:00"/>
    <d v="2025-07-20T00:00:00"/>
    <x v="2"/>
    <s v="India"/>
    <s v="Delhi"/>
    <s v="Chennai"/>
    <x v="1"/>
    <s v="Chair"/>
    <s v="Dining Table"/>
    <s v="Consumer"/>
    <n v="21862"/>
    <n v="0.12"/>
    <n v="10027"/>
    <n v="3"/>
    <s v="Credit Card"/>
    <s v="Critical"/>
    <x v="4"/>
    <x v="6"/>
    <n v="4"/>
    <n v="7"/>
    <n v="0.45864971182874392"/>
  </r>
  <r>
    <n v="11656"/>
    <d v="2025-07-14T00:00:00"/>
    <d v="2025-07-17T00:00:00"/>
    <d v="2025-07-21T00:00:00"/>
    <x v="2"/>
    <s v="India"/>
    <s v="Kerala"/>
    <s v="Mumbai"/>
    <x v="0"/>
    <s v="Chair"/>
    <s v="Gaming Laptop"/>
    <s v="Corporate"/>
    <n v="15200"/>
    <n v="0.04"/>
    <n v="17736"/>
    <n v="15"/>
    <s v="Credit Card"/>
    <s v="Low"/>
    <x v="4"/>
    <x v="6"/>
    <n v="3"/>
    <n v="7"/>
    <n v="1.1668421052631579"/>
  </r>
  <r>
    <n v="11657"/>
    <d v="2025-07-15T00:00:00"/>
    <d v="2025-07-22T00:00:00"/>
    <d v="2025-07-24T00:00:00"/>
    <x v="2"/>
    <s v="India"/>
    <s v="Maharashtra"/>
    <s v="Hyderabad"/>
    <x v="0"/>
    <s v="Pen"/>
    <s v="Office Chair"/>
    <s v="Corporate"/>
    <n v="39677"/>
    <n v="0.3"/>
    <n v="-572"/>
    <n v="13"/>
    <s v="Credit Card"/>
    <s v="Medium"/>
    <x v="4"/>
    <x v="6"/>
    <n v="7"/>
    <n v="9"/>
    <n v="-1.4416412531189355E-2"/>
  </r>
  <r>
    <n v="11658"/>
    <d v="2025-07-16T00:00:00"/>
    <d v="2025-07-20T00:00:00"/>
    <d v="2025-07-25T00:00:00"/>
    <x v="2"/>
    <s v="India"/>
    <s v="Telangana"/>
    <s v="Chennai"/>
    <x v="1"/>
    <s v="Pen"/>
    <s v="Laser Printer"/>
    <s v="Home Office"/>
    <n v="23512"/>
    <n v="0.26"/>
    <n v="1853"/>
    <n v="7"/>
    <s v="Credit Card"/>
    <s v="High"/>
    <x v="4"/>
    <x v="6"/>
    <n v="4"/>
    <n v="9"/>
    <n v="7.8810820006805032E-2"/>
  </r>
  <r>
    <n v="11659"/>
    <d v="2025-07-17T00:00:00"/>
    <d v="2025-07-21T00:00:00"/>
    <d v="2025-07-22T00:00:00"/>
    <x v="2"/>
    <s v="India"/>
    <s v="Maharashtra"/>
    <s v="Bangalore"/>
    <x v="2"/>
    <s v="Printer"/>
    <s v="Dining Table"/>
    <s v="Corporate"/>
    <n v="59906"/>
    <n v="0.08"/>
    <n v="7578"/>
    <n v="13"/>
    <s v="Net Banking"/>
    <s v="Medium"/>
    <x v="4"/>
    <x v="6"/>
    <n v="4"/>
    <n v="5"/>
    <n v="0.12649818048275632"/>
  </r>
  <r>
    <n v="11660"/>
    <d v="2025-07-18T00:00:00"/>
    <d v="2025-07-24T00:00:00"/>
    <d v="2025-07-27T00:00:00"/>
    <x v="3"/>
    <s v="India"/>
    <s v="Karnataka"/>
    <s v="Hyderabad"/>
    <x v="0"/>
    <s v="Mobile"/>
    <s v="Spiral Notebook"/>
    <s v="Home Office"/>
    <n v="2954"/>
    <n v="0.12"/>
    <n v="2561"/>
    <n v="16"/>
    <s v="UPI"/>
    <s v="Low"/>
    <x v="4"/>
    <x v="6"/>
    <n v="6"/>
    <n v="9"/>
    <n v="0.86696005416384558"/>
  </r>
  <r>
    <n v="11661"/>
    <d v="2025-07-19T00:00:00"/>
    <d v="2025-07-21T00:00:00"/>
    <d v="2025-07-24T00:00:00"/>
    <x v="2"/>
    <s v="India"/>
    <s v="Tamil Nadu"/>
    <s v="Bangalore"/>
    <x v="2"/>
    <s v="Mobile"/>
    <s v="Dining Table"/>
    <s v="Corporate"/>
    <n v="26730"/>
    <n v="0.37"/>
    <n v="3465"/>
    <n v="12"/>
    <s v="UPI"/>
    <s v="Medium"/>
    <x v="4"/>
    <x v="6"/>
    <n v="2"/>
    <n v="5"/>
    <n v="0.12962962962962962"/>
  </r>
  <r>
    <n v="11662"/>
    <d v="2025-07-20T00:00:00"/>
    <d v="2025-07-25T00:00:00"/>
    <d v="2025-07-26T00:00:00"/>
    <x v="3"/>
    <s v="India"/>
    <s v="Kerala"/>
    <s v="Chennai"/>
    <x v="0"/>
    <s v="Laptop"/>
    <s v="Smartphone"/>
    <s v="Home Office"/>
    <n v="48240"/>
    <n v="0.34"/>
    <n v="4400"/>
    <n v="17"/>
    <s v="UPI"/>
    <s v="Critical"/>
    <x v="4"/>
    <x v="6"/>
    <n v="5"/>
    <n v="6"/>
    <n v="9.1210613598673301E-2"/>
  </r>
  <r>
    <n v="11663"/>
    <d v="2025-07-21T00:00:00"/>
    <d v="2025-07-25T00:00:00"/>
    <d v="2025-07-30T00:00:00"/>
    <x v="1"/>
    <s v="India"/>
    <s v="Delhi"/>
    <s v="Hyderabad"/>
    <x v="1"/>
    <s v="Printer"/>
    <s v="Dining Table"/>
    <s v="Consumer"/>
    <n v="63861"/>
    <n v="0.03"/>
    <n v="610"/>
    <n v="14"/>
    <s v="Net Banking"/>
    <s v="Medium"/>
    <x v="4"/>
    <x v="6"/>
    <n v="4"/>
    <n v="9"/>
    <n v="9.5519957407494398E-3"/>
  </r>
  <r>
    <n v="11664"/>
    <d v="2025-07-22T00:00:00"/>
    <d v="2025-07-29T00:00:00"/>
    <d v="2025-08-03T00:00:00"/>
    <x v="1"/>
    <s v="India"/>
    <s v="Kerala"/>
    <s v="Delhi"/>
    <x v="0"/>
    <s v="Mobile"/>
    <s v="Gaming Laptop"/>
    <s v="Corporate"/>
    <n v="40668"/>
    <n v="0.36"/>
    <n v="10625"/>
    <n v="17"/>
    <s v="Net Banking"/>
    <s v="Critical"/>
    <x v="4"/>
    <x v="6"/>
    <n v="7"/>
    <n v="12"/>
    <n v="0.26126192583849711"/>
  </r>
  <r>
    <n v="11665"/>
    <d v="2025-07-23T00:00:00"/>
    <d v="2025-07-27T00:00:00"/>
    <d v="2025-07-29T00:00:00"/>
    <x v="1"/>
    <s v="India"/>
    <s v="Karnataka"/>
    <s v="Mumbai"/>
    <x v="2"/>
    <s v="Laptop"/>
    <s v="Dining Table"/>
    <s v="Consumer"/>
    <n v="69342"/>
    <n v="0.35"/>
    <n v="11791"/>
    <n v="9"/>
    <s v="Credit Card"/>
    <s v="Critical"/>
    <x v="4"/>
    <x v="6"/>
    <n v="4"/>
    <n v="6"/>
    <n v="0.17004124484439445"/>
  </r>
  <r>
    <n v="11666"/>
    <d v="2025-07-24T00:00:00"/>
    <d v="2025-07-27T00:00:00"/>
    <d v="2025-07-28T00:00:00"/>
    <x v="1"/>
    <s v="India"/>
    <s v="Tamil Nadu"/>
    <s v="Delhi"/>
    <x v="0"/>
    <s v="Printer"/>
    <s v="Laser Printer"/>
    <s v="Home Office"/>
    <n v="16228"/>
    <n v="0.19"/>
    <n v="7390"/>
    <n v="17"/>
    <s v="Debit Card"/>
    <s v="Critical"/>
    <x v="4"/>
    <x v="6"/>
    <n v="3"/>
    <n v="4"/>
    <n v="0.45538575301947254"/>
  </r>
  <r>
    <n v="11667"/>
    <d v="2025-07-25T00:00:00"/>
    <d v="2025-07-31T00:00:00"/>
    <d v="2025-08-01T00:00:00"/>
    <x v="2"/>
    <s v="India"/>
    <s v="Tamil Nadu"/>
    <s v="Mumbai"/>
    <x v="2"/>
    <s v="Printer"/>
    <s v="Gaming Laptop"/>
    <s v="Corporate"/>
    <n v="59347"/>
    <n v="7.0000000000000007E-2"/>
    <n v="-1686"/>
    <n v="17"/>
    <s v="Debit Card"/>
    <s v="Low"/>
    <x v="4"/>
    <x v="6"/>
    <n v="6"/>
    <n v="7"/>
    <n v="-2.8409186648019277E-2"/>
  </r>
  <r>
    <n v="11668"/>
    <d v="2025-07-26T00:00:00"/>
    <d v="2025-07-30T00:00:00"/>
    <d v="2025-08-04T00:00:00"/>
    <x v="3"/>
    <s v="India"/>
    <s v="Kerala"/>
    <s v="Delhi"/>
    <x v="0"/>
    <s v="Table"/>
    <s v="Laser Printer"/>
    <s v="Consumer"/>
    <n v="65381"/>
    <n v="0.05"/>
    <n v="-1920"/>
    <n v="24"/>
    <s v="Credit Card"/>
    <s v="Low"/>
    <x v="4"/>
    <x v="6"/>
    <n v="4"/>
    <n v="9"/>
    <n v="-2.9366329667640446E-2"/>
  </r>
  <r>
    <n v="11669"/>
    <d v="2025-07-27T00:00:00"/>
    <d v="2025-08-02T00:00:00"/>
    <d v="2025-08-06T00:00:00"/>
    <x v="1"/>
    <s v="India"/>
    <s v="Kerala"/>
    <s v="Mumbai"/>
    <x v="1"/>
    <s v="Chair"/>
    <s v="Office Chair"/>
    <s v="Home Office"/>
    <n v="26845"/>
    <n v="0.03"/>
    <n v="1884"/>
    <n v="24"/>
    <s v="Credit Card"/>
    <s v="High"/>
    <x v="4"/>
    <x v="6"/>
    <n v="6"/>
    <n v="10"/>
    <n v="7.0180666790836288E-2"/>
  </r>
  <r>
    <n v="11670"/>
    <d v="2025-07-28T00:00:00"/>
    <d v="2025-07-30T00:00:00"/>
    <d v="2025-07-31T00:00:00"/>
    <x v="1"/>
    <s v="India"/>
    <s v="Telangana"/>
    <s v="Hyderabad"/>
    <x v="2"/>
    <s v="Table"/>
    <s v="Spiral Notebook"/>
    <s v="Corporate"/>
    <n v="45358"/>
    <n v="0.21"/>
    <n v="18106"/>
    <n v="21"/>
    <s v="Net Banking"/>
    <s v="Low"/>
    <x v="4"/>
    <x v="6"/>
    <n v="2"/>
    <n v="3"/>
    <n v="0.39917985801843114"/>
  </r>
  <r>
    <n v="11671"/>
    <d v="2025-07-29T00:00:00"/>
    <d v="2025-08-01T00:00:00"/>
    <d v="2025-08-04T00:00:00"/>
    <x v="1"/>
    <s v="India"/>
    <s v="Tamil Nadu"/>
    <s v="Kochi"/>
    <x v="1"/>
    <s v="Laptop"/>
    <s v="Office Chair"/>
    <s v="Corporate"/>
    <n v="54149"/>
    <n v="0.39"/>
    <n v="2975"/>
    <n v="12"/>
    <s v="Cash"/>
    <s v="Medium"/>
    <x v="4"/>
    <x v="6"/>
    <n v="3"/>
    <n v="6"/>
    <n v="5.4940996140279599E-2"/>
  </r>
  <r>
    <n v="11672"/>
    <d v="2025-07-30T00:00:00"/>
    <d v="2025-08-04T00:00:00"/>
    <d v="2025-08-07T00:00:00"/>
    <x v="1"/>
    <s v="India"/>
    <s v="Karnataka"/>
    <s v="Kochi"/>
    <x v="2"/>
    <s v="Printer"/>
    <s v="Gel Pen"/>
    <s v="Home Office"/>
    <n v="10784"/>
    <n v="0.1"/>
    <n v="15570"/>
    <n v="11"/>
    <s v="UPI"/>
    <s v="High"/>
    <x v="4"/>
    <x v="6"/>
    <n v="5"/>
    <n v="8"/>
    <n v="1.4438056379821957"/>
  </r>
  <r>
    <n v="11673"/>
    <d v="2025-07-31T00:00:00"/>
    <d v="2025-08-03T00:00:00"/>
    <d v="2025-08-07T00:00:00"/>
    <x v="2"/>
    <s v="India"/>
    <s v="Telangana"/>
    <s v="Hyderabad"/>
    <x v="1"/>
    <s v="Mobile"/>
    <s v="Office Chair"/>
    <s v="Consumer"/>
    <n v="12726"/>
    <n v="0.18"/>
    <n v="17099"/>
    <n v="14"/>
    <s v="Credit Card"/>
    <s v="High"/>
    <x v="4"/>
    <x v="6"/>
    <n v="3"/>
    <n v="7"/>
    <n v="1.3436272198648436"/>
  </r>
  <r>
    <n v="11674"/>
    <d v="2025-08-01T00:00:00"/>
    <d v="2025-08-08T00:00:00"/>
    <d v="2025-08-13T00:00:00"/>
    <x v="2"/>
    <s v="India"/>
    <s v="Kerala"/>
    <s v="Chennai"/>
    <x v="2"/>
    <s v="Pen"/>
    <s v="Smartphone"/>
    <s v="Corporate"/>
    <n v="15694"/>
    <n v="0.06"/>
    <n v="15532"/>
    <n v="13"/>
    <s v="Net Banking"/>
    <s v="Critical"/>
    <x v="4"/>
    <x v="7"/>
    <n v="7"/>
    <n v="12"/>
    <n v="0.98967758378998338"/>
  </r>
  <r>
    <n v="11675"/>
    <d v="2025-08-02T00:00:00"/>
    <d v="2025-08-06T00:00:00"/>
    <d v="2025-08-09T00:00:00"/>
    <x v="2"/>
    <s v="India"/>
    <s v="Karnataka"/>
    <s v="Mumbai"/>
    <x v="0"/>
    <s v="Printer"/>
    <s v="Spiral Notebook"/>
    <s v="Home Office"/>
    <n v="51336"/>
    <n v="0.16"/>
    <n v="5197"/>
    <n v="9"/>
    <s v="Net Banking"/>
    <s v="High"/>
    <x v="4"/>
    <x v="7"/>
    <n v="4"/>
    <n v="7"/>
    <n v="0.10123500077918031"/>
  </r>
  <r>
    <n v="11676"/>
    <d v="2025-08-03T00:00:00"/>
    <d v="2025-08-08T00:00:00"/>
    <d v="2025-08-12T00:00:00"/>
    <x v="0"/>
    <s v="India"/>
    <s v="Maharashtra"/>
    <s v="Kochi"/>
    <x v="0"/>
    <s v="Pen"/>
    <s v="Gel Pen"/>
    <s v="Corporate"/>
    <n v="70669"/>
    <n v="0.06"/>
    <n v="568"/>
    <n v="17"/>
    <s v="Net Banking"/>
    <s v="Low"/>
    <x v="4"/>
    <x v="7"/>
    <n v="5"/>
    <n v="9"/>
    <n v="8.0374704608810084E-3"/>
  </r>
  <r>
    <n v="11677"/>
    <d v="2025-08-04T00:00:00"/>
    <d v="2025-08-10T00:00:00"/>
    <d v="2025-08-14T00:00:00"/>
    <x v="1"/>
    <s v="India"/>
    <s v="Maharashtra"/>
    <s v="Chennai"/>
    <x v="0"/>
    <s v="Pen"/>
    <s v="Gaming Laptop"/>
    <s v="Consumer"/>
    <n v="42779"/>
    <n v="0.19"/>
    <n v="10480"/>
    <n v="11"/>
    <s v="Cash"/>
    <s v="Medium"/>
    <x v="4"/>
    <x v="7"/>
    <n v="6"/>
    <n v="10"/>
    <n v="0.24498001355805418"/>
  </r>
  <r>
    <n v="11678"/>
    <d v="2025-08-05T00:00:00"/>
    <d v="2025-08-12T00:00:00"/>
    <d v="2025-08-16T00:00:00"/>
    <x v="2"/>
    <s v="India"/>
    <s v="Delhi"/>
    <s v="Bangalore"/>
    <x v="0"/>
    <s v="Table"/>
    <s v="Smartphone"/>
    <s v="Home Office"/>
    <n v="1012"/>
    <n v="0.15"/>
    <n v="14588"/>
    <n v="23"/>
    <s v="Credit Card"/>
    <s v="Medium"/>
    <x v="4"/>
    <x v="7"/>
    <n v="7"/>
    <n v="11"/>
    <n v="14.41501976284585"/>
  </r>
  <r>
    <n v="11679"/>
    <d v="2025-08-06T00:00:00"/>
    <d v="2025-08-13T00:00:00"/>
    <d v="2025-08-15T00:00:00"/>
    <x v="1"/>
    <s v="India"/>
    <s v="Telangana"/>
    <s v="Chennai"/>
    <x v="2"/>
    <s v="Chair"/>
    <s v="Laser Printer"/>
    <s v="Corporate"/>
    <n v="61309"/>
    <n v="0.38"/>
    <n v="16931"/>
    <n v="3"/>
    <s v="Credit Card"/>
    <s v="Critical"/>
    <x v="4"/>
    <x v="7"/>
    <n v="7"/>
    <n v="9"/>
    <n v="0.27615847591707582"/>
  </r>
  <r>
    <n v="11680"/>
    <d v="2025-08-07T00:00:00"/>
    <d v="2025-08-10T00:00:00"/>
    <d v="2025-08-15T00:00:00"/>
    <x v="0"/>
    <s v="India"/>
    <s v="Telangana"/>
    <s v="Bangalore"/>
    <x v="1"/>
    <s v="Printer"/>
    <s v="Spiral Notebook"/>
    <s v="Home Office"/>
    <n v="23311"/>
    <n v="0.14000000000000001"/>
    <n v="15344"/>
    <n v="11"/>
    <s v="Debit Card"/>
    <s v="Medium"/>
    <x v="4"/>
    <x v="7"/>
    <n v="3"/>
    <n v="8"/>
    <n v="0.65823002016215526"/>
  </r>
  <r>
    <n v="11681"/>
    <d v="2025-08-08T00:00:00"/>
    <d v="2025-08-13T00:00:00"/>
    <d v="2025-08-17T00:00:00"/>
    <x v="2"/>
    <s v="India"/>
    <s v="Delhi"/>
    <s v="Kochi"/>
    <x v="2"/>
    <s v="Laptop"/>
    <s v="Gel Pen"/>
    <s v="Home Office"/>
    <n v="8520"/>
    <n v="0.23"/>
    <n v="13958"/>
    <n v="15"/>
    <s v="Debit Card"/>
    <s v="High"/>
    <x v="4"/>
    <x v="7"/>
    <n v="5"/>
    <n v="9"/>
    <n v="1.6382629107981221"/>
  </r>
  <r>
    <n v="11682"/>
    <d v="2025-08-09T00:00:00"/>
    <d v="2025-08-11T00:00:00"/>
    <d v="2025-08-15T00:00:00"/>
    <x v="3"/>
    <s v="India"/>
    <s v="Delhi"/>
    <s v="Kochi"/>
    <x v="2"/>
    <s v="Table"/>
    <s v="Dining Table"/>
    <s v="Consumer"/>
    <n v="65808"/>
    <n v="0.21"/>
    <n v="100"/>
    <n v="18"/>
    <s v="Credit Card"/>
    <s v="High"/>
    <x v="4"/>
    <x v="7"/>
    <n v="2"/>
    <n v="6"/>
    <n v="1.5195720884998785E-3"/>
  </r>
  <r>
    <n v="11683"/>
    <d v="2025-08-10T00:00:00"/>
    <d v="2025-08-12T00:00:00"/>
    <d v="2025-08-13T00:00:00"/>
    <x v="3"/>
    <s v="India"/>
    <s v="Tamil Nadu"/>
    <s v="Kochi"/>
    <x v="0"/>
    <s v="Notebook"/>
    <s v="Dining Table"/>
    <s v="Corporate"/>
    <n v="60140"/>
    <n v="0.02"/>
    <n v="12664"/>
    <n v="8"/>
    <s v="Debit Card"/>
    <s v="Low"/>
    <x v="4"/>
    <x v="7"/>
    <n v="2"/>
    <n v="3"/>
    <n v="0.210575324243432"/>
  </r>
  <r>
    <n v="11684"/>
    <d v="2025-08-11T00:00:00"/>
    <d v="2025-08-14T00:00:00"/>
    <d v="2025-08-17T00:00:00"/>
    <x v="2"/>
    <s v="India"/>
    <s v="Delhi"/>
    <s v="Delhi"/>
    <x v="1"/>
    <s v="Mobile"/>
    <s v="Office Chair"/>
    <s v="Consumer"/>
    <n v="44874"/>
    <n v="0.28999999999999998"/>
    <n v="14091"/>
    <n v="14"/>
    <s v="Net Banking"/>
    <s v="Medium"/>
    <x v="4"/>
    <x v="7"/>
    <n v="3"/>
    <n v="6"/>
    <n v="0.31401256852520393"/>
  </r>
  <r>
    <n v="11685"/>
    <d v="2025-08-12T00:00:00"/>
    <d v="2025-08-18T00:00:00"/>
    <d v="2025-08-21T00:00:00"/>
    <x v="2"/>
    <s v="India"/>
    <s v="Telangana"/>
    <s v="Chennai"/>
    <x v="2"/>
    <s v="Mobile"/>
    <s v="Gel Pen"/>
    <s v="Consumer"/>
    <n v="47083"/>
    <n v="0.31"/>
    <n v="18337"/>
    <n v="14"/>
    <s v="Cash"/>
    <s v="Low"/>
    <x v="4"/>
    <x v="7"/>
    <n v="6"/>
    <n v="9"/>
    <n v="0.38946116432682709"/>
  </r>
  <r>
    <n v="11686"/>
    <d v="2025-08-13T00:00:00"/>
    <d v="2025-08-17T00:00:00"/>
    <d v="2025-08-18T00:00:00"/>
    <x v="1"/>
    <s v="India"/>
    <s v="Tamil Nadu"/>
    <s v="Hyderabad"/>
    <x v="2"/>
    <s v="Laptop"/>
    <s v="Gel Pen"/>
    <s v="Home Office"/>
    <n v="28560"/>
    <n v="0.13"/>
    <n v="12311"/>
    <n v="18"/>
    <s v="Cash"/>
    <s v="Critical"/>
    <x v="4"/>
    <x v="7"/>
    <n v="4"/>
    <n v="5"/>
    <n v="0.4310574229691877"/>
  </r>
  <r>
    <n v="11687"/>
    <d v="2025-08-14T00:00:00"/>
    <d v="2025-08-16T00:00:00"/>
    <d v="2025-08-21T00:00:00"/>
    <x v="0"/>
    <s v="India"/>
    <s v="Delhi"/>
    <s v="Hyderabad"/>
    <x v="0"/>
    <s v="Laptop"/>
    <s v="Spiral Notebook"/>
    <s v="Corporate"/>
    <n v="16356"/>
    <n v="0.16"/>
    <n v="14952"/>
    <n v="23"/>
    <s v="UPI"/>
    <s v="Low"/>
    <x v="4"/>
    <x v="7"/>
    <n v="2"/>
    <n v="7"/>
    <n v="0.9141599413059428"/>
  </r>
  <r>
    <n v="11688"/>
    <d v="2025-08-15T00:00:00"/>
    <d v="2025-08-21T00:00:00"/>
    <d v="2025-08-22T00:00:00"/>
    <x v="2"/>
    <s v="India"/>
    <s v="Karnataka"/>
    <s v="Hyderabad"/>
    <x v="1"/>
    <s v="Table"/>
    <s v="Gaming Laptop"/>
    <s v="Consumer"/>
    <n v="34134"/>
    <n v="0.38"/>
    <n v="16770"/>
    <n v="13"/>
    <s v="Debit Card"/>
    <s v="Low"/>
    <x v="4"/>
    <x v="7"/>
    <n v="6"/>
    <n v="7"/>
    <n v="0.491298998066444"/>
  </r>
  <r>
    <n v="11689"/>
    <d v="2025-08-16T00:00:00"/>
    <d v="2025-08-20T00:00:00"/>
    <d v="2025-08-21T00:00:00"/>
    <x v="3"/>
    <s v="India"/>
    <s v="Telangana"/>
    <s v="Hyderabad"/>
    <x v="1"/>
    <s v="Mobile"/>
    <s v="Spiral Notebook"/>
    <s v="Corporate"/>
    <n v="22310"/>
    <n v="0.17"/>
    <n v="14514"/>
    <n v="4"/>
    <s v="Net Banking"/>
    <s v="High"/>
    <x v="4"/>
    <x v="7"/>
    <n v="4"/>
    <n v="5"/>
    <n v="0.65056028686687584"/>
  </r>
  <r>
    <n v="11690"/>
    <d v="2025-08-17T00:00:00"/>
    <d v="2025-08-22T00:00:00"/>
    <d v="2025-08-27T00:00:00"/>
    <x v="2"/>
    <s v="India"/>
    <s v="Delhi"/>
    <s v="Delhi"/>
    <x v="1"/>
    <s v="Notebook"/>
    <s v="Spiral Notebook"/>
    <s v="Home Office"/>
    <n v="21789"/>
    <n v="0.01"/>
    <n v="15195"/>
    <n v="20"/>
    <s v="Credit Card"/>
    <s v="Medium"/>
    <x v="4"/>
    <x v="7"/>
    <n v="5"/>
    <n v="10"/>
    <n v="0.69737023268621778"/>
  </r>
  <r>
    <n v="11691"/>
    <d v="2025-08-18T00:00:00"/>
    <d v="2025-08-24T00:00:00"/>
    <d v="2025-08-25T00:00:00"/>
    <x v="1"/>
    <s v="India"/>
    <s v="Telangana"/>
    <s v="Mumbai"/>
    <x v="1"/>
    <s v="Notebook"/>
    <s v="Smartphone"/>
    <s v="Consumer"/>
    <n v="63386"/>
    <n v="0.01"/>
    <n v="18512"/>
    <n v="24"/>
    <s v="Cash"/>
    <s v="Medium"/>
    <x v="4"/>
    <x v="7"/>
    <n v="6"/>
    <n v="7"/>
    <n v="0.29205187265326726"/>
  </r>
  <r>
    <n v="11692"/>
    <d v="2025-08-19T00:00:00"/>
    <d v="2025-08-26T00:00:00"/>
    <d v="2025-08-28T00:00:00"/>
    <x v="2"/>
    <s v="India"/>
    <s v="Delhi"/>
    <s v="Kochi"/>
    <x v="0"/>
    <s v="Notebook"/>
    <s v="Smartphone"/>
    <s v="Corporate"/>
    <n v="36735"/>
    <n v="0.25"/>
    <n v="15436"/>
    <n v="13"/>
    <s v="Net Banking"/>
    <s v="Low"/>
    <x v="4"/>
    <x v="7"/>
    <n v="7"/>
    <n v="9"/>
    <n v="0.42019872056621749"/>
  </r>
  <r>
    <n v="11693"/>
    <d v="2025-08-20T00:00:00"/>
    <d v="2025-08-24T00:00:00"/>
    <d v="2025-08-28T00:00:00"/>
    <x v="1"/>
    <s v="India"/>
    <s v="Delhi"/>
    <s v="Hyderabad"/>
    <x v="2"/>
    <s v="Chair"/>
    <s v="Laser Printer"/>
    <s v="Consumer"/>
    <n v="41930"/>
    <n v="0.15"/>
    <n v="2790"/>
    <n v="18"/>
    <s v="UPI"/>
    <s v="Medium"/>
    <x v="4"/>
    <x v="7"/>
    <n v="4"/>
    <n v="8"/>
    <n v="6.6539470546148338E-2"/>
  </r>
  <r>
    <n v="11694"/>
    <d v="2025-08-21T00:00:00"/>
    <d v="2025-08-26T00:00:00"/>
    <d v="2025-08-28T00:00:00"/>
    <x v="0"/>
    <s v="India"/>
    <s v="Tamil Nadu"/>
    <s v="Hyderabad"/>
    <x v="2"/>
    <s v="Table"/>
    <s v="Gaming Laptop"/>
    <s v="Corporate"/>
    <n v="73301"/>
    <n v="0.26"/>
    <n v="365"/>
    <n v="9"/>
    <s v="Debit Card"/>
    <s v="Low"/>
    <x v="4"/>
    <x v="7"/>
    <n v="5"/>
    <n v="7"/>
    <n v="4.9794682200788526E-3"/>
  </r>
  <r>
    <n v="11695"/>
    <d v="2025-08-22T00:00:00"/>
    <d v="2025-08-24T00:00:00"/>
    <d v="2025-08-26T00:00:00"/>
    <x v="1"/>
    <s v="India"/>
    <s v="Kerala"/>
    <s v="Mumbai"/>
    <x v="1"/>
    <s v="Table"/>
    <s v="Smartphone"/>
    <s v="Home Office"/>
    <n v="19173"/>
    <n v="0.03"/>
    <n v="8400"/>
    <n v="6"/>
    <s v="UPI"/>
    <s v="Critical"/>
    <x v="4"/>
    <x v="7"/>
    <n v="2"/>
    <n v="4"/>
    <n v="0.43811610076670315"/>
  </r>
  <r>
    <n v="11696"/>
    <d v="2025-08-23T00:00:00"/>
    <d v="2025-08-28T00:00:00"/>
    <d v="2025-09-01T00:00:00"/>
    <x v="1"/>
    <s v="India"/>
    <s v="Delhi"/>
    <s v="Hyderabad"/>
    <x v="1"/>
    <s v="Table"/>
    <s v="Office Chair"/>
    <s v="Corporate"/>
    <n v="27602"/>
    <n v="0.37"/>
    <n v="10670"/>
    <n v="10"/>
    <s v="UPI"/>
    <s v="Critical"/>
    <x v="4"/>
    <x v="7"/>
    <n v="5"/>
    <n v="9"/>
    <n v="0.38656619085573507"/>
  </r>
  <r>
    <n v="11697"/>
    <d v="2025-08-24T00:00:00"/>
    <d v="2025-08-29T00:00:00"/>
    <d v="2025-09-01T00:00:00"/>
    <x v="1"/>
    <s v="India"/>
    <s v="Maharashtra"/>
    <s v="Kochi"/>
    <x v="1"/>
    <s v="Mobile"/>
    <s v="Smartphone"/>
    <s v="Home Office"/>
    <n v="49146"/>
    <n v="0.22"/>
    <n v="4496"/>
    <n v="9"/>
    <s v="Credit Card"/>
    <s v="Low"/>
    <x v="4"/>
    <x v="7"/>
    <n v="5"/>
    <n v="8"/>
    <n v="9.1482521466650382E-2"/>
  </r>
  <r>
    <n v="11698"/>
    <d v="2025-08-25T00:00:00"/>
    <d v="2025-09-01T00:00:00"/>
    <d v="2025-09-02T00:00:00"/>
    <x v="1"/>
    <s v="India"/>
    <s v="Delhi"/>
    <s v="Hyderabad"/>
    <x v="1"/>
    <s v="Laptop"/>
    <s v="Dining Table"/>
    <s v="Corporate"/>
    <n v="60199"/>
    <n v="0.21"/>
    <n v="3364"/>
    <n v="19"/>
    <s v="UPI"/>
    <s v="High"/>
    <x v="4"/>
    <x v="7"/>
    <n v="7"/>
    <n v="8"/>
    <n v="5.5881326932341067E-2"/>
  </r>
  <r>
    <n v="11699"/>
    <d v="2025-08-26T00:00:00"/>
    <d v="2025-09-01T00:00:00"/>
    <d v="2025-09-03T00:00:00"/>
    <x v="3"/>
    <s v="India"/>
    <s v="Maharashtra"/>
    <s v="Kochi"/>
    <x v="2"/>
    <s v="Mobile"/>
    <s v="Smartphone"/>
    <s v="Corporate"/>
    <n v="23959"/>
    <n v="0.35"/>
    <n v="13807"/>
    <n v="9"/>
    <s v="UPI"/>
    <s v="Medium"/>
    <x v="4"/>
    <x v="7"/>
    <n v="6"/>
    <n v="8"/>
    <n v="0.57627613840310532"/>
  </r>
  <r>
    <n v="11700"/>
    <d v="2025-08-27T00:00:00"/>
    <d v="2025-08-31T00:00:00"/>
    <d v="2025-09-01T00:00:00"/>
    <x v="0"/>
    <s v="India"/>
    <s v="Kerala"/>
    <s v="Chennai"/>
    <x v="2"/>
    <s v="Mobile"/>
    <s v="Smartphone"/>
    <s v="Corporate"/>
    <n v="23299"/>
    <n v="0.35"/>
    <n v="-1691"/>
    <n v="22"/>
    <s v="Debit Card"/>
    <s v="Low"/>
    <x v="4"/>
    <x v="7"/>
    <n v="4"/>
    <n v="5"/>
    <n v="-7.257822224129791E-2"/>
  </r>
  <r>
    <n v="11701"/>
    <d v="2025-08-28T00:00:00"/>
    <d v="2025-09-03T00:00:00"/>
    <d v="2025-09-06T00:00:00"/>
    <x v="1"/>
    <s v="India"/>
    <s v="Telangana"/>
    <s v="Chennai"/>
    <x v="1"/>
    <s v="Laptop"/>
    <s v="Laser Printer"/>
    <s v="Home Office"/>
    <n v="11297"/>
    <n v="0.3"/>
    <n v="-1060"/>
    <n v="3"/>
    <s v="Cash"/>
    <s v="Critical"/>
    <x v="4"/>
    <x v="7"/>
    <n v="6"/>
    <n v="9"/>
    <n v="-9.3830220412498888E-2"/>
  </r>
  <r>
    <n v="11702"/>
    <d v="2025-08-29T00:00:00"/>
    <d v="2025-09-04T00:00:00"/>
    <d v="2025-09-05T00:00:00"/>
    <x v="1"/>
    <s v="India"/>
    <s v="Maharashtra"/>
    <s v="Mumbai"/>
    <x v="1"/>
    <s v="Notebook"/>
    <s v="Smartphone"/>
    <s v="Corporate"/>
    <n v="2003"/>
    <n v="0.16"/>
    <n v="11691"/>
    <n v="5"/>
    <s v="UPI"/>
    <s v="Medium"/>
    <x v="4"/>
    <x v="7"/>
    <n v="6"/>
    <n v="7"/>
    <n v="5.836744882675986"/>
  </r>
  <r>
    <n v="11703"/>
    <d v="2025-08-30T00:00:00"/>
    <d v="2025-09-06T00:00:00"/>
    <d v="2025-09-08T00:00:00"/>
    <x v="3"/>
    <s v="India"/>
    <s v="Delhi"/>
    <s v="Chennai"/>
    <x v="2"/>
    <s v="Mobile"/>
    <s v="Smartphone"/>
    <s v="Consumer"/>
    <n v="74444"/>
    <n v="0.15"/>
    <n v="10904"/>
    <n v="5"/>
    <s v="UPI"/>
    <s v="Medium"/>
    <x v="4"/>
    <x v="7"/>
    <n v="7"/>
    <n v="9"/>
    <n v="0.14647251625382837"/>
  </r>
  <r>
    <n v="11704"/>
    <d v="2025-08-31T00:00:00"/>
    <d v="2025-09-03T00:00:00"/>
    <d v="2025-09-06T00:00:00"/>
    <x v="2"/>
    <s v="India"/>
    <s v="Kerala"/>
    <s v="Chennai"/>
    <x v="0"/>
    <s v="Printer"/>
    <s v="Office Chair"/>
    <s v="Home Office"/>
    <n v="46345"/>
    <n v="0.39"/>
    <n v="201"/>
    <n v="8"/>
    <s v="Net Banking"/>
    <s v="Critical"/>
    <x v="4"/>
    <x v="7"/>
    <n v="3"/>
    <n v="6"/>
    <n v="4.3370374366166796E-3"/>
  </r>
  <r>
    <n v="11705"/>
    <d v="2025-09-01T00:00:00"/>
    <d v="2025-09-04T00:00:00"/>
    <d v="2025-09-05T00:00:00"/>
    <x v="3"/>
    <s v="India"/>
    <s v="Telangana"/>
    <s v="Chennai"/>
    <x v="2"/>
    <s v="Table"/>
    <s v="Smartphone"/>
    <s v="Consumer"/>
    <n v="9301"/>
    <n v="0.32"/>
    <n v="18077"/>
    <n v="13"/>
    <s v="Cash"/>
    <s v="Medium"/>
    <x v="4"/>
    <x v="8"/>
    <n v="3"/>
    <n v="4"/>
    <n v="1.9435544565100527"/>
  </r>
  <r>
    <n v="11706"/>
    <d v="2025-09-02T00:00:00"/>
    <d v="2025-09-09T00:00:00"/>
    <d v="2025-09-14T00:00:00"/>
    <x v="1"/>
    <s v="India"/>
    <s v="Karnataka"/>
    <s v="Chennai"/>
    <x v="0"/>
    <s v="Notebook"/>
    <s v="Gel Pen"/>
    <s v="Home Office"/>
    <n v="14595"/>
    <n v="0.14000000000000001"/>
    <n v="7733"/>
    <n v="23"/>
    <s v="UPI"/>
    <s v="Low"/>
    <x v="4"/>
    <x v="8"/>
    <n v="7"/>
    <n v="12"/>
    <n v="0.52983898595409384"/>
  </r>
  <r>
    <n v="11707"/>
    <d v="2025-09-03T00:00:00"/>
    <d v="2025-09-08T00:00:00"/>
    <d v="2025-09-13T00:00:00"/>
    <x v="3"/>
    <s v="India"/>
    <s v="Telangana"/>
    <s v="Delhi"/>
    <x v="1"/>
    <s v="Notebook"/>
    <s v="Spiral Notebook"/>
    <s v="Corporate"/>
    <n v="70356"/>
    <n v="0.35"/>
    <n v="-608"/>
    <n v="6"/>
    <s v="UPI"/>
    <s v="High"/>
    <x v="4"/>
    <x v="8"/>
    <n v="5"/>
    <n v="10"/>
    <n v="-8.6417647393257149E-3"/>
  </r>
  <r>
    <n v="11708"/>
    <d v="2025-09-04T00:00:00"/>
    <d v="2025-09-07T00:00:00"/>
    <d v="2025-09-10T00:00:00"/>
    <x v="0"/>
    <s v="India"/>
    <s v="Delhi"/>
    <s v="Mumbai"/>
    <x v="0"/>
    <s v="Printer"/>
    <s v="Spiral Notebook"/>
    <s v="Consumer"/>
    <n v="45072"/>
    <n v="0.18"/>
    <n v="2592"/>
    <n v="12"/>
    <s v="Debit Card"/>
    <s v="Medium"/>
    <x v="4"/>
    <x v="8"/>
    <n v="3"/>
    <n v="6"/>
    <n v="5.7507987220447282E-2"/>
  </r>
  <r>
    <n v="11709"/>
    <d v="2025-09-05T00:00:00"/>
    <d v="2025-09-08T00:00:00"/>
    <d v="2025-09-09T00:00:00"/>
    <x v="3"/>
    <s v="India"/>
    <s v="Delhi"/>
    <s v="Mumbai"/>
    <x v="2"/>
    <s v="Printer"/>
    <s v="Office Chair"/>
    <s v="Consumer"/>
    <n v="6122"/>
    <n v="0.06"/>
    <n v="7875"/>
    <n v="16"/>
    <s v="Credit Card"/>
    <s v="High"/>
    <x v="4"/>
    <x v="8"/>
    <n v="3"/>
    <n v="4"/>
    <n v="1.2863443319176739"/>
  </r>
  <r>
    <n v="11710"/>
    <d v="2025-09-06T00:00:00"/>
    <d v="2025-09-09T00:00:00"/>
    <d v="2025-09-11T00:00:00"/>
    <x v="0"/>
    <s v="India"/>
    <s v="Maharashtra"/>
    <s v="Hyderabad"/>
    <x v="2"/>
    <s v="Chair"/>
    <s v="Gaming Laptop"/>
    <s v="Home Office"/>
    <n v="41159"/>
    <n v="0"/>
    <n v="5268"/>
    <n v="24"/>
    <s v="Net Banking"/>
    <s v="Medium"/>
    <x v="4"/>
    <x v="8"/>
    <n v="3"/>
    <n v="5"/>
    <n v="0.12799144779999513"/>
  </r>
  <r>
    <n v="11711"/>
    <d v="2025-09-07T00:00:00"/>
    <d v="2025-09-10T00:00:00"/>
    <d v="2025-09-13T00:00:00"/>
    <x v="2"/>
    <s v="India"/>
    <s v="Tamil Nadu"/>
    <s v="Kochi"/>
    <x v="0"/>
    <s v="Printer"/>
    <s v="Gel Pen"/>
    <s v="Home Office"/>
    <n v="21369"/>
    <n v="0.28999999999999998"/>
    <n v="1305"/>
    <n v="16"/>
    <s v="Credit Card"/>
    <s v="Medium"/>
    <x v="4"/>
    <x v="8"/>
    <n v="3"/>
    <n v="6"/>
    <n v="6.1069773971641164E-2"/>
  </r>
  <r>
    <n v="11712"/>
    <d v="2025-09-08T00:00:00"/>
    <d v="2025-09-15T00:00:00"/>
    <d v="2025-09-16T00:00:00"/>
    <x v="1"/>
    <s v="India"/>
    <s v="Karnataka"/>
    <s v="Chennai"/>
    <x v="1"/>
    <s v="Chair"/>
    <s v="Office Chair"/>
    <s v="Corporate"/>
    <n v="9102"/>
    <n v="0.31"/>
    <n v="2431"/>
    <n v="4"/>
    <s v="UPI"/>
    <s v="High"/>
    <x v="4"/>
    <x v="8"/>
    <n v="7"/>
    <n v="8"/>
    <n v="0.26708415732805979"/>
  </r>
  <r>
    <n v="11713"/>
    <d v="2025-09-09T00:00:00"/>
    <d v="2025-09-16T00:00:00"/>
    <d v="2025-09-21T00:00:00"/>
    <x v="2"/>
    <s v="India"/>
    <s v="Telangana"/>
    <s v="Kochi"/>
    <x v="1"/>
    <s v="Laptop"/>
    <s v="Laser Printer"/>
    <s v="Corporate"/>
    <n v="19300"/>
    <n v="0.24"/>
    <n v="11050"/>
    <n v="8"/>
    <s v="Debit Card"/>
    <s v="Medium"/>
    <x v="4"/>
    <x v="8"/>
    <n v="7"/>
    <n v="12"/>
    <n v="0.57253886010362698"/>
  </r>
  <r>
    <n v="11714"/>
    <d v="2025-09-10T00:00:00"/>
    <d v="2025-09-14T00:00:00"/>
    <d v="2025-09-19T00:00:00"/>
    <x v="3"/>
    <s v="India"/>
    <s v="Karnataka"/>
    <s v="Chennai"/>
    <x v="2"/>
    <s v="Mobile"/>
    <s v="Laser Printer"/>
    <s v="Home Office"/>
    <n v="10425"/>
    <n v="0.24"/>
    <n v="11777"/>
    <n v="22"/>
    <s v="Credit Card"/>
    <s v="High"/>
    <x v="4"/>
    <x v="8"/>
    <n v="4"/>
    <n v="9"/>
    <n v="1.1296882494004796"/>
  </r>
  <r>
    <n v="11715"/>
    <d v="2025-09-11T00:00:00"/>
    <d v="2025-09-15T00:00:00"/>
    <d v="2025-09-16T00:00:00"/>
    <x v="0"/>
    <s v="India"/>
    <s v="Maharashtra"/>
    <s v="Mumbai"/>
    <x v="1"/>
    <s v="Notebook"/>
    <s v="Gel Pen"/>
    <s v="Home Office"/>
    <n v="2413"/>
    <n v="0"/>
    <n v="14854"/>
    <n v="21"/>
    <s v="Debit Card"/>
    <s v="Critical"/>
    <x v="4"/>
    <x v="8"/>
    <n v="4"/>
    <n v="5"/>
    <n v="6.1558226274347287"/>
  </r>
  <r>
    <n v="11716"/>
    <d v="2025-09-12T00:00:00"/>
    <d v="2025-09-15T00:00:00"/>
    <d v="2025-09-20T00:00:00"/>
    <x v="1"/>
    <s v="India"/>
    <s v="Karnataka"/>
    <s v="Delhi"/>
    <x v="0"/>
    <s v="Pen"/>
    <s v="Smartphone"/>
    <s v="Corporate"/>
    <n v="12359"/>
    <n v="0.17"/>
    <n v="3859"/>
    <n v="13"/>
    <s v="UPI"/>
    <s v="Medium"/>
    <x v="4"/>
    <x v="8"/>
    <n v="3"/>
    <n v="8"/>
    <n v="0.31224209078404402"/>
  </r>
  <r>
    <n v="11717"/>
    <d v="2025-09-13T00:00:00"/>
    <d v="2025-09-16T00:00:00"/>
    <d v="2025-09-18T00:00:00"/>
    <x v="3"/>
    <s v="India"/>
    <s v="Karnataka"/>
    <s v="Kochi"/>
    <x v="2"/>
    <s v="Chair"/>
    <s v="Laser Printer"/>
    <s v="Home Office"/>
    <n v="28978"/>
    <n v="0.01"/>
    <n v="10844"/>
    <n v="21"/>
    <s v="UPI"/>
    <s v="High"/>
    <x v="4"/>
    <x v="8"/>
    <n v="3"/>
    <n v="5"/>
    <n v="0.37421492166471115"/>
  </r>
  <r>
    <n v="11718"/>
    <d v="2025-09-14T00:00:00"/>
    <d v="2025-09-18T00:00:00"/>
    <d v="2025-09-19T00:00:00"/>
    <x v="1"/>
    <s v="India"/>
    <s v="Karnataka"/>
    <s v="Delhi"/>
    <x v="2"/>
    <s v="Mobile"/>
    <s v="Spiral Notebook"/>
    <s v="Consumer"/>
    <n v="37390"/>
    <n v="0.01"/>
    <n v="12083"/>
    <n v="15"/>
    <s v="Credit Card"/>
    <s v="Medium"/>
    <x v="4"/>
    <x v="8"/>
    <n v="4"/>
    <n v="5"/>
    <n v="0.32316127306766518"/>
  </r>
  <r>
    <n v="11719"/>
    <d v="2025-09-15T00:00:00"/>
    <d v="2025-09-21T00:00:00"/>
    <d v="2025-09-22T00:00:00"/>
    <x v="3"/>
    <s v="India"/>
    <s v="Tamil Nadu"/>
    <s v="Delhi"/>
    <x v="2"/>
    <s v="Mobile"/>
    <s v="Spiral Notebook"/>
    <s v="Consumer"/>
    <n v="59005"/>
    <n v="0.3"/>
    <n v="3449"/>
    <n v="21"/>
    <s v="Net Banking"/>
    <s v="Critical"/>
    <x v="4"/>
    <x v="8"/>
    <n v="6"/>
    <n v="7"/>
    <n v="5.8452673502245575E-2"/>
  </r>
  <r>
    <n v="11720"/>
    <d v="2025-09-16T00:00:00"/>
    <d v="2025-09-18T00:00:00"/>
    <d v="2025-09-20T00:00:00"/>
    <x v="3"/>
    <s v="India"/>
    <s v="Kerala"/>
    <s v="Mumbai"/>
    <x v="0"/>
    <s v="Laptop"/>
    <s v="Smartphone"/>
    <s v="Consumer"/>
    <n v="53030"/>
    <n v="0.05"/>
    <n v="13241"/>
    <n v="3"/>
    <s v="Cash"/>
    <s v="High"/>
    <x v="4"/>
    <x v="8"/>
    <n v="2"/>
    <n v="4"/>
    <n v="0.2496888553648878"/>
  </r>
  <r>
    <n v="11721"/>
    <d v="2025-09-17T00:00:00"/>
    <d v="2025-09-19T00:00:00"/>
    <d v="2025-09-24T00:00:00"/>
    <x v="2"/>
    <s v="India"/>
    <s v="Tamil Nadu"/>
    <s v="Bangalore"/>
    <x v="2"/>
    <s v="Notebook"/>
    <s v="Gel Pen"/>
    <s v="Consumer"/>
    <n v="23416"/>
    <n v="0.05"/>
    <n v="5838"/>
    <n v="22"/>
    <s v="Cash"/>
    <s v="Medium"/>
    <x v="4"/>
    <x v="8"/>
    <n v="2"/>
    <n v="7"/>
    <n v="0.24931670652545268"/>
  </r>
  <r>
    <n v="11722"/>
    <d v="2025-09-18T00:00:00"/>
    <d v="2025-09-20T00:00:00"/>
    <d v="2025-09-22T00:00:00"/>
    <x v="0"/>
    <s v="India"/>
    <s v="Maharashtra"/>
    <s v="Chennai"/>
    <x v="0"/>
    <s v="Chair"/>
    <s v="Smartphone"/>
    <s v="Consumer"/>
    <n v="1664"/>
    <n v="0.27"/>
    <n v="18166"/>
    <n v="14"/>
    <s v="Net Banking"/>
    <s v="Low"/>
    <x v="4"/>
    <x v="8"/>
    <n v="2"/>
    <n v="4"/>
    <n v="10.917067307692308"/>
  </r>
  <r>
    <n v="11723"/>
    <d v="2025-09-19T00:00:00"/>
    <d v="2025-09-23T00:00:00"/>
    <d v="2025-09-27T00:00:00"/>
    <x v="2"/>
    <s v="India"/>
    <s v="Delhi"/>
    <s v="Bangalore"/>
    <x v="2"/>
    <s v="Pen"/>
    <s v="Smartphone"/>
    <s v="Corporate"/>
    <n v="35665"/>
    <n v="7.0000000000000007E-2"/>
    <n v="2409"/>
    <n v="12"/>
    <s v="Net Banking"/>
    <s v="High"/>
    <x v="4"/>
    <x v="8"/>
    <n v="4"/>
    <n v="8"/>
    <n v="6.7545212393102474E-2"/>
  </r>
  <r>
    <n v="11724"/>
    <d v="2025-09-20T00:00:00"/>
    <d v="2025-09-25T00:00:00"/>
    <d v="2025-09-29T00:00:00"/>
    <x v="0"/>
    <s v="India"/>
    <s v="Telangana"/>
    <s v="Bangalore"/>
    <x v="2"/>
    <s v="Table"/>
    <s v="Office Chair"/>
    <s v="Consumer"/>
    <n v="60456"/>
    <n v="0.1"/>
    <n v="1347"/>
    <n v="8"/>
    <s v="Debit Card"/>
    <s v="Medium"/>
    <x v="4"/>
    <x v="8"/>
    <n v="5"/>
    <n v="9"/>
    <n v="2.2280666931321955E-2"/>
  </r>
  <r>
    <n v="11725"/>
    <d v="2025-09-21T00:00:00"/>
    <d v="2025-09-28T00:00:00"/>
    <d v="2025-09-30T00:00:00"/>
    <x v="0"/>
    <s v="India"/>
    <s v="Telangana"/>
    <s v="Hyderabad"/>
    <x v="1"/>
    <s v="Printer"/>
    <s v="Laser Printer"/>
    <s v="Home Office"/>
    <n v="38428"/>
    <n v="0.2"/>
    <n v="9926"/>
    <n v="16"/>
    <s v="Debit Card"/>
    <s v="High"/>
    <x v="4"/>
    <x v="8"/>
    <n v="7"/>
    <n v="9"/>
    <n v="0.25830123868012905"/>
  </r>
  <r>
    <n v="11726"/>
    <d v="2025-09-22T00:00:00"/>
    <d v="2025-09-26T00:00:00"/>
    <d v="2025-09-28T00:00:00"/>
    <x v="0"/>
    <s v="India"/>
    <s v="Karnataka"/>
    <s v="Delhi"/>
    <x v="0"/>
    <s v="Printer"/>
    <s v="Office Chair"/>
    <s v="Home Office"/>
    <n v="6630"/>
    <n v="0.28999999999999998"/>
    <n v="392"/>
    <n v="14"/>
    <s v="Cash"/>
    <s v="Critical"/>
    <x v="4"/>
    <x v="8"/>
    <n v="4"/>
    <n v="6"/>
    <n v="5.9125188536953241E-2"/>
  </r>
  <r>
    <n v="11727"/>
    <d v="2025-09-23T00:00:00"/>
    <d v="2025-09-26T00:00:00"/>
    <d v="2025-09-27T00:00:00"/>
    <x v="2"/>
    <s v="India"/>
    <s v="Karnataka"/>
    <s v="Bangalore"/>
    <x v="1"/>
    <s v="Table"/>
    <s v="Laser Printer"/>
    <s v="Home Office"/>
    <n v="52096"/>
    <n v="0.22"/>
    <n v="5304"/>
    <n v="8"/>
    <s v="UPI"/>
    <s v="Critical"/>
    <x v="4"/>
    <x v="8"/>
    <n v="3"/>
    <n v="4"/>
    <n v="0.10181203931203932"/>
  </r>
  <r>
    <n v="11728"/>
    <d v="2025-09-24T00:00:00"/>
    <d v="2025-09-26T00:00:00"/>
    <d v="2025-09-27T00:00:00"/>
    <x v="2"/>
    <s v="India"/>
    <s v="Karnataka"/>
    <s v="Bangalore"/>
    <x v="1"/>
    <s v="Table"/>
    <s v="Dining Table"/>
    <s v="Home Office"/>
    <n v="36316"/>
    <n v="0.04"/>
    <n v="3608"/>
    <n v="5"/>
    <s v="Net Banking"/>
    <s v="Medium"/>
    <x v="4"/>
    <x v="8"/>
    <n v="2"/>
    <n v="3"/>
    <n v="9.9350148694790169E-2"/>
  </r>
  <r>
    <n v="11729"/>
    <d v="2025-09-25T00:00:00"/>
    <d v="2025-10-01T00:00:00"/>
    <d v="2025-10-05T00:00:00"/>
    <x v="0"/>
    <s v="India"/>
    <s v="Delhi"/>
    <s v="Bangalore"/>
    <x v="1"/>
    <s v="Notebook"/>
    <s v="Spiral Notebook"/>
    <s v="Home Office"/>
    <n v="8322"/>
    <n v="0.17"/>
    <n v="3901"/>
    <n v="1"/>
    <s v="Net Banking"/>
    <s v="Medium"/>
    <x v="4"/>
    <x v="8"/>
    <n v="6"/>
    <n v="10"/>
    <n v="0.46875751021389089"/>
  </r>
  <r>
    <n v="11730"/>
    <d v="2025-09-26T00:00:00"/>
    <d v="2025-10-02T00:00:00"/>
    <d v="2025-10-06T00:00:00"/>
    <x v="2"/>
    <s v="India"/>
    <s v="Tamil Nadu"/>
    <s v="Chennai"/>
    <x v="0"/>
    <s v="Laptop"/>
    <s v="Gel Pen"/>
    <s v="Home Office"/>
    <n v="65479"/>
    <n v="0.28999999999999998"/>
    <n v="4038"/>
    <n v="7"/>
    <s v="Debit Card"/>
    <s v="Medium"/>
    <x v="4"/>
    <x v="8"/>
    <n v="6"/>
    <n v="10"/>
    <n v="6.1668626582568456E-2"/>
  </r>
  <r>
    <n v="11731"/>
    <d v="2025-09-27T00:00:00"/>
    <d v="2025-10-04T00:00:00"/>
    <d v="2025-10-06T00:00:00"/>
    <x v="2"/>
    <s v="India"/>
    <s v="Kerala"/>
    <s v="Hyderabad"/>
    <x v="1"/>
    <s v="Notebook"/>
    <s v="Gel Pen"/>
    <s v="Corporate"/>
    <n v="64890"/>
    <n v="0.25"/>
    <n v="7669"/>
    <n v="19"/>
    <s v="Debit Card"/>
    <s v="Low"/>
    <x v="4"/>
    <x v="8"/>
    <n v="7"/>
    <n v="9"/>
    <n v="0.1181846201263677"/>
  </r>
  <r>
    <n v="11732"/>
    <d v="2025-09-28T00:00:00"/>
    <d v="2025-10-03T00:00:00"/>
    <d v="2025-10-07T00:00:00"/>
    <x v="2"/>
    <s v="India"/>
    <s v="Maharashtra"/>
    <s v="Kochi"/>
    <x v="0"/>
    <s v="Notebook"/>
    <s v="Office Chair"/>
    <s v="Home Office"/>
    <n v="71937"/>
    <n v="0.01"/>
    <n v="12725"/>
    <n v="23"/>
    <s v="Debit Card"/>
    <s v="Low"/>
    <x v="4"/>
    <x v="8"/>
    <n v="5"/>
    <n v="9"/>
    <n v="0.17689089064042149"/>
  </r>
  <r>
    <n v="11733"/>
    <d v="2025-09-29T00:00:00"/>
    <d v="2025-10-05T00:00:00"/>
    <d v="2025-10-08T00:00:00"/>
    <x v="3"/>
    <s v="India"/>
    <s v="Delhi"/>
    <s v="Kochi"/>
    <x v="2"/>
    <s v="Mobile"/>
    <s v="Laser Printer"/>
    <s v="Consumer"/>
    <n v="17835"/>
    <n v="0.35"/>
    <n v="19711"/>
    <n v="3"/>
    <s v="Net Banking"/>
    <s v="Medium"/>
    <x v="4"/>
    <x v="8"/>
    <n v="6"/>
    <n v="9"/>
    <n v="1.1051864311746566"/>
  </r>
  <r>
    <n v="11734"/>
    <d v="2025-09-30T00:00:00"/>
    <d v="2025-10-03T00:00:00"/>
    <d v="2025-10-05T00:00:00"/>
    <x v="0"/>
    <s v="India"/>
    <s v="Delhi"/>
    <s v="Bangalore"/>
    <x v="0"/>
    <s v="Chair"/>
    <s v="Office Chair"/>
    <s v="Corporate"/>
    <n v="16503"/>
    <n v="0.25"/>
    <n v="-1938"/>
    <n v="3"/>
    <s v="Debit Card"/>
    <s v="Critical"/>
    <x v="4"/>
    <x v="8"/>
    <n v="3"/>
    <n v="5"/>
    <n v="-0.11743319396473369"/>
  </r>
  <r>
    <n v="11735"/>
    <d v="2025-10-01T00:00:00"/>
    <d v="2025-10-05T00:00:00"/>
    <d v="2025-10-06T00:00:00"/>
    <x v="0"/>
    <s v="India"/>
    <s v="Kerala"/>
    <s v="Bangalore"/>
    <x v="2"/>
    <s v="Table"/>
    <s v="Gel Pen"/>
    <s v="Consumer"/>
    <n v="4423"/>
    <n v="0.37"/>
    <n v="10661"/>
    <n v="22"/>
    <s v="Credit Card"/>
    <s v="Critical"/>
    <x v="4"/>
    <x v="9"/>
    <n v="4"/>
    <n v="5"/>
    <n v="2.4103549626950036"/>
  </r>
  <r>
    <n v="11736"/>
    <d v="2025-10-02T00:00:00"/>
    <d v="2025-10-08T00:00:00"/>
    <d v="2025-10-13T00:00:00"/>
    <x v="3"/>
    <s v="India"/>
    <s v="Delhi"/>
    <s v="Kochi"/>
    <x v="1"/>
    <s v="Chair"/>
    <s v="Dining Table"/>
    <s v="Consumer"/>
    <n v="55448"/>
    <n v="0.03"/>
    <n v="-1575"/>
    <n v="24"/>
    <s v="Credit Card"/>
    <s v="Critical"/>
    <x v="4"/>
    <x v="9"/>
    <n v="6"/>
    <n v="11"/>
    <n v="-2.8404992064637136E-2"/>
  </r>
  <r>
    <n v="11737"/>
    <d v="2025-10-03T00:00:00"/>
    <d v="2025-10-09T00:00:00"/>
    <d v="2025-10-14T00:00:00"/>
    <x v="1"/>
    <s v="India"/>
    <s v="Tamil Nadu"/>
    <s v="Kochi"/>
    <x v="2"/>
    <s v="Mobile"/>
    <s v="Smartphone"/>
    <s v="Consumer"/>
    <n v="47252"/>
    <n v="0.01"/>
    <n v="10120"/>
    <n v="4"/>
    <s v="Net Banking"/>
    <s v="Medium"/>
    <x v="4"/>
    <x v="9"/>
    <n v="6"/>
    <n v="11"/>
    <n v="0.21417082874798951"/>
  </r>
  <r>
    <n v="11738"/>
    <d v="2025-10-04T00:00:00"/>
    <d v="2025-10-07T00:00:00"/>
    <d v="2025-10-10T00:00:00"/>
    <x v="3"/>
    <s v="India"/>
    <s v="Kerala"/>
    <s v="Delhi"/>
    <x v="1"/>
    <s v="Chair"/>
    <s v="Dining Table"/>
    <s v="Consumer"/>
    <n v="12669"/>
    <n v="0.1"/>
    <n v="4687"/>
    <n v="20"/>
    <s v="Cash"/>
    <s v="High"/>
    <x v="4"/>
    <x v="9"/>
    <n v="3"/>
    <n v="6"/>
    <n v="0.36995816560107347"/>
  </r>
  <r>
    <n v="11739"/>
    <d v="2025-10-05T00:00:00"/>
    <d v="2025-10-11T00:00:00"/>
    <d v="2025-10-12T00:00:00"/>
    <x v="0"/>
    <s v="India"/>
    <s v="Telangana"/>
    <s v="Mumbai"/>
    <x v="2"/>
    <s v="Notebook"/>
    <s v="Spiral Notebook"/>
    <s v="Consumer"/>
    <n v="39604"/>
    <n v="0.05"/>
    <n v="12329"/>
    <n v="19"/>
    <s v="Cash"/>
    <s v="Critical"/>
    <x v="4"/>
    <x v="9"/>
    <n v="6"/>
    <n v="7"/>
    <n v="0.31130693869306131"/>
  </r>
  <r>
    <n v="11740"/>
    <d v="2025-10-06T00:00:00"/>
    <d v="2025-10-12T00:00:00"/>
    <d v="2025-10-17T00:00:00"/>
    <x v="0"/>
    <s v="India"/>
    <s v="Maharashtra"/>
    <s v="Chennai"/>
    <x v="0"/>
    <s v="Pen"/>
    <s v="Laser Printer"/>
    <s v="Corporate"/>
    <n v="14858"/>
    <n v="0.2"/>
    <n v="9304"/>
    <n v="12"/>
    <s v="Credit Card"/>
    <s v="Low"/>
    <x v="4"/>
    <x v="9"/>
    <n v="6"/>
    <n v="11"/>
    <n v="0.62619464261677216"/>
  </r>
  <r>
    <n v="11741"/>
    <d v="2025-10-07T00:00:00"/>
    <d v="2025-10-10T00:00:00"/>
    <d v="2025-10-13T00:00:00"/>
    <x v="1"/>
    <s v="India"/>
    <s v="Telangana"/>
    <s v="Hyderabad"/>
    <x v="2"/>
    <s v="Mobile"/>
    <s v="Gaming Laptop"/>
    <s v="Consumer"/>
    <n v="31479"/>
    <n v="0.37"/>
    <n v="15983"/>
    <n v="3"/>
    <s v="Credit Card"/>
    <s v="Critical"/>
    <x v="4"/>
    <x v="9"/>
    <n v="3"/>
    <n v="6"/>
    <n v="0.50773531560723018"/>
  </r>
  <r>
    <n v="11742"/>
    <d v="2025-10-08T00:00:00"/>
    <d v="2025-10-13T00:00:00"/>
    <d v="2025-10-18T00:00:00"/>
    <x v="3"/>
    <s v="India"/>
    <s v="Telangana"/>
    <s v="Mumbai"/>
    <x v="1"/>
    <s v="Pen"/>
    <s v="Gel Pen"/>
    <s v="Corporate"/>
    <n v="64477"/>
    <n v="0.19"/>
    <n v="5088"/>
    <n v="19"/>
    <s v="Cash"/>
    <s v="Critical"/>
    <x v="4"/>
    <x v="9"/>
    <n v="5"/>
    <n v="10"/>
    <n v="7.891186004311615E-2"/>
  </r>
  <r>
    <n v="11743"/>
    <d v="2025-10-09T00:00:00"/>
    <d v="2025-10-11T00:00:00"/>
    <d v="2025-10-14T00:00:00"/>
    <x v="0"/>
    <s v="India"/>
    <s v="Kerala"/>
    <s v="Bangalore"/>
    <x v="2"/>
    <s v="Pen"/>
    <s v="Gel Pen"/>
    <s v="Corporate"/>
    <n v="53122"/>
    <n v="0.27"/>
    <n v="16048"/>
    <n v="2"/>
    <s v="UPI"/>
    <s v="High"/>
    <x v="4"/>
    <x v="9"/>
    <n v="2"/>
    <n v="5"/>
    <n v="0.30209705959865968"/>
  </r>
  <r>
    <n v="11744"/>
    <d v="2025-10-10T00:00:00"/>
    <d v="2025-10-17T00:00:00"/>
    <d v="2025-10-21T00:00:00"/>
    <x v="1"/>
    <s v="India"/>
    <s v="Kerala"/>
    <s v="Bangalore"/>
    <x v="1"/>
    <s v="Laptop"/>
    <s v="Spiral Notebook"/>
    <s v="Home Office"/>
    <n v="30091"/>
    <n v="0.23"/>
    <n v="11329"/>
    <n v="15"/>
    <s v="Credit Card"/>
    <s v="Critical"/>
    <x v="4"/>
    <x v="9"/>
    <n v="7"/>
    <n v="11"/>
    <n v="0.37649130969392841"/>
  </r>
  <r>
    <n v="11745"/>
    <d v="2025-10-11T00:00:00"/>
    <d v="2025-10-16T00:00:00"/>
    <d v="2025-10-21T00:00:00"/>
    <x v="1"/>
    <s v="India"/>
    <s v="Delhi"/>
    <s v="Delhi"/>
    <x v="2"/>
    <s v="Notebook"/>
    <s v="Dining Table"/>
    <s v="Consumer"/>
    <n v="11773"/>
    <n v="0.13"/>
    <n v="11924"/>
    <n v="5"/>
    <s v="Net Banking"/>
    <s v="Low"/>
    <x v="4"/>
    <x v="9"/>
    <n v="5"/>
    <n v="10"/>
    <n v="1.0128259576998215"/>
  </r>
  <r>
    <n v="11746"/>
    <d v="2025-10-12T00:00:00"/>
    <d v="2025-10-17T00:00:00"/>
    <d v="2025-10-20T00:00:00"/>
    <x v="1"/>
    <s v="India"/>
    <s v="Telangana"/>
    <s v="Kochi"/>
    <x v="0"/>
    <s v="Pen"/>
    <s v="Gaming Laptop"/>
    <s v="Corporate"/>
    <n v="56049"/>
    <n v="0.31"/>
    <n v="-702"/>
    <n v="14"/>
    <s v="Credit Card"/>
    <s v="High"/>
    <x v="4"/>
    <x v="9"/>
    <n v="5"/>
    <n v="8"/>
    <n v="-1.2524755124979928E-2"/>
  </r>
  <r>
    <n v="11747"/>
    <d v="2025-10-13T00:00:00"/>
    <d v="2025-10-15T00:00:00"/>
    <d v="2025-10-18T00:00:00"/>
    <x v="2"/>
    <s v="India"/>
    <s v="Delhi"/>
    <s v="Bangalore"/>
    <x v="0"/>
    <s v="Laptop"/>
    <s v="Dining Table"/>
    <s v="Consumer"/>
    <n v="40880"/>
    <n v="0.33"/>
    <n v="13027"/>
    <n v="24"/>
    <s v="Debit Card"/>
    <s v="Medium"/>
    <x v="4"/>
    <x v="9"/>
    <n v="2"/>
    <n v="5"/>
    <n v="0.31866438356164384"/>
  </r>
  <r>
    <n v="11748"/>
    <d v="2025-10-14T00:00:00"/>
    <d v="2025-10-21T00:00:00"/>
    <d v="2025-10-24T00:00:00"/>
    <x v="0"/>
    <s v="India"/>
    <s v="Delhi"/>
    <s v="Mumbai"/>
    <x v="0"/>
    <s v="Laptop"/>
    <s v="Smartphone"/>
    <s v="Corporate"/>
    <n v="41250"/>
    <n v="0.03"/>
    <n v="6075"/>
    <n v="5"/>
    <s v="Debit Card"/>
    <s v="Critical"/>
    <x v="4"/>
    <x v="9"/>
    <n v="7"/>
    <n v="10"/>
    <n v="0.14727272727272728"/>
  </r>
  <r>
    <n v="11749"/>
    <d v="2025-10-15T00:00:00"/>
    <d v="2025-10-17T00:00:00"/>
    <d v="2025-10-18T00:00:00"/>
    <x v="1"/>
    <s v="India"/>
    <s v="Tamil Nadu"/>
    <s v="Mumbai"/>
    <x v="0"/>
    <s v="Mobile"/>
    <s v="Office Chair"/>
    <s v="Consumer"/>
    <n v="32636"/>
    <n v="0.4"/>
    <n v="-939"/>
    <n v="15"/>
    <s v="Cash"/>
    <s v="Low"/>
    <x v="4"/>
    <x v="9"/>
    <n v="2"/>
    <n v="3"/>
    <n v="-2.8771908322098295E-2"/>
  </r>
  <r>
    <n v="11750"/>
    <d v="2025-10-16T00:00:00"/>
    <d v="2025-10-22T00:00:00"/>
    <d v="2025-10-24T00:00:00"/>
    <x v="2"/>
    <s v="India"/>
    <s v="Kerala"/>
    <s v="Delhi"/>
    <x v="2"/>
    <s v="Table"/>
    <s v="Smartphone"/>
    <s v="Home Office"/>
    <n v="67711"/>
    <n v="0.12"/>
    <n v="16560"/>
    <n v="7"/>
    <s v="Net Banking"/>
    <s v="Low"/>
    <x v="4"/>
    <x v="9"/>
    <n v="6"/>
    <n v="8"/>
    <n v="0.24456882928918491"/>
  </r>
  <r>
    <n v="11751"/>
    <d v="2025-10-17T00:00:00"/>
    <d v="2025-10-23T00:00:00"/>
    <d v="2025-10-27T00:00:00"/>
    <x v="0"/>
    <s v="India"/>
    <s v="Delhi"/>
    <s v="Chennai"/>
    <x v="2"/>
    <s v="Table"/>
    <s v="Smartphone"/>
    <s v="Corporate"/>
    <n v="35552"/>
    <n v="0.32"/>
    <n v="1644"/>
    <n v="18"/>
    <s v="Net Banking"/>
    <s v="Critical"/>
    <x v="4"/>
    <x v="9"/>
    <n v="6"/>
    <n v="10"/>
    <n v="4.6242124212421243E-2"/>
  </r>
  <r>
    <n v="11752"/>
    <d v="2025-10-18T00:00:00"/>
    <d v="2025-10-24T00:00:00"/>
    <d v="2025-10-28T00:00:00"/>
    <x v="1"/>
    <s v="India"/>
    <s v="Telangana"/>
    <s v="Chennai"/>
    <x v="2"/>
    <s v="Chair"/>
    <s v="Dining Table"/>
    <s v="Home Office"/>
    <n v="6231"/>
    <n v="0.24"/>
    <n v="3122"/>
    <n v="13"/>
    <s v="UPI"/>
    <s v="Critical"/>
    <x v="4"/>
    <x v="9"/>
    <n v="6"/>
    <n v="10"/>
    <n v="0.50104317124057129"/>
  </r>
  <r>
    <n v="11753"/>
    <d v="2025-10-19T00:00:00"/>
    <d v="2025-10-26T00:00:00"/>
    <d v="2025-10-28T00:00:00"/>
    <x v="1"/>
    <s v="India"/>
    <s v="Kerala"/>
    <s v="Hyderabad"/>
    <x v="2"/>
    <s v="Printer"/>
    <s v="Dining Table"/>
    <s v="Home Office"/>
    <n v="64678"/>
    <n v="0.25"/>
    <n v="17119"/>
    <n v="23"/>
    <s v="Net Banking"/>
    <s v="Medium"/>
    <x v="4"/>
    <x v="9"/>
    <n v="7"/>
    <n v="9"/>
    <n v="0.2646804168341631"/>
  </r>
  <r>
    <n v="11754"/>
    <d v="2025-10-20T00:00:00"/>
    <d v="2025-10-24T00:00:00"/>
    <d v="2025-10-26T00:00:00"/>
    <x v="2"/>
    <s v="India"/>
    <s v="Tamil Nadu"/>
    <s v="Delhi"/>
    <x v="0"/>
    <s v="Pen"/>
    <s v="Laser Printer"/>
    <s v="Consumer"/>
    <n v="57437"/>
    <n v="0.36"/>
    <n v="2336"/>
    <n v="17"/>
    <s v="Credit Card"/>
    <s v="Medium"/>
    <x v="4"/>
    <x v="9"/>
    <n v="4"/>
    <n v="6"/>
    <n v="4.0670647840242352E-2"/>
  </r>
  <r>
    <n v="11755"/>
    <d v="2025-10-21T00:00:00"/>
    <d v="2025-10-25T00:00:00"/>
    <d v="2025-10-26T00:00:00"/>
    <x v="0"/>
    <s v="India"/>
    <s v="Karnataka"/>
    <s v="Bangalore"/>
    <x v="0"/>
    <s v="Pen"/>
    <s v="Gaming Laptop"/>
    <s v="Home Office"/>
    <n v="52813"/>
    <n v="0.35"/>
    <n v="18176"/>
    <n v="4"/>
    <s v="Net Banking"/>
    <s v="Low"/>
    <x v="4"/>
    <x v="9"/>
    <n v="4"/>
    <n v="5"/>
    <n v="0.34415768844792"/>
  </r>
  <r>
    <n v="11756"/>
    <d v="2025-10-22T00:00:00"/>
    <d v="2025-10-25T00:00:00"/>
    <d v="2025-10-26T00:00:00"/>
    <x v="3"/>
    <s v="India"/>
    <s v="Maharashtra"/>
    <s v="Delhi"/>
    <x v="0"/>
    <s v="Notebook"/>
    <s v="Gel Pen"/>
    <s v="Corporate"/>
    <n v="72313"/>
    <n v="0.31"/>
    <n v="393"/>
    <n v="15"/>
    <s v="Debit Card"/>
    <s v="Low"/>
    <x v="4"/>
    <x v="9"/>
    <n v="3"/>
    <n v="4"/>
    <n v="5.4347074523253078E-3"/>
  </r>
  <r>
    <n v="11757"/>
    <d v="2025-10-23T00:00:00"/>
    <d v="2025-10-28T00:00:00"/>
    <d v="2025-11-02T00:00:00"/>
    <x v="3"/>
    <s v="India"/>
    <s v="Kerala"/>
    <s v="Bangalore"/>
    <x v="2"/>
    <s v="Notebook"/>
    <s v="Dining Table"/>
    <s v="Corporate"/>
    <n v="11396"/>
    <n v="0.12"/>
    <n v="10229"/>
    <n v="19"/>
    <s v="Debit Card"/>
    <s v="Low"/>
    <x v="4"/>
    <x v="9"/>
    <n v="5"/>
    <n v="10"/>
    <n v="0.89759564759564758"/>
  </r>
  <r>
    <n v="11758"/>
    <d v="2025-10-24T00:00:00"/>
    <d v="2025-10-30T00:00:00"/>
    <d v="2025-11-04T00:00:00"/>
    <x v="2"/>
    <s v="India"/>
    <s v="Telangana"/>
    <s v="Hyderabad"/>
    <x v="2"/>
    <s v="Printer"/>
    <s v="Gaming Laptop"/>
    <s v="Corporate"/>
    <n v="37246"/>
    <n v="0.09"/>
    <n v="19646"/>
    <n v="13"/>
    <s v="Cash"/>
    <s v="Low"/>
    <x v="4"/>
    <x v="9"/>
    <n v="6"/>
    <n v="11"/>
    <n v="0.52746603662138214"/>
  </r>
  <r>
    <n v="11759"/>
    <d v="2025-10-25T00:00:00"/>
    <d v="2025-10-29T00:00:00"/>
    <d v="2025-11-01T00:00:00"/>
    <x v="1"/>
    <s v="India"/>
    <s v="Telangana"/>
    <s v="Hyderabad"/>
    <x v="2"/>
    <s v="Table"/>
    <s v="Dining Table"/>
    <s v="Home Office"/>
    <n v="55510"/>
    <n v="0.28000000000000003"/>
    <n v="2872"/>
    <n v="8"/>
    <s v="Cash"/>
    <s v="Medium"/>
    <x v="4"/>
    <x v="9"/>
    <n v="4"/>
    <n v="7"/>
    <n v="5.1738425508917316E-2"/>
  </r>
  <r>
    <n v="11760"/>
    <d v="2025-10-26T00:00:00"/>
    <d v="2025-10-29T00:00:00"/>
    <d v="2025-11-01T00:00:00"/>
    <x v="3"/>
    <s v="India"/>
    <s v="Delhi"/>
    <s v="Chennai"/>
    <x v="2"/>
    <s v="Notebook"/>
    <s v="Dining Table"/>
    <s v="Corporate"/>
    <n v="71197"/>
    <n v="0.02"/>
    <n v="4588"/>
    <n v="2"/>
    <s v="Credit Card"/>
    <s v="High"/>
    <x v="4"/>
    <x v="9"/>
    <n v="3"/>
    <n v="6"/>
    <n v="6.4440917454387125E-2"/>
  </r>
  <r>
    <n v="11761"/>
    <d v="2025-10-27T00:00:00"/>
    <d v="2025-10-29T00:00:00"/>
    <d v="2025-11-01T00:00:00"/>
    <x v="2"/>
    <s v="India"/>
    <s v="Karnataka"/>
    <s v="Bangalore"/>
    <x v="2"/>
    <s v="Pen"/>
    <s v="Gel Pen"/>
    <s v="Consumer"/>
    <n v="14243"/>
    <n v="0.25"/>
    <n v="3799"/>
    <n v="24"/>
    <s v="Net Banking"/>
    <s v="High"/>
    <x v="4"/>
    <x v="9"/>
    <n v="2"/>
    <n v="5"/>
    <n v="0.2667275152706593"/>
  </r>
  <r>
    <n v="11762"/>
    <d v="2025-10-28T00:00:00"/>
    <d v="2025-11-01T00:00:00"/>
    <d v="2025-11-04T00:00:00"/>
    <x v="3"/>
    <s v="India"/>
    <s v="Kerala"/>
    <s v="Hyderabad"/>
    <x v="0"/>
    <s v="Mobile"/>
    <s v="Spiral Notebook"/>
    <s v="Corporate"/>
    <n v="46207"/>
    <n v="0.31"/>
    <n v="477"/>
    <n v="13"/>
    <s v="Net Banking"/>
    <s v="Medium"/>
    <x v="4"/>
    <x v="9"/>
    <n v="4"/>
    <n v="7"/>
    <n v="1.0323111216915187E-2"/>
  </r>
  <r>
    <n v="11763"/>
    <d v="2025-10-29T00:00:00"/>
    <d v="2025-11-05T00:00:00"/>
    <d v="2025-11-08T00:00:00"/>
    <x v="2"/>
    <s v="India"/>
    <s v="Maharashtra"/>
    <s v="Delhi"/>
    <x v="1"/>
    <s v="Pen"/>
    <s v="Dining Table"/>
    <s v="Corporate"/>
    <n v="38967"/>
    <n v="0.17"/>
    <n v="14757"/>
    <n v="3"/>
    <s v="UPI"/>
    <s v="High"/>
    <x v="4"/>
    <x v="9"/>
    <n v="7"/>
    <n v="10"/>
    <n v="0.37870505812610672"/>
  </r>
  <r>
    <n v="11764"/>
    <d v="2025-10-30T00:00:00"/>
    <d v="2025-11-01T00:00:00"/>
    <d v="2025-11-06T00:00:00"/>
    <x v="1"/>
    <s v="India"/>
    <s v="Tamil Nadu"/>
    <s v="Bangalore"/>
    <x v="1"/>
    <s v="Pen"/>
    <s v="Smartphone"/>
    <s v="Home Office"/>
    <n v="45472"/>
    <n v="0.26"/>
    <n v="11679"/>
    <n v="17"/>
    <s v="Cash"/>
    <s v="Critical"/>
    <x v="4"/>
    <x v="9"/>
    <n v="2"/>
    <n v="7"/>
    <n v="0.25683937368050669"/>
  </r>
  <r>
    <n v="11765"/>
    <d v="2025-10-31T00:00:00"/>
    <d v="2025-11-06T00:00:00"/>
    <d v="2025-11-08T00:00:00"/>
    <x v="3"/>
    <s v="India"/>
    <s v="Telangana"/>
    <s v="Hyderabad"/>
    <x v="0"/>
    <s v="Laptop"/>
    <s v="Gaming Laptop"/>
    <s v="Consumer"/>
    <n v="31293"/>
    <n v="0.23"/>
    <n v="2309"/>
    <n v="8"/>
    <s v="Credit Card"/>
    <s v="High"/>
    <x v="4"/>
    <x v="9"/>
    <n v="6"/>
    <n v="8"/>
    <n v="7.3786469817531078E-2"/>
  </r>
  <r>
    <n v="11766"/>
    <d v="2025-11-01T00:00:00"/>
    <d v="2025-11-03T00:00:00"/>
    <d v="2025-11-07T00:00:00"/>
    <x v="3"/>
    <s v="India"/>
    <s v="Telangana"/>
    <s v="Bangalore"/>
    <x v="1"/>
    <s v="Notebook"/>
    <s v="Spiral Notebook"/>
    <s v="Home Office"/>
    <n v="5883"/>
    <n v="0.28000000000000003"/>
    <n v="12598"/>
    <n v="6"/>
    <s v="Credit Card"/>
    <s v="Medium"/>
    <x v="4"/>
    <x v="10"/>
    <n v="2"/>
    <n v="6"/>
    <n v="2.1414244433112359"/>
  </r>
  <r>
    <n v="11767"/>
    <d v="2025-11-02T00:00:00"/>
    <d v="2025-11-04T00:00:00"/>
    <d v="2025-11-09T00:00:00"/>
    <x v="1"/>
    <s v="India"/>
    <s v="Telangana"/>
    <s v="Mumbai"/>
    <x v="1"/>
    <s v="Chair"/>
    <s v="Office Chair"/>
    <s v="Home Office"/>
    <n v="10692"/>
    <n v="0.34"/>
    <n v="10322"/>
    <n v="15"/>
    <s v="UPI"/>
    <s v="High"/>
    <x v="4"/>
    <x v="10"/>
    <n v="2"/>
    <n v="7"/>
    <n v="0.96539468761690983"/>
  </r>
  <r>
    <n v="11768"/>
    <d v="2025-11-03T00:00:00"/>
    <d v="2025-11-06T00:00:00"/>
    <d v="2025-11-10T00:00:00"/>
    <x v="2"/>
    <s v="India"/>
    <s v="Telangana"/>
    <s v="Chennai"/>
    <x v="1"/>
    <s v="Pen"/>
    <s v="Gel Pen"/>
    <s v="Corporate"/>
    <n v="27783"/>
    <n v="0.15"/>
    <n v="10915"/>
    <n v="19"/>
    <s v="Debit Card"/>
    <s v="Critical"/>
    <x v="4"/>
    <x v="10"/>
    <n v="3"/>
    <n v="7"/>
    <n v="0.39286614116546087"/>
  </r>
  <r>
    <n v="11769"/>
    <d v="2025-11-04T00:00:00"/>
    <d v="2025-11-07T00:00:00"/>
    <d v="2025-11-10T00:00:00"/>
    <x v="3"/>
    <s v="India"/>
    <s v="Telangana"/>
    <s v="Chennai"/>
    <x v="1"/>
    <s v="Laptop"/>
    <s v="Laser Printer"/>
    <s v="Corporate"/>
    <n v="59014"/>
    <n v="0.01"/>
    <n v="15384"/>
    <n v="15"/>
    <s v="Net Banking"/>
    <s v="Critical"/>
    <x v="4"/>
    <x v="10"/>
    <n v="3"/>
    <n v="6"/>
    <n v="0.26068390551394582"/>
  </r>
  <r>
    <n v="11770"/>
    <d v="2025-11-05T00:00:00"/>
    <d v="2025-11-10T00:00:00"/>
    <d v="2025-11-13T00:00:00"/>
    <x v="2"/>
    <s v="India"/>
    <s v="Maharashtra"/>
    <s v="Delhi"/>
    <x v="2"/>
    <s v="Pen"/>
    <s v="Smartphone"/>
    <s v="Corporate"/>
    <n v="1246"/>
    <n v="0.17"/>
    <n v="-640"/>
    <n v="23"/>
    <s v="Cash"/>
    <s v="Critical"/>
    <x v="4"/>
    <x v="10"/>
    <n v="5"/>
    <n v="8"/>
    <n v="-0.5136436597110754"/>
  </r>
  <r>
    <n v="11771"/>
    <d v="2025-11-06T00:00:00"/>
    <d v="2025-11-11T00:00:00"/>
    <d v="2025-11-14T00:00:00"/>
    <x v="1"/>
    <s v="India"/>
    <s v="Delhi"/>
    <s v="Bangalore"/>
    <x v="2"/>
    <s v="Mobile"/>
    <s v="Laser Printer"/>
    <s v="Home Office"/>
    <n v="58477"/>
    <n v="0.06"/>
    <n v="-670"/>
    <n v="10"/>
    <s v="UPI"/>
    <s v="Low"/>
    <x v="4"/>
    <x v="10"/>
    <n v="5"/>
    <n v="8"/>
    <n v="-1.1457496109581545E-2"/>
  </r>
  <r>
    <n v="11772"/>
    <d v="2025-11-07T00:00:00"/>
    <d v="2025-11-11T00:00:00"/>
    <d v="2025-11-16T00:00:00"/>
    <x v="3"/>
    <s v="India"/>
    <s v="Maharashtra"/>
    <s v="Mumbai"/>
    <x v="0"/>
    <s v="Laptop"/>
    <s v="Office Chair"/>
    <s v="Consumer"/>
    <n v="41082"/>
    <n v="0.24"/>
    <n v="15812"/>
    <n v="21"/>
    <s v="Debit Card"/>
    <s v="Critical"/>
    <x v="4"/>
    <x v="10"/>
    <n v="4"/>
    <n v="9"/>
    <n v="0.38488875906723141"/>
  </r>
  <r>
    <n v="11773"/>
    <d v="2025-11-08T00:00:00"/>
    <d v="2025-11-13T00:00:00"/>
    <d v="2025-11-14T00:00:00"/>
    <x v="1"/>
    <s v="India"/>
    <s v="Tamil Nadu"/>
    <s v="Hyderabad"/>
    <x v="1"/>
    <s v="Printer"/>
    <s v="Dining Table"/>
    <s v="Home Office"/>
    <n v="47226"/>
    <n v="0.15"/>
    <n v="-403"/>
    <n v="17"/>
    <s v="UPI"/>
    <s v="High"/>
    <x v="4"/>
    <x v="10"/>
    <n v="5"/>
    <n v="6"/>
    <n v="-8.533434972261042E-3"/>
  </r>
  <r>
    <n v="11774"/>
    <d v="2025-11-09T00:00:00"/>
    <d v="2025-11-16T00:00:00"/>
    <d v="2025-11-17T00:00:00"/>
    <x v="2"/>
    <s v="India"/>
    <s v="Kerala"/>
    <s v="Kochi"/>
    <x v="1"/>
    <s v="Mobile"/>
    <s v="Gaming Laptop"/>
    <s v="Corporate"/>
    <n v="7293"/>
    <n v="0.05"/>
    <n v="2398"/>
    <n v="7"/>
    <s v="Net Banking"/>
    <s v="Critical"/>
    <x v="4"/>
    <x v="10"/>
    <n v="7"/>
    <n v="8"/>
    <n v="0.32880844645550528"/>
  </r>
  <r>
    <n v="11775"/>
    <d v="2025-11-10T00:00:00"/>
    <d v="2025-11-17T00:00:00"/>
    <d v="2025-11-19T00:00:00"/>
    <x v="3"/>
    <s v="India"/>
    <s v="Telangana"/>
    <s v="Kochi"/>
    <x v="1"/>
    <s v="Pen"/>
    <s v="Spiral Notebook"/>
    <s v="Consumer"/>
    <n v="3301"/>
    <n v="0.3"/>
    <n v="2862"/>
    <n v="11"/>
    <s v="Net Banking"/>
    <s v="Medium"/>
    <x v="4"/>
    <x v="10"/>
    <n v="7"/>
    <n v="9"/>
    <n v="0.86700999697061498"/>
  </r>
  <r>
    <n v="11776"/>
    <d v="2025-11-11T00:00:00"/>
    <d v="2025-11-17T00:00:00"/>
    <d v="2025-11-21T00:00:00"/>
    <x v="1"/>
    <s v="India"/>
    <s v="Kerala"/>
    <s v="Hyderabad"/>
    <x v="1"/>
    <s v="Notebook"/>
    <s v="Gel Pen"/>
    <s v="Consumer"/>
    <n v="63638"/>
    <n v="0.34"/>
    <n v="12582"/>
    <n v="12"/>
    <s v="Credit Card"/>
    <s v="Low"/>
    <x v="4"/>
    <x v="10"/>
    <n v="6"/>
    <n v="10"/>
    <n v="0.19771205883277287"/>
  </r>
  <r>
    <n v="11777"/>
    <d v="2025-11-12T00:00:00"/>
    <d v="2025-11-18T00:00:00"/>
    <d v="2025-11-22T00:00:00"/>
    <x v="2"/>
    <s v="India"/>
    <s v="Karnataka"/>
    <s v="Mumbai"/>
    <x v="2"/>
    <s v="Pen"/>
    <s v="Office Chair"/>
    <s v="Consumer"/>
    <n v="19774"/>
    <n v="0.09"/>
    <n v="10709"/>
    <n v="17"/>
    <s v="UPI"/>
    <s v="Critical"/>
    <x v="4"/>
    <x v="10"/>
    <n v="6"/>
    <n v="10"/>
    <n v="0.54156973803985031"/>
  </r>
  <r>
    <n v="11778"/>
    <d v="2025-11-13T00:00:00"/>
    <d v="2025-11-18T00:00:00"/>
    <d v="2025-11-20T00:00:00"/>
    <x v="3"/>
    <s v="India"/>
    <s v="Tamil Nadu"/>
    <s v="Hyderabad"/>
    <x v="0"/>
    <s v="Mobile"/>
    <s v="Smartphone"/>
    <s v="Corporate"/>
    <n v="30941"/>
    <n v="0.32"/>
    <n v="12729"/>
    <n v="19"/>
    <s v="UPI"/>
    <s v="Critical"/>
    <x v="4"/>
    <x v="10"/>
    <n v="5"/>
    <n v="7"/>
    <n v="0.41139588248602177"/>
  </r>
  <r>
    <n v="11779"/>
    <d v="2025-11-14T00:00:00"/>
    <d v="2025-11-16T00:00:00"/>
    <d v="2025-11-19T00:00:00"/>
    <x v="3"/>
    <s v="India"/>
    <s v="Maharashtra"/>
    <s v="Mumbai"/>
    <x v="0"/>
    <s v="Pen"/>
    <s v="Gel Pen"/>
    <s v="Corporate"/>
    <n v="55773"/>
    <n v="0.1"/>
    <n v="2480"/>
    <n v="24"/>
    <s v="UPI"/>
    <s v="Critical"/>
    <x v="4"/>
    <x v="10"/>
    <n v="2"/>
    <n v="5"/>
    <n v="4.4465960231653306E-2"/>
  </r>
  <r>
    <n v="11780"/>
    <d v="2025-11-15T00:00:00"/>
    <d v="2025-11-19T00:00:00"/>
    <d v="2025-11-23T00:00:00"/>
    <x v="1"/>
    <s v="India"/>
    <s v="Maharashtra"/>
    <s v="Bangalore"/>
    <x v="1"/>
    <s v="Printer"/>
    <s v="Dining Table"/>
    <s v="Home Office"/>
    <n v="58289"/>
    <n v="0.04"/>
    <n v="-775"/>
    <n v="22"/>
    <s v="UPI"/>
    <s v="High"/>
    <x v="4"/>
    <x v="10"/>
    <n v="4"/>
    <n v="8"/>
    <n v="-1.3295819108236545E-2"/>
  </r>
  <r>
    <n v="11781"/>
    <d v="2025-11-16T00:00:00"/>
    <d v="2025-11-23T00:00:00"/>
    <d v="2025-11-24T00:00:00"/>
    <x v="3"/>
    <s v="India"/>
    <s v="Tamil Nadu"/>
    <s v="Bangalore"/>
    <x v="2"/>
    <s v="Chair"/>
    <s v="Spiral Notebook"/>
    <s v="Corporate"/>
    <n v="44429"/>
    <n v="0.11"/>
    <n v="8153"/>
    <n v="21"/>
    <s v="Cash"/>
    <s v="Medium"/>
    <x v="4"/>
    <x v="10"/>
    <n v="7"/>
    <n v="8"/>
    <n v="0.18350626842827883"/>
  </r>
  <r>
    <n v="11782"/>
    <d v="2025-11-17T00:00:00"/>
    <d v="2025-11-20T00:00:00"/>
    <d v="2025-11-25T00:00:00"/>
    <x v="3"/>
    <s v="India"/>
    <s v="Telangana"/>
    <s v="Chennai"/>
    <x v="1"/>
    <s v="Pen"/>
    <s v="Gel Pen"/>
    <s v="Consumer"/>
    <n v="62360"/>
    <n v="0.08"/>
    <n v="3756"/>
    <n v="2"/>
    <s v="Net Banking"/>
    <s v="Critical"/>
    <x v="4"/>
    <x v="10"/>
    <n v="3"/>
    <n v="8"/>
    <n v="6.0230917254650414E-2"/>
  </r>
  <r>
    <n v="11783"/>
    <d v="2025-11-18T00:00:00"/>
    <d v="2025-11-23T00:00:00"/>
    <d v="2025-11-24T00:00:00"/>
    <x v="2"/>
    <s v="India"/>
    <s v="Karnataka"/>
    <s v="Kochi"/>
    <x v="2"/>
    <s v="Mobile"/>
    <s v="Laser Printer"/>
    <s v="Home Office"/>
    <n v="30160"/>
    <n v="0.3"/>
    <n v="13564"/>
    <n v="14"/>
    <s v="Debit Card"/>
    <s v="Critical"/>
    <x v="4"/>
    <x v="10"/>
    <n v="5"/>
    <n v="6"/>
    <n v="0.44973474801061009"/>
  </r>
  <r>
    <n v="11784"/>
    <d v="2025-11-19T00:00:00"/>
    <d v="2025-11-23T00:00:00"/>
    <d v="2025-11-27T00:00:00"/>
    <x v="0"/>
    <s v="India"/>
    <s v="Kerala"/>
    <s v="Mumbai"/>
    <x v="1"/>
    <s v="Mobile"/>
    <s v="Smartphone"/>
    <s v="Corporate"/>
    <n v="38745"/>
    <n v="0.28000000000000003"/>
    <n v="1646"/>
    <n v="12"/>
    <s v="Credit Card"/>
    <s v="Critical"/>
    <x v="4"/>
    <x v="10"/>
    <n v="4"/>
    <n v="8"/>
    <n v="4.2482901019486388E-2"/>
  </r>
  <r>
    <n v="11785"/>
    <d v="2025-11-20T00:00:00"/>
    <d v="2025-11-22T00:00:00"/>
    <d v="2025-11-24T00:00:00"/>
    <x v="0"/>
    <s v="India"/>
    <s v="Tamil Nadu"/>
    <s v="Bangalore"/>
    <x v="1"/>
    <s v="Chair"/>
    <s v="Gel Pen"/>
    <s v="Corporate"/>
    <n v="27130"/>
    <n v="0.18"/>
    <n v="4610"/>
    <n v="12"/>
    <s v="UPI"/>
    <s v="Medium"/>
    <x v="4"/>
    <x v="10"/>
    <n v="2"/>
    <n v="4"/>
    <n v="0.16992259491338002"/>
  </r>
  <r>
    <n v="11786"/>
    <d v="2025-11-21T00:00:00"/>
    <d v="2025-11-25T00:00:00"/>
    <d v="2025-11-28T00:00:00"/>
    <x v="0"/>
    <s v="India"/>
    <s v="Tamil Nadu"/>
    <s v="Delhi"/>
    <x v="2"/>
    <s v="Pen"/>
    <s v="Office Chair"/>
    <s v="Consumer"/>
    <n v="56348"/>
    <n v="0.11"/>
    <n v="9584"/>
    <n v="11"/>
    <s v="Cash"/>
    <s v="Medium"/>
    <x v="4"/>
    <x v="10"/>
    <n v="4"/>
    <n v="7"/>
    <n v="0.17008589479662101"/>
  </r>
  <r>
    <n v="11787"/>
    <d v="2025-11-22T00:00:00"/>
    <d v="2025-11-26T00:00:00"/>
    <d v="2025-11-30T00:00:00"/>
    <x v="3"/>
    <s v="India"/>
    <s v="Maharashtra"/>
    <s v="Kochi"/>
    <x v="1"/>
    <s v="Chair"/>
    <s v="Spiral Notebook"/>
    <s v="Corporate"/>
    <n v="54777"/>
    <n v="0.06"/>
    <n v="17413"/>
    <n v="7"/>
    <s v="Cash"/>
    <s v="Critical"/>
    <x v="4"/>
    <x v="10"/>
    <n v="4"/>
    <n v="8"/>
    <n v="0.317888894974168"/>
  </r>
  <r>
    <n v="11788"/>
    <d v="2025-11-23T00:00:00"/>
    <d v="2025-11-28T00:00:00"/>
    <d v="2025-11-29T00:00:00"/>
    <x v="3"/>
    <s v="India"/>
    <s v="Telangana"/>
    <s v="Kochi"/>
    <x v="0"/>
    <s v="Chair"/>
    <s v="Gel Pen"/>
    <s v="Consumer"/>
    <n v="23137"/>
    <n v="0.16"/>
    <n v="2823"/>
    <n v="7"/>
    <s v="UPI"/>
    <s v="Medium"/>
    <x v="4"/>
    <x v="10"/>
    <n v="5"/>
    <n v="6"/>
    <n v="0.12201236115313135"/>
  </r>
  <r>
    <n v="11789"/>
    <d v="2025-11-24T00:00:00"/>
    <d v="2025-11-27T00:00:00"/>
    <d v="2025-11-29T00:00:00"/>
    <x v="2"/>
    <s v="India"/>
    <s v="Maharashtra"/>
    <s v="Delhi"/>
    <x v="2"/>
    <s v="Chair"/>
    <s v="Gaming Laptop"/>
    <s v="Home Office"/>
    <n v="24521"/>
    <n v="0.08"/>
    <n v="4806"/>
    <n v="17"/>
    <s v="Cash"/>
    <s v="Critical"/>
    <x v="4"/>
    <x v="10"/>
    <n v="3"/>
    <n v="5"/>
    <n v="0.1959952693609559"/>
  </r>
  <r>
    <n v="11790"/>
    <d v="2025-11-25T00:00:00"/>
    <d v="2025-11-27T00:00:00"/>
    <d v="2025-12-01T00:00:00"/>
    <x v="2"/>
    <s v="India"/>
    <s v="Maharashtra"/>
    <s v="Delhi"/>
    <x v="2"/>
    <s v="Chair"/>
    <s v="Gaming Laptop"/>
    <s v="Consumer"/>
    <n v="52343"/>
    <n v="0.12"/>
    <n v="1551"/>
    <n v="20"/>
    <s v="Credit Card"/>
    <s v="Low"/>
    <x v="4"/>
    <x v="10"/>
    <n v="2"/>
    <n v="6"/>
    <n v="2.9631469346426458E-2"/>
  </r>
  <r>
    <n v="11791"/>
    <d v="2025-11-26T00:00:00"/>
    <d v="2025-12-02T00:00:00"/>
    <d v="2025-12-07T00:00:00"/>
    <x v="0"/>
    <s v="India"/>
    <s v="Delhi"/>
    <s v="Delhi"/>
    <x v="0"/>
    <s v="Chair"/>
    <s v="Gel Pen"/>
    <s v="Home Office"/>
    <n v="53259"/>
    <n v="0.11"/>
    <n v="11590"/>
    <n v="5"/>
    <s v="UPI"/>
    <s v="Low"/>
    <x v="4"/>
    <x v="10"/>
    <n v="6"/>
    <n v="11"/>
    <n v="0.21761580202407105"/>
  </r>
  <r>
    <n v="11792"/>
    <d v="2025-11-27T00:00:00"/>
    <d v="2025-12-03T00:00:00"/>
    <d v="2025-12-08T00:00:00"/>
    <x v="2"/>
    <s v="India"/>
    <s v="Delhi"/>
    <s v="Kochi"/>
    <x v="1"/>
    <s v="Chair"/>
    <s v="Dining Table"/>
    <s v="Corporate"/>
    <n v="36317"/>
    <n v="0.23"/>
    <n v="2489"/>
    <n v="18"/>
    <s v="Cash"/>
    <s v="Medium"/>
    <x v="4"/>
    <x v="10"/>
    <n v="6"/>
    <n v="11"/>
    <n v="6.8535396646198746E-2"/>
  </r>
  <r>
    <n v="11793"/>
    <d v="2025-11-28T00:00:00"/>
    <d v="2025-12-02T00:00:00"/>
    <d v="2025-12-05T00:00:00"/>
    <x v="2"/>
    <s v="India"/>
    <s v="Tamil Nadu"/>
    <s v="Mumbai"/>
    <x v="1"/>
    <s v="Chair"/>
    <s v="Gaming Laptop"/>
    <s v="Home Office"/>
    <n v="30411"/>
    <n v="0.2"/>
    <n v="238"/>
    <n v="13"/>
    <s v="Net Banking"/>
    <s v="Critical"/>
    <x v="4"/>
    <x v="10"/>
    <n v="4"/>
    <n v="7"/>
    <n v="7.8261155502943013E-3"/>
  </r>
  <r>
    <n v="11794"/>
    <d v="2025-11-29T00:00:00"/>
    <d v="2025-12-01T00:00:00"/>
    <d v="2025-12-06T00:00:00"/>
    <x v="0"/>
    <s v="India"/>
    <s v="Maharashtra"/>
    <s v="Hyderabad"/>
    <x v="1"/>
    <s v="Laptop"/>
    <s v="Spiral Notebook"/>
    <s v="Corporate"/>
    <n v="2829"/>
    <n v="0.24"/>
    <n v="15108"/>
    <n v="15"/>
    <s v="Net Banking"/>
    <s v="Low"/>
    <x v="4"/>
    <x v="10"/>
    <n v="2"/>
    <n v="7"/>
    <n v="5.3404029692470836"/>
  </r>
  <r>
    <n v="11795"/>
    <d v="2025-11-30T00:00:00"/>
    <d v="2025-12-02T00:00:00"/>
    <d v="2025-12-04T00:00:00"/>
    <x v="1"/>
    <s v="India"/>
    <s v="Delhi"/>
    <s v="Delhi"/>
    <x v="0"/>
    <s v="Table"/>
    <s v="Gaming Laptop"/>
    <s v="Corporate"/>
    <n v="62063"/>
    <n v="0.15"/>
    <n v="193"/>
    <n v="1"/>
    <s v="UPI"/>
    <s v="Low"/>
    <x v="4"/>
    <x v="10"/>
    <n v="2"/>
    <n v="4"/>
    <n v="3.1097433253307123E-3"/>
  </r>
  <r>
    <n v="11796"/>
    <d v="2025-12-01T00:00:00"/>
    <d v="2025-12-04T00:00:00"/>
    <d v="2025-12-06T00:00:00"/>
    <x v="0"/>
    <s v="India"/>
    <s v="Tamil Nadu"/>
    <s v="Bangalore"/>
    <x v="0"/>
    <s v="Laptop"/>
    <s v="Gaming Laptop"/>
    <s v="Home Office"/>
    <n v="61985"/>
    <n v="0.15"/>
    <n v="9065"/>
    <n v="15"/>
    <s v="Cash"/>
    <s v="Medium"/>
    <x v="4"/>
    <x v="11"/>
    <n v="3"/>
    <n v="5"/>
    <n v="0.14624505928853754"/>
  </r>
  <r>
    <n v="11797"/>
    <d v="2025-12-02T00:00:00"/>
    <d v="2025-12-06T00:00:00"/>
    <d v="2025-12-09T00:00:00"/>
    <x v="2"/>
    <s v="India"/>
    <s v="Delhi"/>
    <s v="Chennai"/>
    <x v="0"/>
    <s v="Pen"/>
    <s v="Gaming Laptop"/>
    <s v="Corporate"/>
    <n v="56659"/>
    <n v="0.02"/>
    <n v="3669"/>
    <n v="17"/>
    <s v="Debit Card"/>
    <s v="High"/>
    <x v="4"/>
    <x v="11"/>
    <n v="4"/>
    <n v="7"/>
    <n v="6.4755819905045975E-2"/>
  </r>
  <r>
    <n v="11798"/>
    <d v="2025-12-03T00:00:00"/>
    <d v="2025-12-09T00:00:00"/>
    <d v="2025-12-11T00:00:00"/>
    <x v="0"/>
    <s v="India"/>
    <s v="Karnataka"/>
    <s v="Hyderabad"/>
    <x v="2"/>
    <s v="Table"/>
    <s v="Dining Table"/>
    <s v="Home Office"/>
    <n v="50244"/>
    <n v="0.19"/>
    <n v="16770"/>
    <n v="19"/>
    <s v="Debit Card"/>
    <s v="Critical"/>
    <x v="4"/>
    <x v="11"/>
    <n v="6"/>
    <n v="8"/>
    <n v="0.33377119656078336"/>
  </r>
  <r>
    <n v="11799"/>
    <d v="2025-12-04T00:00:00"/>
    <d v="2025-12-11T00:00:00"/>
    <d v="2025-12-13T00:00:00"/>
    <x v="3"/>
    <s v="India"/>
    <s v="Kerala"/>
    <s v="Kochi"/>
    <x v="0"/>
    <s v="Laptop"/>
    <s v="Gaming Laptop"/>
    <s v="Corporate"/>
    <n v="26536"/>
    <n v="0.37"/>
    <n v="6662"/>
    <n v="20"/>
    <s v="Debit Card"/>
    <s v="High"/>
    <x v="4"/>
    <x v="11"/>
    <n v="7"/>
    <n v="9"/>
    <n v="0.25105517033463975"/>
  </r>
  <r>
    <n v="11800"/>
    <d v="2025-12-05T00:00:00"/>
    <d v="2025-12-11T00:00:00"/>
    <d v="2025-12-12T00:00:00"/>
    <x v="2"/>
    <s v="India"/>
    <s v="Tamil Nadu"/>
    <s v="Bangalore"/>
    <x v="0"/>
    <s v="Printer"/>
    <s v="Spiral Notebook"/>
    <s v="Corporate"/>
    <n v="31732"/>
    <n v="0.2"/>
    <n v="5417"/>
    <n v="4"/>
    <s v="Net Banking"/>
    <s v="Medium"/>
    <x v="4"/>
    <x v="11"/>
    <n v="6"/>
    <n v="7"/>
    <n v="0.17071095424177488"/>
  </r>
  <r>
    <n v="11801"/>
    <d v="2025-12-06T00:00:00"/>
    <d v="2025-12-13T00:00:00"/>
    <d v="2025-12-16T00:00:00"/>
    <x v="1"/>
    <s v="India"/>
    <s v="Maharashtra"/>
    <s v="Mumbai"/>
    <x v="0"/>
    <s v="Notebook"/>
    <s v="Gaming Laptop"/>
    <s v="Home Office"/>
    <n v="21543"/>
    <n v="0.14000000000000001"/>
    <n v="10817"/>
    <n v="8"/>
    <s v="Debit Card"/>
    <s v="Low"/>
    <x v="4"/>
    <x v="11"/>
    <n v="7"/>
    <n v="10"/>
    <n v="0.50211205495984779"/>
  </r>
  <r>
    <n v="11802"/>
    <d v="2025-12-07T00:00:00"/>
    <d v="2025-12-10T00:00:00"/>
    <d v="2025-12-12T00:00:00"/>
    <x v="0"/>
    <s v="India"/>
    <s v="Karnataka"/>
    <s v="Delhi"/>
    <x v="0"/>
    <s v="Printer"/>
    <s v="Dining Table"/>
    <s v="Home Office"/>
    <n v="9095"/>
    <n v="0.25"/>
    <n v="-1793"/>
    <n v="17"/>
    <s v="Debit Card"/>
    <s v="Medium"/>
    <x v="4"/>
    <x v="11"/>
    <n v="3"/>
    <n v="5"/>
    <n v="-0.19714128642111051"/>
  </r>
  <r>
    <n v="11803"/>
    <d v="2025-12-08T00:00:00"/>
    <d v="2025-12-14T00:00:00"/>
    <d v="2025-12-15T00:00:00"/>
    <x v="3"/>
    <s v="India"/>
    <s v="Maharashtra"/>
    <s v="Hyderabad"/>
    <x v="2"/>
    <s v="Notebook"/>
    <s v="Smartphone"/>
    <s v="Home Office"/>
    <n v="23931"/>
    <n v="0.25"/>
    <n v="15973"/>
    <n v="14"/>
    <s v="Net Banking"/>
    <s v="Low"/>
    <x v="4"/>
    <x v="11"/>
    <n v="6"/>
    <n v="7"/>
    <n v="0.66746061593748696"/>
  </r>
  <r>
    <n v="11804"/>
    <d v="2025-12-09T00:00:00"/>
    <d v="2025-12-14T00:00:00"/>
    <d v="2025-12-16T00:00:00"/>
    <x v="3"/>
    <s v="India"/>
    <s v="Telangana"/>
    <s v="Hyderabad"/>
    <x v="1"/>
    <s v="Table"/>
    <s v="Dining Table"/>
    <s v="Consumer"/>
    <n v="2251"/>
    <n v="0.03"/>
    <n v="1985"/>
    <n v="8"/>
    <s v="Net Banking"/>
    <s v="High"/>
    <x v="4"/>
    <x v="11"/>
    <n v="5"/>
    <n v="7"/>
    <n v="0.88183029764549092"/>
  </r>
  <r>
    <n v="11805"/>
    <d v="2025-12-10T00:00:00"/>
    <d v="2025-12-13T00:00:00"/>
    <d v="2025-12-14T00:00:00"/>
    <x v="2"/>
    <s v="India"/>
    <s v="Maharashtra"/>
    <s v="Chennai"/>
    <x v="2"/>
    <s v="Mobile"/>
    <s v="Gel Pen"/>
    <s v="Home Office"/>
    <n v="72005"/>
    <n v="0.26"/>
    <n v="6845"/>
    <n v="9"/>
    <s v="Credit Card"/>
    <s v="High"/>
    <x v="4"/>
    <x v="11"/>
    <n v="3"/>
    <n v="4"/>
    <n v="9.5062842858134849E-2"/>
  </r>
  <r>
    <n v="11806"/>
    <d v="2025-12-11T00:00:00"/>
    <d v="2025-12-18T00:00:00"/>
    <d v="2025-12-20T00:00:00"/>
    <x v="2"/>
    <s v="India"/>
    <s v="Karnataka"/>
    <s v="Bangalore"/>
    <x v="0"/>
    <s v="Mobile"/>
    <s v="Laser Printer"/>
    <s v="Consumer"/>
    <n v="26656"/>
    <n v="0.08"/>
    <n v="3694"/>
    <n v="12"/>
    <s v="Net Banking"/>
    <s v="Critical"/>
    <x v="4"/>
    <x v="11"/>
    <n v="7"/>
    <n v="9"/>
    <n v="0.13858043217286914"/>
  </r>
  <r>
    <n v="11807"/>
    <d v="2025-12-12T00:00:00"/>
    <d v="2025-12-18T00:00:00"/>
    <d v="2025-12-20T00:00:00"/>
    <x v="0"/>
    <s v="India"/>
    <s v="Tamil Nadu"/>
    <s v="Hyderabad"/>
    <x v="1"/>
    <s v="Table"/>
    <s v="Gaming Laptop"/>
    <s v="Consumer"/>
    <n v="46686"/>
    <n v="0.08"/>
    <n v="1627"/>
    <n v="11"/>
    <s v="Cash"/>
    <s v="Medium"/>
    <x v="4"/>
    <x v="11"/>
    <n v="6"/>
    <n v="8"/>
    <n v="3.4849847920147364E-2"/>
  </r>
  <r>
    <n v="11808"/>
    <d v="2025-12-13T00:00:00"/>
    <d v="2025-12-15T00:00:00"/>
    <d v="2025-12-18T00:00:00"/>
    <x v="2"/>
    <s v="India"/>
    <s v="Telangana"/>
    <s v="Kochi"/>
    <x v="0"/>
    <s v="Notebook"/>
    <s v="Dining Table"/>
    <s v="Home Office"/>
    <n v="67465"/>
    <n v="0.36"/>
    <n v="18265"/>
    <n v="20"/>
    <s v="Cash"/>
    <s v="High"/>
    <x v="4"/>
    <x v="11"/>
    <n v="2"/>
    <n v="5"/>
    <n v="0.27073297265248647"/>
  </r>
  <r>
    <n v="11809"/>
    <d v="2025-12-14T00:00:00"/>
    <d v="2025-12-20T00:00:00"/>
    <d v="2025-12-21T00:00:00"/>
    <x v="3"/>
    <s v="India"/>
    <s v="Kerala"/>
    <s v="Hyderabad"/>
    <x v="2"/>
    <s v="Mobile"/>
    <s v="Gel Pen"/>
    <s v="Corporate"/>
    <n v="36360"/>
    <n v="0.28000000000000003"/>
    <n v="5559"/>
    <n v="5"/>
    <s v="Debit Card"/>
    <s v="Critical"/>
    <x v="4"/>
    <x v="11"/>
    <n v="6"/>
    <n v="7"/>
    <n v="0.15288778877887788"/>
  </r>
  <r>
    <n v="11810"/>
    <d v="2025-12-15T00:00:00"/>
    <d v="2025-12-18T00:00:00"/>
    <d v="2025-12-20T00:00:00"/>
    <x v="1"/>
    <s v="India"/>
    <s v="Kerala"/>
    <s v="Hyderabad"/>
    <x v="2"/>
    <s v="Printer"/>
    <s v="Gel Pen"/>
    <s v="Consumer"/>
    <n v="44521"/>
    <n v="0.24"/>
    <n v="9757"/>
    <n v="12"/>
    <s v="Cash"/>
    <s v="High"/>
    <x v="4"/>
    <x v="11"/>
    <n v="3"/>
    <n v="5"/>
    <n v="0.21915500550302106"/>
  </r>
  <r>
    <n v="11811"/>
    <d v="2025-12-16T00:00:00"/>
    <d v="2025-12-19T00:00:00"/>
    <d v="2025-12-21T00:00:00"/>
    <x v="3"/>
    <s v="India"/>
    <s v="Delhi"/>
    <s v="Chennai"/>
    <x v="1"/>
    <s v="Pen"/>
    <s v="Spiral Notebook"/>
    <s v="Home Office"/>
    <n v="69236"/>
    <n v="0.3"/>
    <n v="10831"/>
    <n v="3"/>
    <s v="Debit Card"/>
    <s v="High"/>
    <x v="4"/>
    <x v="11"/>
    <n v="3"/>
    <n v="5"/>
    <n v="0.15643595817204922"/>
  </r>
  <r>
    <n v="11812"/>
    <d v="2025-12-17T00:00:00"/>
    <d v="2025-12-24T00:00:00"/>
    <d v="2025-12-29T00:00:00"/>
    <x v="0"/>
    <s v="India"/>
    <s v="Telangana"/>
    <s v="Delhi"/>
    <x v="0"/>
    <s v="Laptop"/>
    <s v="Gel Pen"/>
    <s v="Corporate"/>
    <n v="61722"/>
    <n v="0.22"/>
    <n v="3363"/>
    <n v="3"/>
    <s v="Credit Card"/>
    <s v="Medium"/>
    <x v="4"/>
    <x v="11"/>
    <n v="7"/>
    <n v="12"/>
    <n v="5.4486244774958684E-2"/>
  </r>
  <r>
    <n v="11813"/>
    <d v="2025-12-18T00:00:00"/>
    <d v="2025-12-25T00:00:00"/>
    <d v="2025-12-28T00:00:00"/>
    <x v="3"/>
    <s v="India"/>
    <s v="Kerala"/>
    <s v="Bangalore"/>
    <x v="1"/>
    <s v="Laptop"/>
    <s v="Smartphone"/>
    <s v="Corporate"/>
    <n v="63675"/>
    <n v="0.26"/>
    <n v="14273"/>
    <n v="18"/>
    <s v="Net Banking"/>
    <s v="Medium"/>
    <x v="4"/>
    <x v="11"/>
    <n v="7"/>
    <n v="10"/>
    <n v="0.22415390655673342"/>
  </r>
  <r>
    <n v="11814"/>
    <d v="2025-12-19T00:00:00"/>
    <d v="2025-12-25T00:00:00"/>
    <d v="2025-12-26T00:00:00"/>
    <x v="2"/>
    <s v="India"/>
    <s v="Karnataka"/>
    <s v="Mumbai"/>
    <x v="2"/>
    <s v="Pen"/>
    <s v="Gel Pen"/>
    <s v="Corporate"/>
    <n v="31456"/>
    <n v="0.08"/>
    <n v="19935"/>
    <n v="1"/>
    <s v="Net Banking"/>
    <s v="Low"/>
    <x v="4"/>
    <x v="11"/>
    <n v="6"/>
    <n v="7"/>
    <n v="0.63374237029501523"/>
  </r>
  <r>
    <n v="11815"/>
    <d v="2025-12-20T00:00:00"/>
    <d v="2025-12-27T00:00:00"/>
    <d v="2025-12-31T00:00:00"/>
    <x v="2"/>
    <s v="India"/>
    <s v="Maharashtra"/>
    <s v="Bangalore"/>
    <x v="1"/>
    <s v="Laptop"/>
    <s v="Smartphone"/>
    <s v="Corporate"/>
    <n v="1492"/>
    <n v="0.28999999999999998"/>
    <n v="17217"/>
    <n v="7"/>
    <s v="Debit Card"/>
    <s v="High"/>
    <x v="4"/>
    <x v="11"/>
    <n v="7"/>
    <n v="11"/>
    <n v="11.539544235924932"/>
  </r>
  <r>
    <n v="11816"/>
    <d v="2025-12-21T00:00:00"/>
    <d v="2025-12-26T00:00:00"/>
    <d v="2025-12-29T00:00:00"/>
    <x v="0"/>
    <s v="India"/>
    <s v="Telangana"/>
    <s v="Delhi"/>
    <x v="2"/>
    <s v="Notebook"/>
    <s v="Smartphone"/>
    <s v="Home Office"/>
    <n v="53811"/>
    <n v="0.28999999999999998"/>
    <n v="17412"/>
    <n v="24"/>
    <s v="Debit Card"/>
    <s v="Medium"/>
    <x v="4"/>
    <x v="11"/>
    <n v="5"/>
    <n v="8"/>
    <n v="0.32357696381780676"/>
  </r>
  <r>
    <n v="11817"/>
    <d v="2025-12-22T00:00:00"/>
    <d v="2025-12-28T00:00:00"/>
    <d v="2025-12-30T00:00:00"/>
    <x v="1"/>
    <s v="India"/>
    <s v="Kerala"/>
    <s v="Bangalore"/>
    <x v="0"/>
    <s v="Mobile"/>
    <s v="Dining Table"/>
    <s v="Consumer"/>
    <n v="34072"/>
    <n v="0.2"/>
    <n v="1293"/>
    <n v="3"/>
    <s v="Debit Card"/>
    <s v="Low"/>
    <x v="4"/>
    <x v="11"/>
    <n v="6"/>
    <n v="8"/>
    <n v="3.7949049072552241E-2"/>
  </r>
  <r>
    <n v="11818"/>
    <d v="2025-12-23T00:00:00"/>
    <d v="2025-12-29T00:00:00"/>
    <d v="2025-12-30T00:00:00"/>
    <x v="0"/>
    <s v="India"/>
    <s v="Maharashtra"/>
    <s v="Bangalore"/>
    <x v="0"/>
    <s v="Table"/>
    <s v="Gel Pen"/>
    <s v="Home Office"/>
    <n v="46531"/>
    <n v="0.28999999999999998"/>
    <n v="-1499"/>
    <n v="24"/>
    <s v="Credit Card"/>
    <s v="High"/>
    <x v="4"/>
    <x v="11"/>
    <n v="6"/>
    <n v="7"/>
    <n v="-3.2215082418172829E-2"/>
  </r>
  <r>
    <n v="11819"/>
    <d v="2025-12-24T00:00:00"/>
    <d v="2025-12-28T00:00:00"/>
    <d v="2025-12-30T00:00:00"/>
    <x v="2"/>
    <s v="India"/>
    <s v="Maharashtra"/>
    <s v="Chennai"/>
    <x v="1"/>
    <s v="Laptop"/>
    <s v="Laser Printer"/>
    <s v="Corporate"/>
    <n v="64598"/>
    <n v="0.15"/>
    <n v="1471"/>
    <n v="18"/>
    <s v="Net Banking"/>
    <s v="High"/>
    <x v="4"/>
    <x v="11"/>
    <n v="4"/>
    <n v="6"/>
    <n v="2.2771602836001114E-2"/>
  </r>
  <r>
    <n v="11820"/>
    <d v="2025-12-25T00:00:00"/>
    <d v="2025-12-27T00:00:00"/>
    <d v="2025-12-29T00:00:00"/>
    <x v="0"/>
    <s v="India"/>
    <s v="Karnataka"/>
    <s v="Bangalore"/>
    <x v="1"/>
    <s v="Laptop"/>
    <s v="Office Chair"/>
    <s v="Corporate"/>
    <n v="32908"/>
    <n v="0.04"/>
    <n v="4427"/>
    <n v="12"/>
    <s v="Net Banking"/>
    <s v="Low"/>
    <x v="4"/>
    <x v="11"/>
    <n v="2"/>
    <n v="4"/>
    <n v="0.13452655889145496"/>
  </r>
  <r>
    <n v="11821"/>
    <d v="2025-12-26T00:00:00"/>
    <d v="2025-12-30T00:00:00"/>
    <d v="2026-01-03T00:00:00"/>
    <x v="1"/>
    <s v="India"/>
    <s v="Maharashtra"/>
    <s v="Mumbai"/>
    <x v="0"/>
    <s v="Notebook"/>
    <s v="Gel Pen"/>
    <s v="Home Office"/>
    <n v="12451"/>
    <n v="0.39"/>
    <n v="9244"/>
    <n v="11"/>
    <s v="Cash"/>
    <s v="High"/>
    <x v="4"/>
    <x v="11"/>
    <n v="4"/>
    <n v="8"/>
    <n v="0.7424303268813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47405F-F024-4C5F-A679-31B89A816D6D}"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8:C42" firstHeaderRow="0" firstDataRow="1" firstDataCol="1"/>
  <pivotFields count="24">
    <pivotField showAll="0"/>
    <pivotField numFmtId="14" showAll="0"/>
    <pivotField numFmtId="14" showAll="0"/>
    <pivotField numFmtId="14" showAll="0"/>
    <pivotField showAll="0">
      <items count="5">
        <item x="3"/>
        <item x="1"/>
        <item x="2"/>
        <item x="0"/>
        <item t="default"/>
      </items>
    </pivotField>
    <pivotField showAll="0"/>
    <pivotField showAll="0"/>
    <pivotField showAll="0"/>
    <pivotField axis="axisRow" showAll="0">
      <items count="4">
        <item x="2"/>
        <item x="0"/>
        <item x="1"/>
        <item t="default"/>
      </items>
    </pivotField>
    <pivotField showAll="0"/>
    <pivotField showAll="0"/>
    <pivotField showAll="0"/>
    <pivotField dataField="1" numFmtId="165" showAll="0"/>
    <pivotField showAll="0"/>
    <pivotField dataField="1" numFmtId="165" showAll="0"/>
    <pivotField showAll="0"/>
    <pivotField showAll="0"/>
    <pivotField showAll="0"/>
    <pivotField showAll="0">
      <items count="6">
        <item x="0"/>
        <item x="1"/>
        <item x="2"/>
        <item x="3"/>
        <item x="4"/>
        <item t="default"/>
      </items>
    </pivotField>
    <pivotField showAll="0">
      <items count="13">
        <item x="0"/>
        <item x="1"/>
        <item x="2"/>
        <item x="3"/>
        <item x="4"/>
        <item x="5"/>
        <item x="6"/>
        <item x="7"/>
        <item x="8"/>
        <item x="9"/>
        <item x="10"/>
        <item x="11"/>
        <item t="default"/>
      </items>
    </pivotField>
    <pivotField showAll="0"/>
    <pivotField showAll="0"/>
    <pivotField numFmtId="10" showAll="0"/>
    <pivotField dragToRow="0" dragToCol="0" dragToPage="0" showAll="0" defaultSubtotal="0"/>
  </pivotFields>
  <rowFields count="1">
    <field x="8"/>
  </rowFields>
  <rowItems count="4">
    <i>
      <x/>
    </i>
    <i>
      <x v="1"/>
    </i>
    <i>
      <x v="2"/>
    </i>
    <i t="grand">
      <x/>
    </i>
  </rowItems>
  <colFields count="1">
    <field x="-2"/>
  </colFields>
  <colItems count="2">
    <i>
      <x/>
    </i>
    <i i="1">
      <x v="1"/>
    </i>
  </colItems>
  <dataFields count="2">
    <dataField name="Sum of Sales" fld="12" baseField="0" baseItem="0" numFmtId="165"/>
    <dataField name="Sum of Profit" fld="14" baseField="0" baseItem="0"/>
  </dataFields>
  <chartFormats count="11">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8" count="1" selected="0">
            <x v="0"/>
          </reference>
        </references>
      </pivotArea>
    </chartFormat>
    <chartFormat chart="6" format="12">
      <pivotArea type="data" outline="0" fieldPosition="0">
        <references count="2">
          <reference field="4294967294" count="1" selected="0">
            <x v="0"/>
          </reference>
          <reference field="8" count="1" selected="0">
            <x v="1"/>
          </reference>
        </references>
      </pivotArea>
    </chartFormat>
    <chartFormat chart="6" format="13">
      <pivotArea type="data" outline="0" fieldPosition="0">
        <references count="2">
          <reference field="4294967294" count="1" selected="0">
            <x v="0"/>
          </reference>
          <reference field="8" count="1" selected="0">
            <x v="2"/>
          </reference>
        </references>
      </pivotArea>
    </chartFormat>
    <chartFormat chart="6" format="14" series="1">
      <pivotArea type="data" outline="0" fieldPosition="0">
        <references count="1">
          <reference field="4294967294" count="1" selected="0">
            <x v="1"/>
          </reference>
        </references>
      </pivotArea>
    </chartFormat>
    <chartFormat chart="6" format="15">
      <pivotArea type="data" outline="0" fieldPosition="0">
        <references count="2">
          <reference field="4294967294" count="1" selected="0">
            <x v="1"/>
          </reference>
          <reference field="8" count="1" selected="0">
            <x v="0"/>
          </reference>
        </references>
      </pivotArea>
    </chartFormat>
    <chartFormat chart="6" format="16">
      <pivotArea type="data" outline="0" fieldPosition="0">
        <references count="2">
          <reference field="4294967294" count="1" selected="0">
            <x v="1"/>
          </reference>
          <reference field="8" count="1" selected="0">
            <x v="1"/>
          </reference>
        </references>
      </pivotArea>
    </chartFormat>
    <chartFormat chart="6" format="17">
      <pivotArea type="data" outline="0" fieldPosition="0">
        <references count="2">
          <reference field="4294967294" count="1" selected="0">
            <x v="1"/>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ED00AD-3244-4ACA-BF8C-17D04F9A44DC}"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1:D6" firstHeaderRow="0" firstDataRow="1" firstDataCol="1"/>
  <pivotFields count="24">
    <pivotField showAll="0"/>
    <pivotField numFmtId="14" showAll="0"/>
    <pivotField numFmtId="14" showAll="0"/>
    <pivotField numFmtId="14" showAll="0"/>
    <pivotField axis="axisRow" showAll="0">
      <items count="5">
        <item x="3"/>
        <item x="1"/>
        <item x="2"/>
        <item x="0"/>
        <item t="default"/>
      </items>
    </pivotField>
    <pivotField showAll="0"/>
    <pivotField showAll="0"/>
    <pivotField showAll="0"/>
    <pivotField showAll="0">
      <items count="4">
        <item x="2"/>
        <item x="0"/>
        <item x="1"/>
        <item t="default"/>
      </items>
    </pivotField>
    <pivotField showAll="0"/>
    <pivotField showAll="0"/>
    <pivotField showAll="0"/>
    <pivotField dataField="1" numFmtId="165" showAll="0"/>
    <pivotField showAll="0"/>
    <pivotField dataField="1" numFmtId="165" showAll="0"/>
    <pivotField showAll="0"/>
    <pivotField showAll="0"/>
    <pivotField showAll="0"/>
    <pivotField showAll="0">
      <items count="6">
        <item x="0"/>
        <item x="1"/>
        <item x="2"/>
        <item x="3"/>
        <item x="4"/>
        <item t="default"/>
      </items>
    </pivotField>
    <pivotField showAll="0">
      <items count="13">
        <item x="0"/>
        <item x="1"/>
        <item x="2"/>
        <item x="3"/>
        <item x="4"/>
        <item x="5"/>
        <item x="6"/>
        <item x="7"/>
        <item x="8"/>
        <item x="9"/>
        <item x="10"/>
        <item x="11"/>
        <item t="default"/>
      </items>
    </pivotField>
    <pivotField showAll="0"/>
    <pivotField showAll="0"/>
    <pivotField numFmtId="10" showAll="0"/>
    <pivotField dataField="1" dragToRow="0" dragToCol="0" dragToPage="0" showAll="0" defaultSubtotal="0"/>
  </pivotFields>
  <rowFields count="1">
    <field x="4"/>
  </rowFields>
  <rowItems count="5">
    <i>
      <x/>
    </i>
    <i>
      <x v="1"/>
    </i>
    <i>
      <x v="2"/>
    </i>
    <i>
      <x v="3"/>
    </i>
    <i t="grand">
      <x/>
    </i>
  </rowItems>
  <colFields count="1">
    <field x="-2"/>
  </colFields>
  <colItems count="3">
    <i>
      <x/>
    </i>
    <i i="1">
      <x v="1"/>
    </i>
    <i i="2">
      <x v="2"/>
    </i>
  </colItems>
  <dataFields count="3">
    <dataField name="Sum of Sales" fld="12" baseField="0" baseItem="0" numFmtId="165"/>
    <dataField name="Sum of Profit" fld="14" baseField="0" baseItem="0"/>
    <dataField name="Sum of Profit Margin" fld="23" baseField="0" baseItem="0" numFmtId="165"/>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6C4482-C873-4AA5-BE41-337B41587B2D}"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3:E54" firstHeaderRow="0" firstDataRow="1" firstDataCol="0"/>
  <pivotFields count="24">
    <pivotField dataField="1" showAll="0"/>
    <pivotField numFmtId="14" showAll="0"/>
    <pivotField numFmtId="14" showAll="0"/>
    <pivotField numFmtId="14" showAll="0"/>
    <pivotField showAll="0">
      <items count="5">
        <item x="3"/>
        <item x="1"/>
        <item x="2"/>
        <item x="0"/>
        <item t="default"/>
      </items>
    </pivotField>
    <pivotField showAll="0"/>
    <pivotField showAll="0"/>
    <pivotField showAll="0"/>
    <pivotField showAll="0">
      <items count="4">
        <item x="2"/>
        <item x="0"/>
        <item x="1"/>
        <item t="default"/>
      </items>
    </pivotField>
    <pivotField showAll="0"/>
    <pivotField showAll="0"/>
    <pivotField showAll="0"/>
    <pivotField dataField="1" numFmtId="165" showAll="0"/>
    <pivotField showAll="0"/>
    <pivotField dataField="1" numFmtId="165" showAll="0"/>
    <pivotField showAll="0"/>
    <pivotField showAll="0"/>
    <pivotField showAll="0"/>
    <pivotField showAll="0">
      <items count="6">
        <item x="0"/>
        <item x="1"/>
        <item x="2"/>
        <item x="3"/>
        <item x="4"/>
        <item t="default"/>
      </items>
    </pivotField>
    <pivotField showAll="0">
      <items count="13">
        <item x="0"/>
        <item x="1"/>
        <item x="2"/>
        <item x="3"/>
        <item x="4"/>
        <item x="5"/>
        <item x="6"/>
        <item x="7"/>
        <item x="8"/>
        <item x="9"/>
        <item x="10"/>
        <item x="11"/>
        <item t="default"/>
      </items>
    </pivotField>
    <pivotField showAll="0"/>
    <pivotField dataField="1" showAll="0"/>
    <pivotField numFmtId="10" showAll="0"/>
    <pivotField dataField="1" dragToRow="0" dragToCol="0" dragToPage="0" showAll="0" defaultSubtotal="0"/>
  </pivotFields>
  <rowItems count="1">
    <i/>
  </rowItems>
  <colFields count="1">
    <field x="-2"/>
  </colFields>
  <colItems count="5">
    <i>
      <x/>
    </i>
    <i i="1">
      <x v="1"/>
    </i>
    <i i="2">
      <x v="2"/>
    </i>
    <i i="3">
      <x v="3"/>
    </i>
    <i i="4">
      <x v="4"/>
    </i>
  </colItems>
  <dataFields count="5">
    <dataField name="Sum of Sales" fld="12" baseField="0" baseItem="0" numFmtId="165"/>
    <dataField name="Sum of Profit" fld="14" baseField="0" baseItem="0"/>
    <dataField name="Sum of Profit Margin" fld="23" baseField="0" baseItem="0" numFmtId="165"/>
    <dataField name="Sum of OrderID" fld="0" baseField="0" baseItem="0"/>
    <dataField name="Sum of Delivery Days"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52888C-3178-4D1C-9E5B-E4605043AAC5}"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20:B33" firstHeaderRow="1" firstDataRow="1" firstDataCol="1"/>
  <pivotFields count="24">
    <pivotField showAll="0"/>
    <pivotField numFmtId="14" showAll="0"/>
    <pivotField numFmtId="14" showAll="0"/>
    <pivotField numFmtId="14" showAll="0"/>
    <pivotField showAll="0">
      <items count="5">
        <item x="3"/>
        <item x="1"/>
        <item x="2"/>
        <item x="0"/>
        <item t="default"/>
      </items>
    </pivotField>
    <pivotField showAll="0"/>
    <pivotField showAll="0"/>
    <pivotField showAll="0"/>
    <pivotField showAll="0">
      <items count="4">
        <item x="2"/>
        <item x="0"/>
        <item x="1"/>
        <item t="default"/>
      </items>
    </pivotField>
    <pivotField showAll="0"/>
    <pivotField showAll="0"/>
    <pivotField showAll="0"/>
    <pivotField dataField="1" numFmtId="165" showAll="0"/>
    <pivotField showAll="0"/>
    <pivotField numFmtId="165" showAll="0"/>
    <pivotField showAll="0"/>
    <pivotField showAll="0"/>
    <pivotField showAll="0"/>
    <pivotField showAll="0">
      <items count="6">
        <item x="0"/>
        <item x="1"/>
        <item x="2"/>
        <item x="3"/>
        <item x="4"/>
        <item t="default"/>
      </items>
    </pivotField>
    <pivotField axis="axisRow" showAll="0">
      <items count="13">
        <item x="0"/>
        <item x="1"/>
        <item x="2"/>
        <item x="3"/>
        <item x="4"/>
        <item x="5"/>
        <item x="6"/>
        <item x="7"/>
        <item x="8"/>
        <item x="9"/>
        <item x="10"/>
        <item x="11"/>
        <item t="default"/>
      </items>
    </pivotField>
    <pivotField showAll="0"/>
    <pivotField showAll="0"/>
    <pivotField numFmtId="10" showAll="0"/>
    <pivotField dragToRow="0" dragToCol="0" dragToPage="0" showAll="0" defaultSubtotal="0"/>
  </pivotFields>
  <rowFields count="1">
    <field x="19"/>
  </rowFields>
  <rowItems count="13">
    <i>
      <x/>
    </i>
    <i>
      <x v="1"/>
    </i>
    <i>
      <x v="2"/>
    </i>
    <i>
      <x v="3"/>
    </i>
    <i>
      <x v="4"/>
    </i>
    <i>
      <x v="5"/>
    </i>
    <i>
      <x v="6"/>
    </i>
    <i>
      <x v="7"/>
    </i>
    <i>
      <x v="8"/>
    </i>
    <i>
      <x v="9"/>
    </i>
    <i>
      <x v="10"/>
    </i>
    <i>
      <x v="11"/>
    </i>
    <i t="grand">
      <x/>
    </i>
  </rowItems>
  <colItems count="1">
    <i/>
  </colItems>
  <dataFields count="1">
    <dataField name="Sum of Sales" fld="12" baseField="0" baseItem="0" numFmtId="165"/>
  </dataFields>
  <chartFormats count="13">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9" count="1" selected="0">
            <x v="0"/>
          </reference>
        </references>
      </pivotArea>
    </chartFormat>
    <chartFormat chart="6" format="4">
      <pivotArea type="data" outline="0" fieldPosition="0">
        <references count="2">
          <reference field="4294967294" count="1" selected="0">
            <x v="0"/>
          </reference>
          <reference field="19" count="1" selected="0">
            <x v="1"/>
          </reference>
        </references>
      </pivotArea>
    </chartFormat>
    <chartFormat chart="6" format="5">
      <pivotArea type="data" outline="0" fieldPosition="0">
        <references count="2">
          <reference field="4294967294" count="1" selected="0">
            <x v="0"/>
          </reference>
          <reference field="19" count="1" selected="0">
            <x v="2"/>
          </reference>
        </references>
      </pivotArea>
    </chartFormat>
    <chartFormat chart="6" format="6">
      <pivotArea type="data" outline="0" fieldPosition="0">
        <references count="2">
          <reference field="4294967294" count="1" selected="0">
            <x v="0"/>
          </reference>
          <reference field="19" count="1" selected="0">
            <x v="3"/>
          </reference>
        </references>
      </pivotArea>
    </chartFormat>
    <chartFormat chart="6" format="7">
      <pivotArea type="data" outline="0" fieldPosition="0">
        <references count="2">
          <reference field="4294967294" count="1" selected="0">
            <x v="0"/>
          </reference>
          <reference field="19" count="1" selected="0">
            <x v="4"/>
          </reference>
        </references>
      </pivotArea>
    </chartFormat>
    <chartFormat chart="6" format="8">
      <pivotArea type="data" outline="0" fieldPosition="0">
        <references count="2">
          <reference field="4294967294" count="1" selected="0">
            <x v="0"/>
          </reference>
          <reference field="19" count="1" selected="0">
            <x v="5"/>
          </reference>
        </references>
      </pivotArea>
    </chartFormat>
    <chartFormat chart="6" format="9">
      <pivotArea type="data" outline="0" fieldPosition="0">
        <references count="2">
          <reference field="4294967294" count="1" selected="0">
            <x v="0"/>
          </reference>
          <reference field="19" count="1" selected="0">
            <x v="6"/>
          </reference>
        </references>
      </pivotArea>
    </chartFormat>
    <chartFormat chart="6" format="10">
      <pivotArea type="data" outline="0" fieldPosition="0">
        <references count="2">
          <reference field="4294967294" count="1" selected="0">
            <x v="0"/>
          </reference>
          <reference field="19" count="1" selected="0">
            <x v="7"/>
          </reference>
        </references>
      </pivotArea>
    </chartFormat>
    <chartFormat chart="6" format="11">
      <pivotArea type="data" outline="0" fieldPosition="0">
        <references count="2">
          <reference field="4294967294" count="1" selected="0">
            <x v="0"/>
          </reference>
          <reference field="19" count="1" selected="0">
            <x v="8"/>
          </reference>
        </references>
      </pivotArea>
    </chartFormat>
    <chartFormat chart="6" format="12">
      <pivotArea type="data" outline="0" fieldPosition="0">
        <references count="2">
          <reference field="4294967294" count="1" selected="0">
            <x v="0"/>
          </reference>
          <reference field="19" count="1" selected="0">
            <x v="9"/>
          </reference>
        </references>
      </pivotArea>
    </chartFormat>
    <chartFormat chart="6" format="13">
      <pivotArea type="data" outline="0" fieldPosition="0">
        <references count="2">
          <reference field="4294967294" count="1" selected="0">
            <x v="0"/>
          </reference>
          <reference field="19" count="1" selected="0">
            <x v="10"/>
          </reference>
        </references>
      </pivotArea>
    </chartFormat>
    <chartFormat chart="6" format="14">
      <pivotArea type="data" outline="0" fieldPosition="0">
        <references count="2">
          <reference field="4294967294" count="1" selected="0">
            <x v="0"/>
          </reference>
          <reference field="1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0E24EE-474A-48E6-91A5-2C099C6F0443}" sourceName="Region">
  <pivotTables>
    <pivotTable tabId="6" name="PivotTable2"/>
    <pivotTable tabId="6" name="PivotTable6"/>
    <pivotTable tabId="6" name="PivotTable7"/>
    <pivotTable tabId="6" name="PivotTable8"/>
  </pivotTables>
  <data>
    <tabular pivotCacheId="1645961796">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235B99F-72EE-42C1-A043-C84041BBFB45}" sourceName="Category">
  <pivotTables>
    <pivotTable tabId="6" name="PivotTable2"/>
    <pivotTable tabId="6" name="PivotTable6"/>
    <pivotTable tabId="6" name="PivotTable7"/>
    <pivotTable tabId="6" name="PivotTable8"/>
  </pivotTables>
  <data>
    <tabular pivotCacheId="1645961796">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B5F7A43-613E-4B4F-B193-6722A15CC6CE}" sourceName="Year">
  <pivotTables>
    <pivotTable tabId="6" name="PivotTable2"/>
    <pivotTable tabId="6" name="PivotTable6"/>
    <pivotTable tabId="6" name="PivotTable7"/>
    <pivotTable tabId="6" name="PivotTable8"/>
  </pivotTables>
  <data>
    <tabular pivotCacheId="1645961796">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0B67727-5D95-448A-9E24-F99A968D4C36}" cache="Slicer_Region" caption="Region" rowHeight="234950"/>
  <slicer name="Category" xr10:uid="{4EB71A1D-9F06-4A5F-B9F7-3350301EB773}" cache="Slicer_Category" caption="Category" rowHeight="234950"/>
  <slicer name="Year" xr10:uid="{C824EE54-EA40-4358-857E-81C01E7D4334}"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DDC25B9-950B-4D4B-890B-62465004ED4D}" cache="Slicer_Region" caption="Region" style="SlicerStyleDark3" rowHeight="288000"/>
  <slicer name="Category 1" xr10:uid="{6A9C8388-EBB6-4658-9E70-DC508C0A09D2}" cache="Slicer_Category" caption="Category" style="SlicerStyleDark3" rowHeight="396000"/>
  <slicer name="Year 1" xr10:uid="{9DB77F58-1930-4456-B9C7-F7BAC89689B8}" cache="Slicer_Year" caption="Year" style="SlicerStyleDark3"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78CF49-3578-4138-91D7-6D0B485D321B}" name="SalesData" displayName="SalesData" ref="A1:W1822" totalsRowShown="0" headerRowDxfId="6">
  <autoFilter ref="A1:W1822" xr:uid="{D1CBA3EF-A1A6-454B-A49B-280EAF9D40CC}"/>
  <tableColumns count="23">
    <tableColumn id="1" xr3:uid="{80B63523-4375-4F66-9354-C6229248BB5A}" name="OrderID"/>
    <tableColumn id="2" xr3:uid="{D8853E9F-2794-40F4-82F2-FB5DFF10229F}" name="OrderDate" dataDxfId="5"/>
    <tableColumn id="3" xr3:uid="{0C8E9DF1-7582-420A-BB25-739D3D0DC731}" name="ShipDate" dataDxfId="4"/>
    <tableColumn id="4" xr3:uid="{FACADC78-979B-41BA-BBCB-42BE61DDF0C6}" name="DeliveryDate" dataDxfId="3"/>
    <tableColumn id="5" xr3:uid="{A47ACE45-6878-4E8C-87FC-C46FC6438642}" name="Region"/>
    <tableColumn id="6" xr3:uid="{0091888E-7F0A-4186-83B1-329A84A022E4}" name="Country"/>
    <tableColumn id="7" xr3:uid="{543D937A-F179-4C0E-BDC3-2CE6C15024C9}" name="State"/>
    <tableColumn id="8" xr3:uid="{C29657FF-6D0A-4C3E-9042-11972C4AD58D}" name="City"/>
    <tableColumn id="9" xr3:uid="{543FCBB6-9BE6-46BF-9F46-B97359ECA46E}" name="Category"/>
    <tableColumn id="10" xr3:uid="{7B24E144-FCE4-4E5D-9EBD-521B0A7F5E50}" name="Sub-Category"/>
    <tableColumn id="11" xr3:uid="{2FDA8684-B72A-4BF9-9893-EE57B6290474}" name="Product"/>
    <tableColumn id="12" xr3:uid="{ACFD2960-F7CD-4008-AFFE-91EDEE38C496}" name="Customer Segment"/>
    <tableColumn id="13" xr3:uid="{C82DCC2F-08B8-450B-865E-447C7E432FA6}" name="Sales" dataDxfId="2"/>
    <tableColumn id="14" xr3:uid="{3271F6C4-0408-481A-833C-782302979F15}" name="Discount"/>
    <tableColumn id="15" xr3:uid="{DBFB1CA8-2949-412D-A0B2-1058FADFE274}" name="Profit" dataDxfId="1"/>
    <tableColumn id="16" xr3:uid="{646EB186-15B5-4539-ACDE-15EE98BA4559}" name="Quantity"/>
    <tableColumn id="17" xr3:uid="{D8B5DC6C-65E4-45A3-9507-05AF8A392D39}" name="Payment Mode"/>
    <tableColumn id="18" xr3:uid="{FFA3E467-50AF-48D0-86B9-4DC477D3E47B}" name="Order Priority"/>
    <tableColumn id="19" xr3:uid="{72069873-516E-42C2-BAFF-E6A65868D31E}" name="Year">
      <calculatedColumnFormula>YEAR(B2)</calculatedColumnFormula>
    </tableColumn>
    <tableColumn id="20" xr3:uid="{2E3B6FD4-9E16-433E-A1C3-BFB83377B0FD}" name="Month">
      <calculatedColumnFormula>TEXT(B2,"mmm")</calculatedColumnFormula>
    </tableColumn>
    <tableColumn id="21" xr3:uid="{182E36AD-4A82-4186-8FBB-6510AA876420}" name="Shipping Days">
      <calculatedColumnFormula>C2-B2</calculatedColumnFormula>
    </tableColumn>
    <tableColumn id="22" xr3:uid="{700C4D13-1B59-4704-AF53-50818E5377CA}" name="Delivery Days">
      <calculatedColumnFormula>D2-B2</calculatedColumnFormula>
    </tableColumn>
    <tableColumn id="23" xr3:uid="{87F960EF-7CCA-4246-92B4-B89EF413DF83}" name="Profit%" dataDxfId="0">
      <calculatedColumnFormula>IFERROR(O2/M2,0)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501"/>
  <sheetViews>
    <sheetView workbookViewId="0">
      <selection activeCell="C2" sqref="C2"/>
    </sheetView>
  </sheetViews>
  <sheetFormatPr defaultRowHeight="14.4"/>
  <cols>
    <col min="2" max="2" width="21.5546875" customWidth="1"/>
    <col min="3" max="3" width="22" customWidth="1"/>
    <col min="4" max="4" width="19.77734375" customWidth="1"/>
    <col min="7" max="8" width="11.77734375" customWidth="1"/>
    <col min="9" max="9" width="13.5546875" customWidth="1"/>
    <col min="10" max="10" width="12.88671875" customWidth="1"/>
    <col min="11" max="11" width="15.21875" customWidth="1"/>
    <col min="12" max="12" width="15.88671875" customWidth="1"/>
    <col min="17" max="17" width="14" customWidth="1"/>
    <col min="18" max="18" width="13.8867187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v>10001</v>
      </c>
      <c r="B2" s="2">
        <v>44197</v>
      </c>
      <c r="C2" s="2">
        <v>44199</v>
      </c>
      <c r="D2" s="2">
        <v>44203</v>
      </c>
      <c r="E2" t="s">
        <v>18</v>
      </c>
      <c r="F2" t="s">
        <v>22</v>
      </c>
      <c r="G2" t="s">
        <v>23</v>
      </c>
      <c r="H2" t="s">
        <v>29</v>
      </c>
      <c r="I2" t="s">
        <v>34</v>
      </c>
      <c r="J2" t="s">
        <v>37</v>
      </c>
      <c r="K2" t="s">
        <v>44</v>
      </c>
      <c r="L2" t="s">
        <v>51</v>
      </c>
      <c r="M2">
        <v>58593</v>
      </c>
      <c r="N2">
        <v>0.15</v>
      </c>
      <c r="O2">
        <v>13209</v>
      </c>
      <c r="P2">
        <v>21</v>
      </c>
      <c r="Q2" t="s">
        <v>54</v>
      </c>
      <c r="R2" t="s">
        <v>59</v>
      </c>
    </row>
    <row r="3" spans="1:18">
      <c r="A3">
        <v>10002</v>
      </c>
      <c r="B3" s="2">
        <v>44198</v>
      </c>
      <c r="C3" s="2">
        <v>44200</v>
      </c>
      <c r="D3" s="2">
        <v>44204</v>
      </c>
      <c r="E3" t="s">
        <v>19</v>
      </c>
      <c r="F3" t="s">
        <v>22</v>
      </c>
      <c r="G3" t="s">
        <v>24</v>
      </c>
      <c r="H3" t="s">
        <v>25</v>
      </c>
      <c r="I3" t="s">
        <v>35</v>
      </c>
      <c r="J3" t="s">
        <v>38</v>
      </c>
      <c r="K3" t="s">
        <v>45</v>
      </c>
      <c r="L3" t="s">
        <v>51</v>
      </c>
      <c r="M3">
        <v>71540</v>
      </c>
      <c r="N3">
        <v>0.25</v>
      </c>
      <c r="O3">
        <v>17196</v>
      </c>
      <c r="P3">
        <v>22</v>
      </c>
      <c r="Q3" t="s">
        <v>54</v>
      </c>
      <c r="R3" t="s">
        <v>60</v>
      </c>
    </row>
    <row r="4" spans="1:18">
      <c r="A4">
        <v>10003</v>
      </c>
      <c r="B4" s="2">
        <v>44199</v>
      </c>
      <c r="C4" s="2">
        <v>44201</v>
      </c>
      <c r="D4" s="2">
        <v>44205</v>
      </c>
      <c r="E4" t="s">
        <v>20</v>
      </c>
      <c r="F4" t="s">
        <v>22</v>
      </c>
      <c r="G4" t="s">
        <v>24</v>
      </c>
      <c r="H4" t="s">
        <v>30</v>
      </c>
      <c r="I4" t="s">
        <v>34</v>
      </c>
      <c r="J4" t="s">
        <v>39</v>
      </c>
      <c r="K4" t="s">
        <v>46</v>
      </c>
      <c r="L4" t="s">
        <v>51</v>
      </c>
      <c r="M4">
        <v>65230</v>
      </c>
      <c r="N4">
        <v>0.35</v>
      </c>
      <c r="O4">
        <v>1181</v>
      </c>
      <c r="P4">
        <v>17</v>
      </c>
      <c r="Q4" t="s">
        <v>55</v>
      </c>
      <c r="R4" t="s">
        <v>61</v>
      </c>
    </row>
    <row r="5" spans="1:18">
      <c r="A5">
        <v>10004</v>
      </c>
      <c r="B5" s="2">
        <v>44200</v>
      </c>
      <c r="C5" s="2">
        <v>44202</v>
      </c>
      <c r="D5" s="2">
        <v>44206</v>
      </c>
      <c r="E5" t="s">
        <v>21</v>
      </c>
      <c r="F5" t="s">
        <v>22</v>
      </c>
      <c r="G5" t="s">
        <v>25</v>
      </c>
      <c r="H5" t="s">
        <v>29</v>
      </c>
      <c r="I5" t="s">
        <v>35</v>
      </c>
      <c r="J5" t="s">
        <v>39</v>
      </c>
      <c r="K5" t="s">
        <v>45</v>
      </c>
      <c r="L5" t="s">
        <v>52</v>
      </c>
      <c r="M5">
        <v>44292</v>
      </c>
      <c r="N5">
        <v>0.25</v>
      </c>
      <c r="O5">
        <v>16220</v>
      </c>
      <c r="P5">
        <v>13</v>
      </c>
      <c r="Q5" t="s">
        <v>54</v>
      </c>
      <c r="R5" t="s">
        <v>59</v>
      </c>
    </row>
    <row r="6" spans="1:18">
      <c r="A6">
        <v>10005</v>
      </c>
      <c r="B6" s="2">
        <v>44201</v>
      </c>
      <c r="C6" s="2">
        <v>44203</v>
      </c>
      <c r="D6" s="2">
        <v>44207</v>
      </c>
      <c r="E6" t="s">
        <v>18</v>
      </c>
      <c r="F6" t="s">
        <v>22</v>
      </c>
      <c r="G6" t="s">
        <v>26</v>
      </c>
      <c r="H6" t="s">
        <v>25</v>
      </c>
      <c r="I6" t="s">
        <v>36</v>
      </c>
      <c r="J6" t="s">
        <v>40</v>
      </c>
      <c r="K6" t="s">
        <v>45</v>
      </c>
      <c r="L6" t="s">
        <v>52</v>
      </c>
      <c r="M6">
        <v>9733</v>
      </c>
      <c r="N6">
        <v>0.03</v>
      </c>
      <c r="O6">
        <v>-225</v>
      </c>
      <c r="P6">
        <v>24</v>
      </c>
      <c r="Q6" t="s">
        <v>54</v>
      </c>
      <c r="R6" t="s">
        <v>59</v>
      </c>
    </row>
    <row r="7" spans="1:18">
      <c r="A7">
        <v>10006</v>
      </c>
      <c r="B7" s="2">
        <v>44202</v>
      </c>
      <c r="C7" s="2">
        <v>44204</v>
      </c>
      <c r="D7" s="2">
        <v>44208</v>
      </c>
      <c r="E7" t="s">
        <v>18</v>
      </c>
      <c r="F7" t="s">
        <v>22</v>
      </c>
      <c r="G7" t="s">
        <v>25</v>
      </c>
      <c r="H7" t="s">
        <v>31</v>
      </c>
      <c r="I7" t="s">
        <v>35</v>
      </c>
      <c r="J7" t="s">
        <v>40</v>
      </c>
      <c r="K7" t="s">
        <v>47</v>
      </c>
      <c r="L7" t="s">
        <v>53</v>
      </c>
      <c r="M7">
        <v>12743</v>
      </c>
      <c r="N7">
        <v>0.13</v>
      </c>
      <c r="O7">
        <v>19285</v>
      </c>
      <c r="P7">
        <v>18</v>
      </c>
      <c r="Q7" t="s">
        <v>56</v>
      </c>
      <c r="R7" t="s">
        <v>59</v>
      </c>
    </row>
    <row r="8" spans="1:18">
      <c r="A8">
        <v>10007</v>
      </c>
      <c r="B8" s="2">
        <v>44203</v>
      </c>
      <c r="C8" s="2">
        <v>44205</v>
      </c>
      <c r="D8" s="2">
        <v>44209</v>
      </c>
      <c r="E8" t="s">
        <v>18</v>
      </c>
      <c r="F8" t="s">
        <v>22</v>
      </c>
      <c r="G8" t="s">
        <v>27</v>
      </c>
      <c r="H8" t="s">
        <v>32</v>
      </c>
      <c r="I8" t="s">
        <v>34</v>
      </c>
      <c r="J8" t="s">
        <v>39</v>
      </c>
      <c r="K8" t="s">
        <v>48</v>
      </c>
      <c r="L8" t="s">
        <v>53</v>
      </c>
      <c r="M8">
        <v>24441</v>
      </c>
      <c r="N8">
        <v>0.15</v>
      </c>
      <c r="O8">
        <v>2384</v>
      </c>
      <c r="P8">
        <v>5</v>
      </c>
      <c r="Q8" t="s">
        <v>57</v>
      </c>
      <c r="R8" t="s">
        <v>62</v>
      </c>
    </row>
    <row r="9" spans="1:18">
      <c r="A9">
        <v>10008</v>
      </c>
      <c r="B9" s="2">
        <v>44204</v>
      </c>
      <c r="C9" s="2">
        <v>44206</v>
      </c>
      <c r="D9" s="2">
        <v>44210</v>
      </c>
      <c r="E9" t="s">
        <v>18</v>
      </c>
      <c r="F9" t="s">
        <v>22</v>
      </c>
      <c r="G9" t="s">
        <v>28</v>
      </c>
      <c r="H9" t="s">
        <v>29</v>
      </c>
      <c r="I9" t="s">
        <v>35</v>
      </c>
      <c r="J9" t="s">
        <v>38</v>
      </c>
      <c r="K9" t="s">
        <v>47</v>
      </c>
      <c r="L9" t="s">
        <v>53</v>
      </c>
      <c r="M9">
        <v>71119</v>
      </c>
      <c r="N9">
        <v>0.28000000000000003</v>
      </c>
      <c r="O9">
        <v>1987</v>
      </c>
      <c r="P9">
        <v>23</v>
      </c>
      <c r="Q9" t="s">
        <v>56</v>
      </c>
      <c r="R9" t="s">
        <v>61</v>
      </c>
    </row>
    <row r="10" spans="1:18">
      <c r="A10">
        <v>10009</v>
      </c>
      <c r="B10" s="2">
        <v>44205</v>
      </c>
      <c r="C10" s="2">
        <v>44207</v>
      </c>
      <c r="D10" s="2">
        <v>44211</v>
      </c>
      <c r="E10" t="s">
        <v>19</v>
      </c>
      <c r="F10" t="s">
        <v>22</v>
      </c>
      <c r="G10" t="s">
        <v>28</v>
      </c>
      <c r="H10" t="s">
        <v>32</v>
      </c>
      <c r="I10" t="s">
        <v>35</v>
      </c>
      <c r="J10" t="s">
        <v>41</v>
      </c>
      <c r="K10" t="s">
        <v>48</v>
      </c>
      <c r="L10" t="s">
        <v>52</v>
      </c>
      <c r="M10">
        <v>29497</v>
      </c>
      <c r="N10">
        <v>0.15</v>
      </c>
      <c r="O10">
        <v>17236</v>
      </c>
      <c r="P10">
        <v>10</v>
      </c>
      <c r="Q10" t="s">
        <v>56</v>
      </c>
      <c r="R10" t="s">
        <v>61</v>
      </c>
    </row>
    <row r="11" spans="1:18">
      <c r="A11">
        <v>10010</v>
      </c>
      <c r="B11" s="2">
        <v>44206</v>
      </c>
      <c r="C11" s="2">
        <v>44208</v>
      </c>
      <c r="D11" s="2">
        <v>44212</v>
      </c>
      <c r="E11" t="s">
        <v>20</v>
      </c>
      <c r="F11" t="s">
        <v>22</v>
      </c>
      <c r="G11" t="s">
        <v>24</v>
      </c>
      <c r="H11" t="s">
        <v>33</v>
      </c>
      <c r="I11" t="s">
        <v>34</v>
      </c>
      <c r="J11" t="s">
        <v>41</v>
      </c>
      <c r="K11" t="s">
        <v>49</v>
      </c>
      <c r="L11" t="s">
        <v>51</v>
      </c>
      <c r="M11">
        <v>69182</v>
      </c>
      <c r="N11">
        <v>0.35</v>
      </c>
      <c r="O11">
        <v>3604</v>
      </c>
      <c r="P11">
        <v>12</v>
      </c>
      <c r="Q11" t="s">
        <v>55</v>
      </c>
      <c r="R11" t="s">
        <v>62</v>
      </c>
    </row>
    <row r="12" spans="1:18">
      <c r="A12">
        <v>10011</v>
      </c>
      <c r="B12" s="2">
        <v>44207</v>
      </c>
      <c r="C12" s="2">
        <v>44209</v>
      </c>
      <c r="D12" s="2">
        <v>44213</v>
      </c>
      <c r="E12" t="s">
        <v>21</v>
      </c>
      <c r="F12" t="s">
        <v>22</v>
      </c>
      <c r="G12" t="s">
        <v>26</v>
      </c>
      <c r="H12" t="s">
        <v>32</v>
      </c>
      <c r="I12" t="s">
        <v>35</v>
      </c>
      <c r="J12" t="s">
        <v>42</v>
      </c>
      <c r="K12" t="s">
        <v>49</v>
      </c>
      <c r="L12" t="s">
        <v>53</v>
      </c>
      <c r="M12">
        <v>74703</v>
      </c>
      <c r="N12">
        <v>0.15</v>
      </c>
      <c r="O12">
        <v>12837</v>
      </c>
      <c r="P12">
        <v>14</v>
      </c>
      <c r="Q12" t="s">
        <v>55</v>
      </c>
      <c r="R12" t="s">
        <v>59</v>
      </c>
    </row>
    <row r="13" spans="1:18">
      <c r="A13">
        <v>10012</v>
      </c>
      <c r="B13" s="2">
        <v>44208</v>
      </c>
      <c r="C13" s="2">
        <v>44210</v>
      </c>
      <c r="D13" s="2">
        <v>44214</v>
      </c>
      <c r="E13" t="s">
        <v>18</v>
      </c>
      <c r="F13" t="s">
        <v>22</v>
      </c>
      <c r="G13" t="s">
        <v>23</v>
      </c>
      <c r="H13" t="s">
        <v>29</v>
      </c>
      <c r="I13" t="s">
        <v>34</v>
      </c>
      <c r="J13" t="s">
        <v>39</v>
      </c>
      <c r="K13" t="s">
        <v>44</v>
      </c>
      <c r="L13" t="s">
        <v>53</v>
      </c>
      <c r="M13">
        <v>60567</v>
      </c>
      <c r="N13">
        <v>0.16</v>
      </c>
      <c r="O13">
        <v>8255</v>
      </c>
      <c r="P13">
        <v>13</v>
      </c>
      <c r="Q13" t="s">
        <v>58</v>
      </c>
      <c r="R13" t="s">
        <v>61</v>
      </c>
    </row>
    <row r="14" spans="1:18">
      <c r="A14">
        <v>10013</v>
      </c>
      <c r="B14" s="2">
        <v>44209</v>
      </c>
      <c r="C14" s="2">
        <v>44211</v>
      </c>
      <c r="D14" s="2">
        <v>44215</v>
      </c>
      <c r="E14" t="s">
        <v>19</v>
      </c>
      <c r="F14" t="s">
        <v>22</v>
      </c>
      <c r="G14" t="s">
        <v>28</v>
      </c>
      <c r="H14" t="s">
        <v>32</v>
      </c>
      <c r="I14" t="s">
        <v>35</v>
      </c>
      <c r="J14" t="s">
        <v>40</v>
      </c>
      <c r="K14" t="s">
        <v>49</v>
      </c>
      <c r="L14" t="s">
        <v>52</v>
      </c>
      <c r="M14">
        <v>11195</v>
      </c>
      <c r="N14">
        <v>0.24</v>
      </c>
      <c r="O14">
        <v>15849</v>
      </c>
      <c r="P14">
        <v>3</v>
      </c>
      <c r="Q14" t="s">
        <v>54</v>
      </c>
      <c r="R14" t="s">
        <v>59</v>
      </c>
    </row>
    <row r="15" spans="1:18">
      <c r="A15">
        <v>10014</v>
      </c>
      <c r="B15" s="2">
        <v>44210</v>
      </c>
      <c r="C15" s="2">
        <v>44212</v>
      </c>
      <c r="D15" s="2">
        <v>44216</v>
      </c>
      <c r="E15" t="s">
        <v>20</v>
      </c>
      <c r="F15" t="s">
        <v>22</v>
      </c>
      <c r="G15" t="s">
        <v>28</v>
      </c>
      <c r="H15" t="s">
        <v>32</v>
      </c>
      <c r="I15" t="s">
        <v>35</v>
      </c>
      <c r="J15" t="s">
        <v>42</v>
      </c>
      <c r="K15" t="s">
        <v>46</v>
      </c>
      <c r="L15" t="s">
        <v>52</v>
      </c>
      <c r="M15">
        <v>10762</v>
      </c>
      <c r="N15">
        <v>0.27</v>
      </c>
      <c r="O15">
        <v>7556</v>
      </c>
      <c r="P15">
        <v>4</v>
      </c>
      <c r="Q15" t="s">
        <v>57</v>
      </c>
      <c r="R15" t="s">
        <v>60</v>
      </c>
    </row>
    <row r="16" spans="1:18">
      <c r="A16">
        <v>10015</v>
      </c>
      <c r="B16" s="2">
        <v>44211</v>
      </c>
      <c r="C16" s="2">
        <v>44213</v>
      </c>
      <c r="D16" s="2">
        <v>44217</v>
      </c>
      <c r="E16" t="s">
        <v>21</v>
      </c>
      <c r="F16" t="s">
        <v>22</v>
      </c>
      <c r="G16" t="s">
        <v>24</v>
      </c>
      <c r="H16" t="s">
        <v>30</v>
      </c>
      <c r="I16" t="s">
        <v>35</v>
      </c>
      <c r="J16" t="s">
        <v>37</v>
      </c>
      <c r="K16" t="s">
        <v>48</v>
      </c>
      <c r="L16" t="s">
        <v>53</v>
      </c>
      <c r="M16">
        <v>12243</v>
      </c>
      <c r="N16">
        <v>0.34</v>
      </c>
      <c r="O16">
        <v>3727</v>
      </c>
      <c r="P16">
        <v>17</v>
      </c>
      <c r="Q16" t="s">
        <v>54</v>
      </c>
      <c r="R16" t="s">
        <v>62</v>
      </c>
    </row>
    <row r="17" spans="1:18">
      <c r="A17">
        <v>10016</v>
      </c>
      <c r="B17" s="2">
        <v>44212</v>
      </c>
      <c r="C17" s="2">
        <v>44214</v>
      </c>
      <c r="D17" s="2">
        <v>44218</v>
      </c>
      <c r="E17" t="s">
        <v>21</v>
      </c>
      <c r="F17" t="s">
        <v>22</v>
      </c>
      <c r="G17" t="s">
        <v>27</v>
      </c>
      <c r="H17" t="s">
        <v>29</v>
      </c>
      <c r="I17" t="s">
        <v>35</v>
      </c>
      <c r="J17" t="s">
        <v>39</v>
      </c>
      <c r="K17" t="s">
        <v>46</v>
      </c>
      <c r="L17" t="s">
        <v>51</v>
      </c>
      <c r="M17">
        <v>69727</v>
      </c>
      <c r="N17">
        <v>0.04</v>
      </c>
      <c r="O17">
        <v>10871</v>
      </c>
      <c r="P17">
        <v>22</v>
      </c>
      <c r="Q17" t="s">
        <v>54</v>
      </c>
      <c r="R17" t="s">
        <v>62</v>
      </c>
    </row>
    <row r="18" spans="1:18">
      <c r="A18">
        <v>10017</v>
      </c>
      <c r="B18" s="2">
        <v>44213</v>
      </c>
      <c r="C18" s="2">
        <v>44215</v>
      </c>
      <c r="D18" s="2">
        <v>44219</v>
      </c>
      <c r="E18" t="s">
        <v>21</v>
      </c>
      <c r="F18" t="s">
        <v>22</v>
      </c>
      <c r="G18" t="s">
        <v>27</v>
      </c>
      <c r="H18" t="s">
        <v>25</v>
      </c>
      <c r="I18" t="s">
        <v>34</v>
      </c>
      <c r="J18" t="s">
        <v>42</v>
      </c>
      <c r="K18" t="s">
        <v>48</v>
      </c>
      <c r="L18" t="s">
        <v>52</v>
      </c>
      <c r="M18">
        <v>17375</v>
      </c>
      <c r="N18">
        <v>7.0000000000000007E-2</v>
      </c>
      <c r="O18">
        <v>6797</v>
      </c>
      <c r="P18">
        <v>23</v>
      </c>
      <c r="Q18" t="s">
        <v>55</v>
      </c>
      <c r="R18" t="s">
        <v>60</v>
      </c>
    </row>
    <row r="19" spans="1:18">
      <c r="A19">
        <v>10018</v>
      </c>
      <c r="B19" s="2">
        <v>44214</v>
      </c>
      <c r="C19" s="2">
        <v>44216</v>
      </c>
      <c r="D19" s="2">
        <v>44220</v>
      </c>
      <c r="E19" t="s">
        <v>19</v>
      </c>
      <c r="F19" t="s">
        <v>22</v>
      </c>
      <c r="G19" t="s">
        <v>25</v>
      </c>
      <c r="H19" t="s">
        <v>30</v>
      </c>
      <c r="I19" t="s">
        <v>35</v>
      </c>
      <c r="J19" t="s">
        <v>40</v>
      </c>
      <c r="K19" t="s">
        <v>50</v>
      </c>
      <c r="L19" t="s">
        <v>53</v>
      </c>
      <c r="M19">
        <v>3772</v>
      </c>
      <c r="N19">
        <v>0.24</v>
      </c>
      <c r="O19">
        <v>-904</v>
      </c>
      <c r="P19">
        <v>6</v>
      </c>
      <c r="Q19" t="s">
        <v>55</v>
      </c>
      <c r="R19" t="s">
        <v>60</v>
      </c>
    </row>
    <row r="20" spans="1:18">
      <c r="A20">
        <v>10019</v>
      </c>
      <c r="B20" s="2">
        <v>44215</v>
      </c>
      <c r="C20" s="2">
        <v>44217</v>
      </c>
      <c r="D20" s="2">
        <v>44221</v>
      </c>
      <c r="E20" t="s">
        <v>18</v>
      </c>
      <c r="F20" t="s">
        <v>22</v>
      </c>
      <c r="G20" t="s">
        <v>28</v>
      </c>
      <c r="H20" t="s">
        <v>32</v>
      </c>
      <c r="I20" t="s">
        <v>34</v>
      </c>
      <c r="J20" t="s">
        <v>42</v>
      </c>
      <c r="K20" t="s">
        <v>49</v>
      </c>
      <c r="L20" t="s">
        <v>52</v>
      </c>
      <c r="M20">
        <v>69011</v>
      </c>
      <c r="N20">
        <v>0.09</v>
      </c>
      <c r="O20">
        <v>13375</v>
      </c>
      <c r="P20">
        <v>17</v>
      </c>
      <c r="Q20" t="s">
        <v>54</v>
      </c>
      <c r="R20" t="s">
        <v>61</v>
      </c>
    </row>
    <row r="21" spans="1:18">
      <c r="A21">
        <v>10020</v>
      </c>
      <c r="B21" s="2">
        <v>44216</v>
      </c>
      <c r="C21" s="2">
        <v>44218</v>
      </c>
      <c r="D21" s="2">
        <v>44222</v>
      </c>
      <c r="E21" t="s">
        <v>21</v>
      </c>
      <c r="F21" t="s">
        <v>22</v>
      </c>
      <c r="G21" t="s">
        <v>24</v>
      </c>
      <c r="H21" t="s">
        <v>33</v>
      </c>
      <c r="I21" t="s">
        <v>36</v>
      </c>
      <c r="J21" t="s">
        <v>40</v>
      </c>
      <c r="K21" t="s">
        <v>49</v>
      </c>
      <c r="L21" t="s">
        <v>51</v>
      </c>
      <c r="M21">
        <v>12713</v>
      </c>
      <c r="N21">
        <v>0.01</v>
      </c>
      <c r="O21">
        <v>-1696</v>
      </c>
      <c r="P21">
        <v>11</v>
      </c>
      <c r="Q21" t="s">
        <v>58</v>
      </c>
      <c r="R21" t="s">
        <v>59</v>
      </c>
    </row>
    <row r="22" spans="1:18">
      <c r="A22">
        <v>10021</v>
      </c>
      <c r="B22" s="2">
        <v>44217</v>
      </c>
      <c r="C22" s="2">
        <v>44219</v>
      </c>
      <c r="D22" s="2">
        <v>44223</v>
      </c>
      <c r="E22" t="s">
        <v>19</v>
      </c>
      <c r="F22" t="s">
        <v>22</v>
      </c>
      <c r="G22" t="s">
        <v>27</v>
      </c>
      <c r="H22" t="s">
        <v>31</v>
      </c>
      <c r="I22" t="s">
        <v>35</v>
      </c>
      <c r="J22" t="s">
        <v>43</v>
      </c>
      <c r="K22" t="s">
        <v>48</v>
      </c>
      <c r="L22" t="s">
        <v>53</v>
      </c>
      <c r="M22">
        <v>4489</v>
      </c>
      <c r="N22">
        <v>0.15</v>
      </c>
      <c r="O22">
        <v>9784</v>
      </c>
      <c r="P22">
        <v>19</v>
      </c>
      <c r="Q22" t="s">
        <v>55</v>
      </c>
      <c r="R22" t="s">
        <v>61</v>
      </c>
    </row>
    <row r="23" spans="1:18">
      <c r="A23">
        <v>10022</v>
      </c>
      <c r="B23" s="2">
        <v>44218</v>
      </c>
      <c r="C23" s="2">
        <v>44220</v>
      </c>
      <c r="D23" s="2">
        <v>44224</v>
      </c>
      <c r="E23" t="s">
        <v>19</v>
      </c>
      <c r="F23" t="s">
        <v>22</v>
      </c>
      <c r="G23" t="s">
        <v>24</v>
      </c>
      <c r="H23" t="s">
        <v>32</v>
      </c>
      <c r="I23" t="s">
        <v>35</v>
      </c>
      <c r="J23" t="s">
        <v>41</v>
      </c>
      <c r="K23" t="s">
        <v>47</v>
      </c>
      <c r="L23" t="s">
        <v>51</v>
      </c>
      <c r="M23">
        <v>20571</v>
      </c>
      <c r="N23">
        <v>0.18</v>
      </c>
      <c r="O23">
        <v>3698</v>
      </c>
      <c r="P23">
        <v>4</v>
      </c>
      <c r="Q23" t="s">
        <v>55</v>
      </c>
      <c r="R23" t="s">
        <v>59</v>
      </c>
    </row>
    <row r="24" spans="1:18">
      <c r="A24">
        <v>10023</v>
      </c>
      <c r="B24" s="2">
        <v>44219</v>
      </c>
      <c r="C24" s="2">
        <v>44221</v>
      </c>
      <c r="D24" s="2">
        <v>44225</v>
      </c>
      <c r="E24" t="s">
        <v>18</v>
      </c>
      <c r="F24" t="s">
        <v>22</v>
      </c>
      <c r="G24" t="s">
        <v>26</v>
      </c>
      <c r="H24" t="s">
        <v>29</v>
      </c>
      <c r="I24" t="s">
        <v>34</v>
      </c>
      <c r="J24" t="s">
        <v>37</v>
      </c>
      <c r="K24" t="s">
        <v>49</v>
      </c>
      <c r="L24" t="s">
        <v>51</v>
      </c>
      <c r="M24">
        <v>30455</v>
      </c>
      <c r="N24">
        <v>0.2</v>
      </c>
      <c r="O24">
        <v>618</v>
      </c>
      <c r="P24">
        <v>15</v>
      </c>
      <c r="Q24" t="s">
        <v>55</v>
      </c>
      <c r="R24" t="s">
        <v>61</v>
      </c>
    </row>
    <row r="25" spans="1:18">
      <c r="A25">
        <v>10024</v>
      </c>
      <c r="B25" s="2">
        <v>44220</v>
      </c>
      <c r="C25" s="2">
        <v>44222</v>
      </c>
      <c r="D25" s="2">
        <v>44226</v>
      </c>
      <c r="E25" t="s">
        <v>18</v>
      </c>
      <c r="F25" t="s">
        <v>22</v>
      </c>
      <c r="G25" t="s">
        <v>23</v>
      </c>
      <c r="H25" t="s">
        <v>32</v>
      </c>
      <c r="I25" t="s">
        <v>35</v>
      </c>
      <c r="J25" t="s">
        <v>42</v>
      </c>
      <c r="K25" t="s">
        <v>46</v>
      </c>
      <c r="L25" t="s">
        <v>53</v>
      </c>
      <c r="M25">
        <v>69865</v>
      </c>
      <c r="N25">
        <v>0.17</v>
      </c>
      <c r="O25">
        <v>5590</v>
      </c>
      <c r="P25">
        <v>11</v>
      </c>
      <c r="Q25" t="s">
        <v>58</v>
      </c>
      <c r="R25" t="s">
        <v>59</v>
      </c>
    </row>
    <row r="26" spans="1:18">
      <c r="A26">
        <v>10025</v>
      </c>
      <c r="B26" s="2">
        <v>44221</v>
      </c>
      <c r="C26" s="2">
        <v>44223</v>
      </c>
      <c r="D26" s="2">
        <v>44227</v>
      </c>
      <c r="E26" t="s">
        <v>19</v>
      </c>
      <c r="F26" t="s">
        <v>22</v>
      </c>
      <c r="G26" t="s">
        <v>27</v>
      </c>
      <c r="H26" t="s">
        <v>33</v>
      </c>
      <c r="I26" t="s">
        <v>34</v>
      </c>
      <c r="J26" t="s">
        <v>39</v>
      </c>
      <c r="K26" t="s">
        <v>48</v>
      </c>
      <c r="L26" t="s">
        <v>51</v>
      </c>
      <c r="M26">
        <v>22553</v>
      </c>
      <c r="N26">
        <v>0.12</v>
      </c>
      <c r="O26">
        <v>1951</v>
      </c>
      <c r="P26">
        <v>8</v>
      </c>
      <c r="Q26" t="s">
        <v>56</v>
      </c>
      <c r="R26" t="s">
        <v>62</v>
      </c>
    </row>
    <row r="27" spans="1:18">
      <c r="A27">
        <v>10026</v>
      </c>
      <c r="B27" s="2">
        <v>44222</v>
      </c>
      <c r="C27" s="2">
        <v>44224</v>
      </c>
      <c r="D27" s="2">
        <v>44228</v>
      </c>
      <c r="E27" t="s">
        <v>19</v>
      </c>
      <c r="F27" t="s">
        <v>22</v>
      </c>
      <c r="G27" t="s">
        <v>27</v>
      </c>
      <c r="H27" t="s">
        <v>29</v>
      </c>
      <c r="I27" t="s">
        <v>35</v>
      </c>
      <c r="J27" t="s">
        <v>43</v>
      </c>
      <c r="K27" t="s">
        <v>46</v>
      </c>
      <c r="L27" t="s">
        <v>53</v>
      </c>
      <c r="M27">
        <v>59493</v>
      </c>
      <c r="N27">
        <v>0.15</v>
      </c>
      <c r="O27">
        <v>13178</v>
      </c>
      <c r="P27">
        <v>20</v>
      </c>
      <c r="Q27" t="s">
        <v>57</v>
      </c>
      <c r="R27" t="s">
        <v>61</v>
      </c>
    </row>
    <row r="28" spans="1:18">
      <c r="A28">
        <v>10027</v>
      </c>
      <c r="B28" s="2">
        <v>44223</v>
      </c>
      <c r="C28" s="2">
        <v>44225</v>
      </c>
      <c r="D28" s="2">
        <v>44229</v>
      </c>
      <c r="E28" t="s">
        <v>18</v>
      </c>
      <c r="F28" t="s">
        <v>22</v>
      </c>
      <c r="G28" t="s">
        <v>23</v>
      </c>
      <c r="H28" t="s">
        <v>31</v>
      </c>
      <c r="I28" t="s">
        <v>35</v>
      </c>
      <c r="J28" t="s">
        <v>39</v>
      </c>
      <c r="K28" t="s">
        <v>44</v>
      </c>
      <c r="L28" t="s">
        <v>53</v>
      </c>
      <c r="M28">
        <v>29882</v>
      </c>
      <c r="N28">
        <v>0.16</v>
      </c>
      <c r="O28">
        <v>10738</v>
      </c>
      <c r="P28">
        <v>9</v>
      </c>
      <c r="Q28" t="s">
        <v>56</v>
      </c>
      <c r="R28" t="s">
        <v>62</v>
      </c>
    </row>
    <row r="29" spans="1:18">
      <c r="A29">
        <v>10028</v>
      </c>
      <c r="B29" s="2">
        <v>44224</v>
      </c>
      <c r="C29" s="2">
        <v>44226</v>
      </c>
      <c r="D29" s="2">
        <v>44230</v>
      </c>
      <c r="E29" t="s">
        <v>18</v>
      </c>
      <c r="F29" t="s">
        <v>22</v>
      </c>
      <c r="G29" t="s">
        <v>24</v>
      </c>
      <c r="H29" t="s">
        <v>30</v>
      </c>
      <c r="I29" t="s">
        <v>34</v>
      </c>
      <c r="J29" t="s">
        <v>40</v>
      </c>
      <c r="K29" t="s">
        <v>49</v>
      </c>
      <c r="L29" t="s">
        <v>52</v>
      </c>
      <c r="M29">
        <v>58069</v>
      </c>
      <c r="N29">
        <v>0.04</v>
      </c>
      <c r="O29">
        <v>4892</v>
      </c>
      <c r="P29">
        <v>6</v>
      </c>
      <c r="Q29" t="s">
        <v>58</v>
      </c>
      <c r="R29" t="s">
        <v>59</v>
      </c>
    </row>
    <row r="30" spans="1:18">
      <c r="A30">
        <v>10029</v>
      </c>
      <c r="B30" s="2">
        <v>44225</v>
      </c>
      <c r="C30" s="2">
        <v>44227</v>
      </c>
      <c r="D30" s="2">
        <v>44231</v>
      </c>
      <c r="E30" t="s">
        <v>21</v>
      </c>
      <c r="F30" t="s">
        <v>22</v>
      </c>
      <c r="G30" t="s">
        <v>24</v>
      </c>
      <c r="H30" t="s">
        <v>29</v>
      </c>
      <c r="I30" t="s">
        <v>34</v>
      </c>
      <c r="J30" t="s">
        <v>37</v>
      </c>
      <c r="K30" t="s">
        <v>49</v>
      </c>
      <c r="L30" t="s">
        <v>53</v>
      </c>
      <c r="M30">
        <v>20697</v>
      </c>
      <c r="N30">
        <v>0.36</v>
      </c>
      <c r="O30">
        <v>18593</v>
      </c>
      <c r="P30">
        <v>10</v>
      </c>
      <c r="Q30" t="s">
        <v>58</v>
      </c>
      <c r="R30" t="s">
        <v>61</v>
      </c>
    </row>
    <row r="31" spans="1:18">
      <c r="A31">
        <v>10030</v>
      </c>
      <c r="B31" s="2">
        <v>44226</v>
      </c>
      <c r="C31" s="2">
        <v>44228</v>
      </c>
      <c r="D31" s="2">
        <v>44232</v>
      </c>
      <c r="E31" t="s">
        <v>21</v>
      </c>
      <c r="F31" t="s">
        <v>22</v>
      </c>
      <c r="G31" t="s">
        <v>27</v>
      </c>
      <c r="H31" t="s">
        <v>30</v>
      </c>
      <c r="I31" t="s">
        <v>35</v>
      </c>
      <c r="J31" t="s">
        <v>41</v>
      </c>
      <c r="K31" t="s">
        <v>45</v>
      </c>
      <c r="L31" t="s">
        <v>51</v>
      </c>
      <c r="M31">
        <v>46987</v>
      </c>
      <c r="N31">
        <v>0.31</v>
      </c>
      <c r="O31">
        <v>17640</v>
      </c>
      <c r="P31">
        <v>1</v>
      </c>
      <c r="Q31" t="s">
        <v>58</v>
      </c>
      <c r="R31" t="s">
        <v>62</v>
      </c>
    </row>
    <row r="32" spans="1:18">
      <c r="A32">
        <v>10031</v>
      </c>
      <c r="B32" s="2">
        <v>44227</v>
      </c>
      <c r="C32" s="2">
        <v>44229</v>
      </c>
      <c r="D32" s="2">
        <v>44233</v>
      </c>
      <c r="E32" t="s">
        <v>18</v>
      </c>
      <c r="F32" t="s">
        <v>22</v>
      </c>
      <c r="G32" t="s">
        <v>27</v>
      </c>
      <c r="H32" t="s">
        <v>32</v>
      </c>
      <c r="I32" t="s">
        <v>36</v>
      </c>
      <c r="J32" t="s">
        <v>38</v>
      </c>
      <c r="K32" t="s">
        <v>45</v>
      </c>
      <c r="L32" t="s">
        <v>51</v>
      </c>
      <c r="M32">
        <v>10383</v>
      </c>
      <c r="N32">
        <v>0.16</v>
      </c>
      <c r="O32">
        <v>4020</v>
      </c>
      <c r="P32">
        <v>1</v>
      </c>
      <c r="Q32" t="s">
        <v>57</v>
      </c>
      <c r="R32" t="s">
        <v>59</v>
      </c>
    </row>
    <row r="33" spans="1:18">
      <c r="A33">
        <v>10032</v>
      </c>
      <c r="B33" s="2">
        <v>44228</v>
      </c>
      <c r="C33" s="2">
        <v>44230</v>
      </c>
      <c r="D33" s="2">
        <v>44234</v>
      </c>
      <c r="E33" t="s">
        <v>19</v>
      </c>
      <c r="F33" t="s">
        <v>22</v>
      </c>
      <c r="G33" t="s">
        <v>24</v>
      </c>
      <c r="H33" t="s">
        <v>32</v>
      </c>
      <c r="I33" t="s">
        <v>36</v>
      </c>
      <c r="J33" t="s">
        <v>39</v>
      </c>
      <c r="K33" t="s">
        <v>45</v>
      </c>
      <c r="L33" t="s">
        <v>53</v>
      </c>
      <c r="M33">
        <v>51793</v>
      </c>
      <c r="N33">
        <v>0.08</v>
      </c>
      <c r="O33">
        <v>19126</v>
      </c>
      <c r="P33">
        <v>24</v>
      </c>
      <c r="Q33" t="s">
        <v>58</v>
      </c>
      <c r="R33" t="s">
        <v>60</v>
      </c>
    </row>
    <row r="34" spans="1:18">
      <c r="A34">
        <v>10033</v>
      </c>
      <c r="B34" s="2">
        <v>44229</v>
      </c>
      <c r="C34" s="2">
        <v>44231</v>
      </c>
      <c r="D34" s="2">
        <v>44235</v>
      </c>
      <c r="E34" t="s">
        <v>19</v>
      </c>
      <c r="F34" t="s">
        <v>22</v>
      </c>
      <c r="G34" t="s">
        <v>28</v>
      </c>
      <c r="H34" t="s">
        <v>30</v>
      </c>
      <c r="I34" t="s">
        <v>35</v>
      </c>
      <c r="J34" t="s">
        <v>42</v>
      </c>
      <c r="K34" t="s">
        <v>50</v>
      </c>
      <c r="L34" t="s">
        <v>53</v>
      </c>
      <c r="M34">
        <v>57387</v>
      </c>
      <c r="N34">
        <v>0.25</v>
      </c>
      <c r="O34">
        <v>13581</v>
      </c>
      <c r="P34">
        <v>14</v>
      </c>
      <c r="Q34" t="s">
        <v>57</v>
      </c>
      <c r="R34" t="s">
        <v>59</v>
      </c>
    </row>
    <row r="35" spans="1:18">
      <c r="A35">
        <v>10034</v>
      </c>
      <c r="B35" s="2">
        <v>44230</v>
      </c>
      <c r="C35" s="2">
        <v>44232</v>
      </c>
      <c r="D35" s="2">
        <v>44236</v>
      </c>
      <c r="E35" t="s">
        <v>18</v>
      </c>
      <c r="F35" t="s">
        <v>22</v>
      </c>
      <c r="G35" t="s">
        <v>27</v>
      </c>
      <c r="H35" t="s">
        <v>29</v>
      </c>
      <c r="I35" t="s">
        <v>35</v>
      </c>
      <c r="J35" t="s">
        <v>37</v>
      </c>
      <c r="K35" t="s">
        <v>44</v>
      </c>
      <c r="L35" t="s">
        <v>52</v>
      </c>
      <c r="M35">
        <v>58866</v>
      </c>
      <c r="N35">
        <v>0.03</v>
      </c>
      <c r="O35">
        <v>17721</v>
      </c>
      <c r="P35">
        <v>18</v>
      </c>
      <c r="Q35" t="s">
        <v>58</v>
      </c>
      <c r="R35" t="s">
        <v>60</v>
      </c>
    </row>
    <row r="36" spans="1:18">
      <c r="A36">
        <v>10035</v>
      </c>
      <c r="B36" s="2">
        <v>44231</v>
      </c>
      <c r="C36" s="2">
        <v>44233</v>
      </c>
      <c r="D36" s="2">
        <v>44237</v>
      </c>
      <c r="E36" t="s">
        <v>20</v>
      </c>
      <c r="F36" t="s">
        <v>22</v>
      </c>
      <c r="G36" t="s">
        <v>24</v>
      </c>
      <c r="H36" t="s">
        <v>30</v>
      </c>
      <c r="I36" t="s">
        <v>36</v>
      </c>
      <c r="J36" t="s">
        <v>37</v>
      </c>
      <c r="K36" t="s">
        <v>44</v>
      </c>
      <c r="L36" t="s">
        <v>51</v>
      </c>
      <c r="M36">
        <v>47675</v>
      </c>
      <c r="N36">
        <v>0.23</v>
      </c>
      <c r="O36">
        <v>9184</v>
      </c>
      <c r="P36">
        <v>5</v>
      </c>
      <c r="Q36" t="s">
        <v>56</v>
      </c>
      <c r="R36" t="s">
        <v>60</v>
      </c>
    </row>
    <row r="37" spans="1:18">
      <c r="A37">
        <v>10036</v>
      </c>
      <c r="B37" s="2">
        <v>44232</v>
      </c>
      <c r="C37" s="2">
        <v>44234</v>
      </c>
      <c r="D37" s="2">
        <v>44238</v>
      </c>
      <c r="E37" t="s">
        <v>19</v>
      </c>
      <c r="F37" t="s">
        <v>22</v>
      </c>
      <c r="G37" t="s">
        <v>28</v>
      </c>
      <c r="H37" t="s">
        <v>30</v>
      </c>
      <c r="I37" t="s">
        <v>36</v>
      </c>
      <c r="J37" t="s">
        <v>41</v>
      </c>
      <c r="K37" t="s">
        <v>46</v>
      </c>
      <c r="L37" t="s">
        <v>52</v>
      </c>
      <c r="M37">
        <v>64661</v>
      </c>
      <c r="N37">
        <v>0.05</v>
      </c>
      <c r="O37">
        <v>7131</v>
      </c>
      <c r="P37">
        <v>6</v>
      </c>
      <c r="Q37" t="s">
        <v>57</v>
      </c>
      <c r="R37" t="s">
        <v>61</v>
      </c>
    </row>
    <row r="38" spans="1:18">
      <c r="A38">
        <v>10037</v>
      </c>
      <c r="B38" s="2">
        <v>44233</v>
      </c>
      <c r="C38" s="2">
        <v>44235</v>
      </c>
      <c r="D38" s="2">
        <v>44239</v>
      </c>
      <c r="E38" t="s">
        <v>19</v>
      </c>
      <c r="F38" t="s">
        <v>22</v>
      </c>
      <c r="G38" t="s">
        <v>23</v>
      </c>
      <c r="H38" t="s">
        <v>30</v>
      </c>
      <c r="I38" t="s">
        <v>34</v>
      </c>
      <c r="J38" t="s">
        <v>39</v>
      </c>
      <c r="K38" t="s">
        <v>48</v>
      </c>
      <c r="L38" t="s">
        <v>53</v>
      </c>
      <c r="M38">
        <v>68282</v>
      </c>
      <c r="N38">
        <v>0.1</v>
      </c>
      <c r="O38">
        <v>5251</v>
      </c>
      <c r="P38">
        <v>8</v>
      </c>
      <c r="Q38" t="s">
        <v>56</v>
      </c>
      <c r="R38" t="s">
        <v>62</v>
      </c>
    </row>
    <row r="39" spans="1:18">
      <c r="A39">
        <v>10038</v>
      </c>
      <c r="B39" s="2">
        <v>44234</v>
      </c>
      <c r="C39" s="2">
        <v>44236</v>
      </c>
      <c r="D39" s="2">
        <v>44240</v>
      </c>
      <c r="E39" t="s">
        <v>18</v>
      </c>
      <c r="F39" t="s">
        <v>22</v>
      </c>
      <c r="G39" t="s">
        <v>28</v>
      </c>
      <c r="H39" t="s">
        <v>31</v>
      </c>
      <c r="I39" t="s">
        <v>34</v>
      </c>
      <c r="J39" t="s">
        <v>43</v>
      </c>
      <c r="K39" t="s">
        <v>45</v>
      </c>
      <c r="L39" t="s">
        <v>52</v>
      </c>
      <c r="M39">
        <v>57286</v>
      </c>
      <c r="N39">
        <v>0.06</v>
      </c>
      <c r="O39">
        <v>2253</v>
      </c>
      <c r="P39">
        <v>18</v>
      </c>
      <c r="Q39" t="s">
        <v>58</v>
      </c>
      <c r="R39" t="s">
        <v>62</v>
      </c>
    </row>
    <row r="40" spans="1:18">
      <c r="A40">
        <v>10039</v>
      </c>
      <c r="B40" s="2">
        <v>44235</v>
      </c>
      <c r="C40" s="2">
        <v>44237</v>
      </c>
      <c r="D40" s="2">
        <v>44241</v>
      </c>
      <c r="E40" t="s">
        <v>20</v>
      </c>
      <c r="F40" t="s">
        <v>22</v>
      </c>
      <c r="G40" t="s">
        <v>24</v>
      </c>
      <c r="H40" t="s">
        <v>30</v>
      </c>
      <c r="I40" t="s">
        <v>36</v>
      </c>
      <c r="J40" t="s">
        <v>43</v>
      </c>
      <c r="K40" t="s">
        <v>47</v>
      </c>
      <c r="L40" t="s">
        <v>52</v>
      </c>
      <c r="M40">
        <v>18920</v>
      </c>
      <c r="N40">
        <v>0.02</v>
      </c>
      <c r="O40">
        <v>-1617</v>
      </c>
      <c r="P40">
        <v>1</v>
      </c>
      <c r="Q40" t="s">
        <v>57</v>
      </c>
      <c r="R40" t="s">
        <v>59</v>
      </c>
    </row>
    <row r="41" spans="1:18">
      <c r="A41">
        <v>10040</v>
      </c>
      <c r="B41" s="2">
        <v>44236</v>
      </c>
      <c r="C41" s="2">
        <v>44238</v>
      </c>
      <c r="D41" s="2">
        <v>44242</v>
      </c>
      <c r="E41" t="s">
        <v>19</v>
      </c>
      <c r="F41" t="s">
        <v>22</v>
      </c>
      <c r="G41" t="s">
        <v>25</v>
      </c>
      <c r="H41" t="s">
        <v>25</v>
      </c>
      <c r="I41" t="s">
        <v>34</v>
      </c>
      <c r="J41" t="s">
        <v>37</v>
      </c>
      <c r="K41" t="s">
        <v>47</v>
      </c>
      <c r="L41" t="s">
        <v>52</v>
      </c>
      <c r="M41">
        <v>1636</v>
      </c>
      <c r="N41">
        <v>0.16</v>
      </c>
      <c r="O41">
        <v>15868</v>
      </c>
      <c r="P41">
        <v>7</v>
      </c>
      <c r="Q41" t="s">
        <v>54</v>
      </c>
      <c r="R41" t="s">
        <v>61</v>
      </c>
    </row>
    <row r="42" spans="1:18">
      <c r="A42">
        <v>10041</v>
      </c>
      <c r="B42" s="2">
        <v>44237</v>
      </c>
      <c r="C42" s="2">
        <v>44239</v>
      </c>
      <c r="D42" s="2">
        <v>44243</v>
      </c>
      <c r="E42" t="s">
        <v>18</v>
      </c>
      <c r="F42" t="s">
        <v>22</v>
      </c>
      <c r="G42" t="s">
        <v>27</v>
      </c>
      <c r="H42" t="s">
        <v>33</v>
      </c>
      <c r="I42" t="s">
        <v>35</v>
      </c>
      <c r="J42" t="s">
        <v>40</v>
      </c>
      <c r="K42" t="s">
        <v>47</v>
      </c>
      <c r="L42" t="s">
        <v>52</v>
      </c>
      <c r="M42">
        <v>46789</v>
      </c>
      <c r="N42">
        <v>0.19</v>
      </c>
      <c r="O42">
        <v>3620</v>
      </c>
      <c r="P42">
        <v>21</v>
      </c>
      <c r="Q42" t="s">
        <v>55</v>
      </c>
      <c r="R42" t="s">
        <v>59</v>
      </c>
    </row>
    <row r="43" spans="1:18">
      <c r="A43">
        <v>10042</v>
      </c>
      <c r="B43" s="2">
        <v>44238</v>
      </c>
      <c r="C43" s="2">
        <v>44240</v>
      </c>
      <c r="D43" s="2">
        <v>44244</v>
      </c>
      <c r="E43" t="s">
        <v>20</v>
      </c>
      <c r="F43" t="s">
        <v>22</v>
      </c>
      <c r="G43" t="s">
        <v>27</v>
      </c>
      <c r="H43" t="s">
        <v>25</v>
      </c>
      <c r="I43" t="s">
        <v>35</v>
      </c>
      <c r="J43" t="s">
        <v>37</v>
      </c>
      <c r="K43" t="s">
        <v>48</v>
      </c>
      <c r="L43" t="s">
        <v>52</v>
      </c>
      <c r="M43">
        <v>53074</v>
      </c>
      <c r="N43">
        <v>0.08</v>
      </c>
      <c r="O43">
        <v>11223</v>
      </c>
      <c r="P43">
        <v>9</v>
      </c>
      <c r="Q43" t="s">
        <v>56</v>
      </c>
      <c r="R43" t="s">
        <v>61</v>
      </c>
    </row>
    <row r="44" spans="1:18">
      <c r="A44">
        <v>10043</v>
      </c>
      <c r="B44" s="2">
        <v>44239</v>
      </c>
      <c r="C44" s="2">
        <v>44241</v>
      </c>
      <c r="D44" s="2">
        <v>44245</v>
      </c>
      <c r="E44" t="s">
        <v>19</v>
      </c>
      <c r="F44" t="s">
        <v>22</v>
      </c>
      <c r="G44" t="s">
        <v>24</v>
      </c>
      <c r="H44" t="s">
        <v>29</v>
      </c>
      <c r="I44" t="s">
        <v>35</v>
      </c>
      <c r="J44" t="s">
        <v>41</v>
      </c>
      <c r="K44" t="s">
        <v>47</v>
      </c>
      <c r="L44" t="s">
        <v>51</v>
      </c>
      <c r="M44">
        <v>49792</v>
      </c>
      <c r="N44">
        <v>0.4</v>
      </c>
      <c r="O44">
        <v>667</v>
      </c>
      <c r="P44">
        <v>3</v>
      </c>
      <c r="Q44" t="s">
        <v>58</v>
      </c>
      <c r="R44" t="s">
        <v>61</v>
      </c>
    </row>
    <row r="45" spans="1:18">
      <c r="A45">
        <v>10044</v>
      </c>
      <c r="B45" s="2">
        <v>44240</v>
      </c>
      <c r="C45" s="2">
        <v>44242</v>
      </c>
      <c r="D45" s="2">
        <v>44246</v>
      </c>
      <c r="E45" t="s">
        <v>21</v>
      </c>
      <c r="F45" t="s">
        <v>22</v>
      </c>
      <c r="G45" t="s">
        <v>26</v>
      </c>
      <c r="H45" t="s">
        <v>30</v>
      </c>
      <c r="I45" t="s">
        <v>35</v>
      </c>
      <c r="J45" t="s">
        <v>40</v>
      </c>
      <c r="K45" t="s">
        <v>49</v>
      </c>
      <c r="L45" t="s">
        <v>51</v>
      </c>
      <c r="M45">
        <v>19171</v>
      </c>
      <c r="N45">
        <v>0.36</v>
      </c>
      <c r="O45">
        <v>9916</v>
      </c>
      <c r="P45">
        <v>17</v>
      </c>
      <c r="Q45" t="s">
        <v>55</v>
      </c>
      <c r="R45" t="s">
        <v>61</v>
      </c>
    </row>
    <row r="46" spans="1:18">
      <c r="A46">
        <v>10045</v>
      </c>
      <c r="B46" s="2">
        <v>44241</v>
      </c>
      <c r="C46" s="2">
        <v>44243</v>
      </c>
      <c r="D46" s="2">
        <v>44247</v>
      </c>
      <c r="E46" t="s">
        <v>19</v>
      </c>
      <c r="F46" t="s">
        <v>22</v>
      </c>
      <c r="G46" t="s">
        <v>28</v>
      </c>
      <c r="H46" t="s">
        <v>33</v>
      </c>
      <c r="I46" t="s">
        <v>34</v>
      </c>
      <c r="J46" t="s">
        <v>37</v>
      </c>
      <c r="K46" t="s">
        <v>49</v>
      </c>
      <c r="L46" t="s">
        <v>53</v>
      </c>
      <c r="M46">
        <v>29045</v>
      </c>
      <c r="N46">
        <v>0.28000000000000003</v>
      </c>
      <c r="O46">
        <v>13693</v>
      </c>
      <c r="P46">
        <v>12</v>
      </c>
      <c r="Q46" t="s">
        <v>54</v>
      </c>
      <c r="R46" t="s">
        <v>59</v>
      </c>
    </row>
    <row r="47" spans="1:18">
      <c r="A47">
        <v>10046</v>
      </c>
      <c r="B47" s="2">
        <v>44242</v>
      </c>
      <c r="C47" s="2">
        <v>44244</v>
      </c>
      <c r="D47" s="2">
        <v>44248</v>
      </c>
      <c r="E47" t="s">
        <v>20</v>
      </c>
      <c r="F47" t="s">
        <v>22</v>
      </c>
      <c r="G47" t="s">
        <v>27</v>
      </c>
      <c r="H47" t="s">
        <v>25</v>
      </c>
      <c r="I47" t="s">
        <v>36</v>
      </c>
      <c r="J47" t="s">
        <v>40</v>
      </c>
      <c r="K47" t="s">
        <v>50</v>
      </c>
      <c r="L47" t="s">
        <v>53</v>
      </c>
      <c r="M47">
        <v>71214</v>
      </c>
      <c r="N47">
        <v>0.31</v>
      </c>
      <c r="O47">
        <v>6553</v>
      </c>
      <c r="P47">
        <v>1</v>
      </c>
      <c r="Q47" t="s">
        <v>54</v>
      </c>
      <c r="R47" t="s">
        <v>59</v>
      </c>
    </row>
    <row r="48" spans="1:18">
      <c r="A48">
        <v>10047</v>
      </c>
      <c r="B48" s="2">
        <v>44243</v>
      </c>
      <c r="C48" s="2">
        <v>44245</v>
      </c>
      <c r="D48" s="2">
        <v>44249</v>
      </c>
      <c r="E48" t="s">
        <v>21</v>
      </c>
      <c r="F48" t="s">
        <v>22</v>
      </c>
      <c r="G48" t="s">
        <v>23</v>
      </c>
      <c r="H48" t="s">
        <v>33</v>
      </c>
      <c r="I48" t="s">
        <v>36</v>
      </c>
      <c r="J48" t="s">
        <v>38</v>
      </c>
      <c r="K48" t="s">
        <v>47</v>
      </c>
      <c r="L48" t="s">
        <v>52</v>
      </c>
      <c r="M48">
        <v>43748</v>
      </c>
      <c r="N48">
        <v>0.05</v>
      </c>
      <c r="O48">
        <v>90</v>
      </c>
      <c r="P48">
        <v>22</v>
      </c>
      <c r="Q48" t="s">
        <v>56</v>
      </c>
      <c r="R48" t="s">
        <v>61</v>
      </c>
    </row>
    <row r="49" spans="1:18">
      <c r="A49">
        <v>10048</v>
      </c>
      <c r="B49" s="2">
        <v>44244</v>
      </c>
      <c r="C49" s="2">
        <v>44246</v>
      </c>
      <c r="D49" s="2">
        <v>44250</v>
      </c>
      <c r="E49" t="s">
        <v>21</v>
      </c>
      <c r="F49" t="s">
        <v>22</v>
      </c>
      <c r="G49" t="s">
        <v>28</v>
      </c>
      <c r="H49" t="s">
        <v>30</v>
      </c>
      <c r="I49" t="s">
        <v>35</v>
      </c>
      <c r="J49" t="s">
        <v>42</v>
      </c>
      <c r="K49" t="s">
        <v>48</v>
      </c>
      <c r="L49" t="s">
        <v>51</v>
      </c>
      <c r="M49">
        <v>5025</v>
      </c>
      <c r="N49">
        <v>0.3</v>
      </c>
      <c r="O49">
        <v>11035</v>
      </c>
      <c r="P49">
        <v>7</v>
      </c>
      <c r="Q49" t="s">
        <v>54</v>
      </c>
      <c r="R49" t="s">
        <v>61</v>
      </c>
    </row>
    <row r="50" spans="1:18">
      <c r="A50">
        <v>10049</v>
      </c>
      <c r="B50" s="2">
        <v>44245</v>
      </c>
      <c r="C50" s="2">
        <v>44247</v>
      </c>
      <c r="D50" s="2">
        <v>44251</v>
      </c>
      <c r="E50" t="s">
        <v>19</v>
      </c>
      <c r="F50" t="s">
        <v>22</v>
      </c>
      <c r="G50" t="s">
        <v>27</v>
      </c>
      <c r="H50" t="s">
        <v>32</v>
      </c>
      <c r="I50" t="s">
        <v>34</v>
      </c>
      <c r="J50" t="s">
        <v>43</v>
      </c>
      <c r="K50" t="s">
        <v>50</v>
      </c>
      <c r="L50" t="s">
        <v>53</v>
      </c>
      <c r="M50">
        <v>49243</v>
      </c>
      <c r="N50">
        <v>0.35</v>
      </c>
      <c r="O50">
        <v>18984</v>
      </c>
      <c r="P50">
        <v>19</v>
      </c>
      <c r="Q50" t="s">
        <v>56</v>
      </c>
      <c r="R50" t="s">
        <v>62</v>
      </c>
    </row>
    <row r="51" spans="1:18">
      <c r="A51">
        <v>10050</v>
      </c>
      <c r="B51" s="2">
        <v>44246</v>
      </c>
      <c r="C51" s="2">
        <v>44248</v>
      </c>
      <c r="D51" s="2">
        <v>44252</v>
      </c>
      <c r="E51" t="s">
        <v>21</v>
      </c>
      <c r="F51" t="s">
        <v>22</v>
      </c>
      <c r="G51" t="s">
        <v>24</v>
      </c>
      <c r="H51" t="s">
        <v>32</v>
      </c>
      <c r="I51" t="s">
        <v>34</v>
      </c>
      <c r="J51" t="s">
        <v>41</v>
      </c>
      <c r="K51" t="s">
        <v>46</v>
      </c>
      <c r="L51" t="s">
        <v>53</v>
      </c>
      <c r="M51">
        <v>17265</v>
      </c>
      <c r="N51">
        <v>0.35</v>
      </c>
      <c r="O51">
        <v>8237</v>
      </c>
      <c r="P51">
        <v>8</v>
      </c>
      <c r="Q51" t="s">
        <v>58</v>
      </c>
      <c r="R51" t="s">
        <v>62</v>
      </c>
    </row>
    <row r="52" spans="1:18">
      <c r="A52">
        <v>10051</v>
      </c>
      <c r="B52" s="2">
        <v>44247</v>
      </c>
      <c r="C52" s="2">
        <v>44249</v>
      </c>
      <c r="D52" s="2">
        <v>44253</v>
      </c>
      <c r="E52" t="s">
        <v>20</v>
      </c>
      <c r="F52" t="s">
        <v>22</v>
      </c>
      <c r="G52" t="s">
        <v>23</v>
      </c>
      <c r="H52" t="s">
        <v>29</v>
      </c>
      <c r="I52" t="s">
        <v>36</v>
      </c>
      <c r="J52" t="s">
        <v>43</v>
      </c>
      <c r="K52" t="s">
        <v>48</v>
      </c>
      <c r="L52" t="s">
        <v>52</v>
      </c>
      <c r="M52">
        <v>24430</v>
      </c>
      <c r="N52">
        <v>0.25</v>
      </c>
      <c r="O52">
        <v>13332</v>
      </c>
      <c r="P52">
        <v>16</v>
      </c>
      <c r="Q52" t="s">
        <v>58</v>
      </c>
      <c r="R52" t="s">
        <v>59</v>
      </c>
    </row>
    <row r="53" spans="1:18">
      <c r="A53">
        <v>10052</v>
      </c>
      <c r="B53" s="2">
        <v>44248</v>
      </c>
      <c r="C53" s="2">
        <v>44250</v>
      </c>
      <c r="D53" s="2">
        <v>44254</v>
      </c>
      <c r="E53" t="s">
        <v>18</v>
      </c>
      <c r="F53" t="s">
        <v>22</v>
      </c>
      <c r="G53" t="s">
        <v>23</v>
      </c>
      <c r="H53" t="s">
        <v>29</v>
      </c>
      <c r="I53" t="s">
        <v>34</v>
      </c>
      <c r="J53" t="s">
        <v>42</v>
      </c>
      <c r="K53" t="s">
        <v>46</v>
      </c>
      <c r="L53" t="s">
        <v>53</v>
      </c>
      <c r="M53">
        <v>3543</v>
      </c>
      <c r="N53">
        <v>0.11</v>
      </c>
      <c r="O53">
        <v>14094</v>
      </c>
      <c r="P53">
        <v>24</v>
      </c>
      <c r="Q53" t="s">
        <v>57</v>
      </c>
      <c r="R53" t="s">
        <v>59</v>
      </c>
    </row>
    <row r="54" spans="1:18">
      <c r="A54">
        <v>10053</v>
      </c>
      <c r="B54" s="2">
        <v>44249</v>
      </c>
      <c r="C54" s="2">
        <v>44251</v>
      </c>
      <c r="D54" s="2">
        <v>44255</v>
      </c>
      <c r="E54" t="s">
        <v>18</v>
      </c>
      <c r="F54" t="s">
        <v>22</v>
      </c>
      <c r="G54" t="s">
        <v>26</v>
      </c>
      <c r="H54" t="s">
        <v>32</v>
      </c>
      <c r="I54" t="s">
        <v>36</v>
      </c>
      <c r="J54" t="s">
        <v>40</v>
      </c>
      <c r="K54" t="s">
        <v>45</v>
      </c>
      <c r="L54" t="s">
        <v>53</v>
      </c>
      <c r="M54">
        <v>34319</v>
      </c>
      <c r="N54">
        <v>0.08</v>
      </c>
      <c r="O54">
        <v>8486</v>
      </c>
      <c r="P54">
        <v>10</v>
      </c>
      <c r="Q54" t="s">
        <v>56</v>
      </c>
      <c r="R54" t="s">
        <v>60</v>
      </c>
    </row>
    <row r="55" spans="1:18">
      <c r="A55">
        <v>10054</v>
      </c>
      <c r="B55" s="2">
        <v>44250</v>
      </c>
      <c r="C55" s="2">
        <v>44252</v>
      </c>
      <c r="D55" s="2">
        <v>44256</v>
      </c>
      <c r="E55" t="s">
        <v>18</v>
      </c>
      <c r="F55" t="s">
        <v>22</v>
      </c>
      <c r="G55" t="s">
        <v>25</v>
      </c>
      <c r="H55" t="s">
        <v>29</v>
      </c>
      <c r="I55" t="s">
        <v>35</v>
      </c>
      <c r="J55" t="s">
        <v>42</v>
      </c>
      <c r="K55" t="s">
        <v>44</v>
      </c>
      <c r="L55" t="s">
        <v>52</v>
      </c>
      <c r="M55">
        <v>29370</v>
      </c>
      <c r="N55">
        <v>0.06</v>
      </c>
      <c r="O55">
        <v>18900</v>
      </c>
      <c r="P55">
        <v>9</v>
      </c>
      <c r="Q55" t="s">
        <v>56</v>
      </c>
      <c r="R55" t="s">
        <v>62</v>
      </c>
    </row>
    <row r="56" spans="1:18">
      <c r="A56">
        <v>10055</v>
      </c>
      <c r="B56" s="2">
        <v>44251</v>
      </c>
      <c r="C56" s="2">
        <v>44253</v>
      </c>
      <c r="D56" s="2">
        <v>44257</v>
      </c>
      <c r="E56" t="s">
        <v>19</v>
      </c>
      <c r="F56" t="s">
        <v>22</v>
      </c>
      <c r="G56" t="s">
        <v>23</v>
      </c>
      <c r="H56" t="s">
        <v>30</v>
      </c>
      <c r="I56" t="s">
        <v>35</v>
      </c>
      <c r="J56" t="s">
        <v>37</v>
      </c>
      <c r="K56" t="s">
        <v>50</v>
      </c>
      <c r="L56" t="s">
        <v>53</v>
      </c>
      <c r="M56">
        <v>8876</v>
      </c>
      <c r="N56">
        <v>0.38</v>
      </c>
      <c r="O56">
        <v>1457</v>
      </c>
      <c r="P56">
        <v>16</v>
      </c>
      <c r="Q56" t="s">
        <v>55</v>
      </c>
      <c r="R56" t="s">
        <v>62</v>
      </c>
    </row>
    <row r="57" spans="1:18">
      <c r="A57">
        <v>10056</v>
      </c>
      <c r="B57" s="2">
        <v>44252</v>
      </c>
      <c r="C57" s="2">
        <v>44254</v>
      </c>
      <c r="D57" s="2">
        <v>44258</v>
      </c>
      <c r="E57" t="s">
        <v>18</v>
      </c>
      <c r="F57" t="s">
        <v>22</v>
      </c>
      <c r="G57" t="s">
        <v>24</v>
      </c>
      <c r="H57" t="s">
        <v>33</v>
      </c>
      <c r="I57" t="s">
        <v>35</v>
      </c>
      <c r="J57" t="s">
        <v>38</v>
      </c>
      <c r="K57" t="s">
        <v>47</v>
      </c>
      <c r="L57" t="s">
        <v>52</v>
      </c>
      <c r="M57">
        <v>64193</v>
      </c>
      <c r="N57">
        <v>0.34</v>
      </c>
      <c r="O57">
        <v>-1113</v>
      </c>
      <c r="P57">
        <v>16</v>
      </c>
      <c r="Q57" t="s">
        <v>54</v>
      </c>
      <c r="R57" t="s">
        <v>59</v>
      </c>
    </row>
    <row r="58" spans="1:18">
      <c r="A58">
        <v>10057</v>
      </c>
      <c r="B58" s="2">
        <v>44253</v>
      </c>
      <c r="C58" s="2">
        <v>44255</v>
      </c>
      <c r="D58" s="2">
        <v>44259</v>
      </c>
      <c r="E58" t="s">
        <v>19</v>
      </c>
      <c r="F58" t="s">
        <v>22</v>
      </c>
      <c r="G58" t="s">
        <v>26</v>
      </c>
      <c r="H58" t="s">
        <v>25</v>
      </c>
      <c r="I58" t="s">
        <v>34</v>
      </c>
      <c r="J58" t="s">
        <v>42</v>
      </c>
      <c r="K58" t="s">
        <v>44</v>
      </c>
      <c r="L58" t="s">
        <v>52</v>
      </c>
      <c r="M58">
        <v>32537</v>
      </c>
      <c r="N58">
        <v>0.22</v>
      </c>
      <c r="O58">
        <v>5751</v>
      </c>
      <c r="P58">
        <v>12</v>
      </c>
      <c r="Q58" t="s">
        <v>55</v>
      </c>
      <c r="R58" t="s">
        <v>62</v>
      </c>
    </row>
    <row r="59" spans="1:18">
      <c r="A59">
        <v>10058</v>
      </c>
      <c r="B59" s="2">
        <v>44254</v>
      </c>
      <c r="C59" s="2">
        <v>44256</v>
      </c>
      <c r="D59" s="2">
        <v>44260</v>
      </c>
      <c r="E59" t="s">
        <v>20</v>
      </c>
      <c r="F59" t="s">
        <v>22</v>
      </c>
      <c r="G59" t="s">
        <v>27</v>
      </c>
      <c r="H59" t="s">
        <v>30</v>
      </c>
      <c r="I59" t="s">
        <v>36</v>
      </c>
      <c r="J59" t="s">
        <v>43</v>
      </c>
      <c r="K59" t="s">
        <v>47</v>
      </c>
      <c r="L59" t="s">
        <v>51</v>
      </c>
      <c r="M59">
        <v>38119</v>
      </c>
      <c r="N59">
        <v>0.38</v>
      </c>
      <c r="O59">
        <v>17108</v>
      </c>
      <c r="P59">
        <v>24</v>
      </c>
      <c r="Q59" t="s">
        <v>54</v>
      </c>
      <c r="R59" t="s">
        <v>62</v>
      </c>
    </row>
    <row r="60" spans="1:18">
      <c r="A60">
        <v>10059</v>
      </c>
      <c r="B60" s="2">
        <v>44255</v>
      </c>
      <c r="C60" s="2">
        <v>44257</v>
      </c>
      <c r="D60" s="2">
        <v>44261</v>
      </c>
      <c r="E60" t="s">
        <v>19</v>
      </c>
      <c r="F60" t="s">
        <v>22</v>
      </c>
      <c r="G60" t="s">
        <v>25</v>
      </c>
      <c r="H60" t="s">
        <v>33</v>
      </c>
      <c r="I60" t="s">
        <v>35</v>
      </c>
      <c r="J60" t="s">
        <v>41</v>
      </c>
      <c r="K60" t="s">
        <v>46</v>
      </c>
      <c r="L60" t="s">
        <v>52</v>
      </c>
      <c r="M60">
        <v>28331</v>
      </c>
      <c r="N60">
        <v>0.01</v>
      </c>
      <c r="O60">
        <v>15298</v>
      </c>
      <c r="P60">
        <v>4</v>
      </c>
      <c r="Q60" t="s">
        <v>58</v>
      </c>
      <c r="R60" t="s">
        <v>61</v>
      </c>
    </row>
    <row r="61" spans="1:18">
      <c r="A61">
        <v>10060</v>
      </c>
      <c r="B61" s="2">
        <v>44256</v>
      </c>
      <c r="C61" s="2">
        <v>44258</v>
      </c>
      <c r="D61" s="2">
        <v>44262</v>
      </c>
      <c r="E61" t="s">
        <v>19</v>
      </c>
      <c r="F61" t="s">
        <v>22</v>
      </c>
      <c r="G61" t="s">
        <v>23</v>
      </c>
      <c r="H61" t="s">
        <v>31</v>
      </c>
      <c r="I61" t="s">
        <v>36</v>
      </c>
      <c r="J61" t="s">
        <v>43</v>
      </c>
      <c r="K61" t="s">
        <v>50</v>
      </c>
      <c r="L61" t="s">
        <v>53</v>
      </c>
      <c r="M61">
        <v>67846</v>
      </c>
      <c r="N61">
        <v>0.12</v>
      </c>
      <c r="O61">
        <v>8387</v>
      </c>
      <c r="P61">
        <v>23</v>
      </c>
      <c r="Q61" t="s">
        <v>57</v>
      </c>
      <c r="R61" t="s">
        <v>62</v>
      </c>
    </row>
    <row r="62" spans="1:18">
      <c r="A62">
        <v>10061</v>
      </c>
      <c r="B62" s="2">
        <v>44257</v>
      </c>
      <c r="C62" s="2">
        <v>44259</v>
      </c>
      <c r="D62" s="2">
        <v>44263</v>
      </c>
      <c r="E62" t="s">
        <v>21</v>
      </c>
      <c r="F62" t="s">
        <v>22</v>
      </c>
      <c r="G62" t="s">
        <v>27</v>
      </c>
      <c r="H62" t="s">
        <v>32</v>
      </c>
      <c r="I62" t="s">
        <v>36</v>
      </c>
      <c r="J62" t="s">
        <v>43</v>
      </c>
      <c r="K62" t="s">
        <v>45</v>
      </c>
      <c r="L62" t="s">
        <v>52</v>
      </c>
      <c r="M62">
        <v>14601</v>
      </c>
      <c r="N62">
        <v>0.21</v>
      </c>
      <c r="O62">
        <v>3633</v>
      </c>
      <c r="P62">
        <v>2</v>
      </c>
      <c r="Q62" t="s">
        <v>56</v>
      </c>
      <c r="R62" t="s">
        <v>59</v>
      </c>
    </row>
    <row r="63" spans="1:18">
      <c r="A63">
        <v>10062</v>
      </c>
      <c r="B63" s="2">
        <v>44258</v>
      </c>
      <c r="C63" s="2">
        <v>44260</v>
      </c>
      <c r="D63" s="2">
        <v>44264</v>
      </c>
      <c r="E63" t="s">
        <v>18</v>
      </c>
      <c r="F63" t="s">
        <v>22</v>
      </c>
      <c r="G63" t="s">
        <v>26</v>
      </c>
      <c r="H63" t="s">
        <v>30</v>
      </c>
      <c r="I63" t="s">
        <v>35</v>
      </c>
      <c r="J63" t="s">
        <v>38</v>
      </c>
      <c r="K63" t="s">
        <v>50</v>
      </c>
      <c r="L63" t="s">
        <v>53</v>
      </c>
      <c r="M63">
        <v>64543</v>
      </c>
      <c r="N63">
        <v>0.25</v>
      </c>
      <c r="O63">
        <v>17686</v>
      </c>
      <c r="P63">
        <v>3</v>
      </c>
      <c r="Q63" t="s">
        <v>54</v>
      </c>
      <c r="R63" t="s">
        <v>62</v>
      </c>
    </row>
    <row r="64" spans="1:18">
      <c r="A64">
        <v>10063</v>
      </c>
      <c r="B64" s="2">
        <v>44259</v>
      </c>
      <c r="C64" s="2">
        <v>44261</v>
      </c>
      <c r="D64" s="2">
        <v>44265</v>
      </c>
      <c r="E64" t="s">
        <v>20</v>
      </c>
      <c r="F64" t="s">
        <v>22</v>
      </c>
      <c r="G64" t="s">
        <v>26</v>
      </c>
      <c r="H64" t="s">
        <v>33</v>
      </c>
      <c r="I64" t="s">
        <v>34</v>
      </c>
      <c r="J64" t="s">
        <v>42</v>
      </c>
      <c r="K64" t="s">
        <v>50</v>
      </c>
      <c r="L64" t="s">
        <v>51</v>
      </c>
      <c r="M64">
        <v>62217</v>
      </c>
      <c r="N64">
        <v>0.11</v>
      </c>
      <c r="O64">
        <v>9060</v>
      </c>
      <c r="P64">
        <v>24</v>
      </c>
      <c r="Q64" t="s">
        <v>56</v>
      </c>
      <c r="R64" t="s">
        <v>62</v>
      </c>
    </row>
    <row r="65" spans="1:18">
      <c r="A65">
        <v>10064</v>
      </c>
      <c r="B65" s="2">
        <v>44260</v>
      </c>
      <c r="C65" s="2">
        <v>44262</v>
      </c>
      <c r="D65" s="2">
        <v>44266</v>
      </c>
      <c r="E65" t="s">
        <v>19</v>
      </c>
      <c r="F65" t="s">
        <v>22</v>
      </c>
      <c r="G65" t="s">
        <v>23</v>
      </c>
      <c r="H65" t="s">
        <v>33</v>
      </c>
      <c r="I65" t="s">
        <v>34</v>
      </c>
      <c r="J65" t="s">
        <v>38</v>
      </c>
      <c r="K65" t="s">
        <v>46</v>
      </c>
      <c r="L65" t="s">
        <v>51</v>
      </c>
      <c r="M65">
        <v>37731</v>
      </c>
      <c r="N65">
        <v>0.03</v>
      </c>
      <c r="O65">
        <v>7494</v>
      </c>
      <c r="P65">
        <v>18</v>
      </c>
      <c r="Q65" t="s">
        <v>58</v>
      </c>
      <c r="R65" t="s">
        <v>61</v>
      </c>
    </row>
    <row r="66" spans="1:18">
      <c r="A66">
        <v>10065</v>
      </c>
      <c r="B66" s="2">
        <v>44261</v>
      </c>
      <c r="C66" s="2">
        <v>44263</v>
      </c>
      <c r="D66" s="2">
        <v>44267</v>
      </c>
      <c r="E66" t="s">
        <v>19</v>
      </c>
      <c r="F66" t="s">
        <v>22</v>
      </c>
      <c r="G66" t="s">
        <v>28</v>
      </c>
      <c r="H66" t="s">
        <v>32</v>
      </c>
      <c r="I66" t="s">
        <v>35</v>
      </c>
      <c r="J66" t="s">
        <v>37</v>
      </c>
      <c r="K66" t="s">
        <v>48</v>
      </c>
      <c r="L66" t="s">
        <v>51</v>
      </c>
      <c r="M66">
        <v>71468</v>
      </c>
      <c r="N66">
        <v>0.27</v>
      </c>
      <c r="O66">
        <v>4126</v>
      </c>
      <c r="P66">
        <v>11</v>
      </c>
      <c r="Q66" t="s">
        <v>54</v>
      </c>
      <c r="R66" t="s">
        <v>61</v>
      </c>
    </row>
    <row r="67" spans="1:18">
      <c r="A67">
        <v>10066</v>
      </c>
      <c r="B67" s="2">
        <v>44262</v>
      </c>
      <c r="C67" s="2">
        <v>44264</v>
      </c>
      <c r="D67" s="2">
        <v>44268</v>
      </c>
      <c r="E67" t="s">
        <v>19</v>
      </c>
      <c r="F67" t="s">
        <v>22</v>
      </c>
      <c r="G67" t="s">
        <v>27</v>
      </c>
      <c r="H67" t="s">
        <v>32</v>
      </c>
      <c r="I67" t="s">
        <v>36</v>
      </c>
      <c r="J67" t="s">
        <v>42</v>
      </c>
      <c r="K67" t="s">
        <v>46</v>
      </c>
      <c r="L67" t="s">
        <v>53</v>
      </c>
      <c r="M67">
        <v>29965</v>
      </c>
      <c r="N67">
        <v>0.15</v>
      </c>
      <c r="O67">
        <v>1945</v>
      </c>
      <c r="P67">
        <v>6</v>
      </c>
      <c r="Q67" t="s">
        <v>58</v>
      </c>
      <c r="R67" t="s">
        <v>60</v>
      </c>
    </row>
    <row r="68" spans="1:18">
      <c r="A68">
        <v>10067</v>
      </c>
      <c r="B68" s="2">
        <v>44263</v>
      </c>
      <c r="C68" s="2">
        <v>44265</v>
      </c>
      <c r="D68" s="2">
        <v>44269</v>
      </c>
      <c r="E68" t="s">
        <v>18</v>
      </c>
      <c r="F68" t="s">
        <v>22</v>
      </c>
      <c r="G68" t="s">
        <v>24</v>
      </c>
      <c r="H68" t="s">
        <v>31</v>
      </c>
      <c r="I68" t="s">
        <v>36</v>
      </c>
      <c r="J68" t="s">
        <v>40</v>
      </c>
      <c r="K68" t="s">
        <v>49</v>
      </c>
      <c r="L68" t="s">
        <v>51</v>
      </c>
      <c r="M68">
        <v>66117</v>
      </c>
      <c r="N68">
        <v>0.05</v>
      </c>
      <c r="O68">
        <v>8664</v>
      </c>
      <c r="P68">
        <v>20</v>
      </c>
      <c r="Q68" t="s">
        <v>56</v>
      </c>
      <c r="R68" t="s">
        <v>60</v>
      </c>
    </row>
    <row r="69" spans="1:18">
      <c r="A69">
        <v>10068</v>
      </c>
      <c r="B69" s="2">
        <v>44264</v>
      </c>
      <c r="C69" s="2">
        <v>44266</v>
      </c>
      <c r="D69" s="2">
        <v>44270</v>
      </c>
      <c r="E69" t="s">
        <v>18</v>
      </c>
      <c r="F69" t="s">
        <v>22</v>
      </c>
      <c r="G69" t="s">
        <v>24</v>
      </c>
      <c r="H69" t="s">
        <v>25</v>
      </c>
      <c r="I69" t="s">
        <v>35</v>
      </c>
      <c r="J69" t="s">
        <v>38</v>
      </c>
      <c r="K69" t="s">
        <v>50</v>
      </c>
      <c r="L69" t="s">
        <v>52</v>
      </c>
      <c r="M69">
        <v>18482</v>
      </c>
      <c r="N69">
        <v>0.12</v>
      </c>
      <c r="O69">
        <v>9475</v>
      </c>
      <c r="P69">
        <v>14</v>
      </c>
      <c r="Q69" t="s">
        <v>56</v>
      </c>
      <c r="R69" t="s">
        <v>59</v>
      </c>
    </row>
    <row r="70" spans="1:18">
      <c r="A70">
        <v>10069</v>
      </c>
      <c r="B70" s="2">
        <v>44265</v>
      </c>
      <c r="C70" s="2">
        <v>44267</v>
      </c>
      <c r="D70" s="2">
        <v>44271</v>
      </c>
      <c r="E70" t="s">
        <v>21</v>
      </c>
      <c r="F70" t="s">
        <v>22</v>
      </c>
      <c r="G70" t="s">
        <v>28</v>
      </c>
      <c r="H70" t="s">
        <v>29</v>
      </c>
      <c r="I70" t="s">
        <v>34</v>
      </c>
      <c r="J70" t="s">
        <v>40</v>
      </c>
      <c r="K70" t="s">
        <v>47</v>
      </c>
      <c r="L70" t="s">
        <v>52</v>
      </c>
      <c r="M70">
        <v>47595</v>
      </c>
      <c r="N70">
        <v>0.16</v>
      </c>
      <c r="O70">
        <v>18843</v>
      </c>
      <c r="P70">
        <v>3</v>
      </c>
      <c r="Q70" t="s">
        <v>57</v>
      </c>
      <c r="R70" t="s">
        <v>61</v>
      </c>
    </row>
    <row r="71" spans="1:18">
      <c r="A71">
        <v>10070</v>
      </c>
      <c r="B71" s="2">
        <v>44266</v>
      </c>
      <c r="C71" s="2">
        <v>44268</v>
      </c>
      <c r="D71" s="2">
        <v>44272</v>
      </c>
      <c r="E71" t="s">
        <v>20</v>
      </c>
      <c r="F71" t="s">
        <v>22</v>
      </c>
      <c r="G71" t="s">
        <v>28</v>
      </c>
      <c r="H71" t="s">
        <v>32</v>
      </c>
      <c r="I71" t="s">
        <v>36</v>
      </c>
      <c r="J71" t="s">
        <v>41</v>
      </c>
      <c r="K71" t="s">
        <v>46</v>
      </c>
      <c r="L71" t="s">
        <v>53</v>
      </c>
      <c r="M71">
        <v>16097</v>
      </c>
      <c r="N71">
        <v>0.31</v>
      </c>
      <c r="O71">
        <v>12044</v>
      </c>
      <c r="P71">
        <v>19</v>
      </c>
      <c r="Q71" t="s">
        <v>57</v>
      </c>
      <c r="R71" t="s">
        <v>62</v>
      </c>
    </row>
    <row r="72" spans="1:18">
      <c r="A72">
        <v>10071</v>
      </c>
      <c r="B72" s="2">
        <v>44267</v>
      </c>
      <c r="C72" s="2">
        <v>44269</v>
      </c>
      <c r="D72" s="2">
        <v>44273</v>
      </c>
      <c r="E72" t="s">
        <v>18</v>
      </c>
      <c r="F72" t="s">
        <v>22</v>
      </c>
      <c r="G72" t="s">
        <v>23</v>
      </c>
      <c r="H72" t="s">
        <v>32</v>
      </c>
      <c r="I72" t="s">
        <v>36</v>
      </c>
      <c r="J72" t="s">
        <v>39</v>
      </c>
      <c r="K72" t="s">
        <v>44</v>
      </c>
      <c r="L72" t="s">
        <v>51</v>
      </c>
      <c r="M72">
        <v>65219</v>
      </c>
      <c r="N72">
        <v>0.34</v>
      </c>
      <c r="O72">
        <v>8068</v>
      </c>
      <c r="P72">
        <v>9</v>
      </c>
      <c r="Q72" t="s">
        <v>57</v>
      </c>
      <c r="R72" t="s">
        <v>62</v>
      </c>
    </row>
    <row r="73" spans="1:18">
      <c r="A73">
        <v>10072</v>
      </c>
      <c r="B73" s="2">
        <v>44268</v>
      </c>
      <c r="C73" s="2">
        <v>44270</v>
      </c>
      <c r="D73" s="2">
        <v>44274</v>
      </c>
      <c r="E73" t="s">
        <v>19</v>
      </c>
      <c r="F73" t="s">
        <v>22</v>
      </c>
      <c r="G73" t="s">
        <v>23</v>
      </c>
      <c r="H73" t="s">
        <v>25</v>
      </c>
      <c r="I73" t="s">
        <v>36</v>
      </c>
      <c r="J73" t="s">
        <v>40</v>
      </c>
      <c r="K73" t="s">
        <v>50</v>
      </c>
      <c r="L73" t="s">
        <v>53</v>
      </c>
      <c r="M73">
        <v>73023</v>
      </c>
      <c r="N73">
        <v>7.0000000000000007E-2</v>
      </c>
      <c r="O73">
        <v>17402</v>
      </c>
      <c r="P73">
        <v>16</v>
      </c>
      <c r="Q73" t="s">
        <v>54</v>
      </c>
      <c r="R73" t="s">
        <v>59</v>
      </c>
    </row>
    <row r="74" spans="1:18">
      <c r="A74">
        <v>10073</v>
      </c>
      <c r="B74" s="2">
        <v>44269</v>
      </c>
      <c r="C74" s="2">
        <v>44271</v>
      </c>
      <c r="D74" s="2">
        <v>44275</v>
      </c>
      <c r="E74" t="s">
        <v>20</v>
      </c>
      <c r="F74" t="s">
        <v>22</v>
      </c>
      <c r="G74" t="s">
        <v>26</v>
      </c>
      <c r="H74" t="s">
        <v>33</v>
      </c>
      <c r="I74" t="s">
        <v>34</v>
      </c>
      <c r="J74" t="s">
        <v>39</v>
      </c>
      <c r="K74" t="s">
        <v>45</v>
      </c>
      <c r="L74" t="s">
        <v>53</v>
      </c>
      <c r="M74">
        <v>24586</v>
      </c>
      <c r="N74">
        <v>0.28000000000000003</v>
      </c>
      <c r="O74">
        <v>9922</v>
      </c>
      <c r="P74">
        <v>10</v>
      </c>
      <c r="Q74" t="s">
        <v>58</v>
      </c>
      <c r="R74" t="s">
        <v>60</v>
      </c>
    </row>
    <row r="75" spans="1:18">
      <c r="A75">
        <v>10074</v>
      </c>
      <c r="B75" s="2">
        <v>44270</v>
      </c>
      <c r="C75" s="2">
        <v>44272</v>
      </c>
      <c r="D75" s="2">
        <v>44276</v>
      </c>
      <c r="E75" t="s">
        <v>18</v>
      </c>
      <c r="F75" t="s">
        <v>22</v>
      </c>
      <c r="G75" t="s">
        <v>24</v>
      </c>
      <c r="H75" t="s">
        <v>29</v>
      </c>
      <c r="I75" t="s">
        <v>35</v>
      </c>
      <c r="J75" t="s">
        <v>41</v>
      </c>
      <c r="K75" t="s">
        <v>46</v>
      </c>
      <c r="L75" t="s">
        <v>53</v>
      </c>
      <c r="M75">
        <v>33683</v>
      </c>
      <c r="N75">
        <v>0.35</v>
      </c>
      <c r="O75">
        <v>4197</v>
      </c>
      <c r="P75">
        <v>7</v>
      </c>
      <c r="Q75" t="s">
        <v>55</v>
      </c>
      <c r="R75" t="s">
        <v>61</v>
      </c>
    </row>
    <row r="76" spans="1:18">
      <c r="A76">
        <v>10075</v>
      </c>
      <c r="B76" s="2">
        <v>44271</v>
      </c>
      <c r="C76" s="2">
        <v>44273</v>
      </c>
      <c r="D76" s="2">
        <v>44277</v>
      </c>
      <c r="E76" t="s">
        <v>18</v>
      </c>
      <c r="F76" t="s">
        <v>22</v>
      </c>
      <c r="G76" t="s">
        <v>24</v>
      </c>
      <c r="H76" t="s">
        <v>25</v>
      </c>
      <c r="I76" t="s">
        <v>34</v>
      </c>
      <c r="J76" t="s">
        <v>41</v>
      </c>
      <c r="K76" t="s">
        <v>46</v>
      </c>
      <c r="L76" t="s">
        <v>53</v>
      </c>
      <c r="M76">
        <v>56426</v>
      </c>
      <c r="N76">
        <v>0.36</v>
      </c>
      <c r="O76">
        <v>2053</v>
      </c>
      <c r="P76">
        <v>17</v>
      </c>
      <c r="Q76" t="s">
        <v>55</v>
      </c>
      <c r="R76" t="s">
        <v>61</v>
      </c>
    </row>
    <row r="77" spans="1:18">
      <c r="A77">
        <v>10076</v>
      </c>
      <c r="B77" s="2">
        <v>44272</v>
      </c>
      <c r="C77" s="2">
        <v>44274</v>
      </c>
      <c r="D77" s="2">
        <v>44278</v>
      </c>
      <c r="E77" t="s">
        <v>19</v>
      </c>
      <c r="F77" t="s">
        <v>22</v>
      </c>
      <c r="G77" t="s">
        <v>28</v>
      </c>
      <c r="H77" t="s">
        <v>32</v>
      </c>
      <c r="I77" t="s">
        <v>35</v>
      </c>
      <c r="J77" t="s">
        <v>39</v>
      </c>
      <c r="K77" t="s">
        <v>45</v>
      </c>
      <c r="L77" t="s">
        <v>52</v>
      </c>
      <c r="M77">
        <v>50896</v>
      </c>
      <c r="N77">
        <v>0.03</v>
      </c>
      <c r="O77">
        <v>-1771</v>
      </c>
      <c r="P77">
        <v>3</v>
      </c>
      <c r="Q77" t="s">
        <v>57</v>
      </c>
      <c r="R77" t="s">
        <v>62</v>
      </c>
    </row>
    <row r="78" spans="1:18">
      <c r="A78">
        <v>10077</v>
      </c>
      <c r="B78" s="2">
        <v>44273</v>
      </c>
      <c r="C78" s="2">
        <v>44275</v>
      </c>
      <c r="D78" s="2">
        <v>44279</v>
      </c>
      <c r="E78" t="s">
        <v>18</v>
      </c>
      <c r="F78" t="s">
        <v>22</v>
      </c>
      <c r="G78" t="s">
        <v>25</v>
      </c>
      <c r="H78" t="s">
        <v>30</v>
      </c>
      <c r="I78" t="s">
        <v>35</v>
      </c>
      <c r="J78" t="s">
        <v>40</v>
      </c>
      <c r="K78" t="s">
        <v>49</v>
      </c>
      <c r="L78" t="s">
        <v>52</v>
      </c>
      <c r="M78">
        <v>33649</v>
      </c>
      <c r="N78">
        <v>0.14000000000000001</v>
      </c>
      <c r="O78">
        <v>8088</v>
      </c>
      <c r="P78">
        <v>7</v>
      </c>
      <c r="Q78" t="s">
        <v>58</v>
      </c>
      <c r="R78" t="s">
        <v>59</v>
      </c>
    </row>
    <row r="79" spans="1:18">
      <c r="A79">
        <v>10078</v>
      </c>
      <c r="B79" s="2">
        <v>44274</v>
      </c>
      <c r="C79" s="2">
        <v>44276</v>
      </c>
      <c r="D79" s="2">
        <v>44280</v>
      </c>
      <c r="E79" t="s">
        <v>19</v>
      </c>
      <c r="F79" t="s">
        <v>22</v>
      </c>
      <c r="G79" t="s">
        <v>24</v>
      </c>
      <c r="H79" t="s">
        <v>33</v>
      </c>
      <c r="I79" t="s">
        <v>36</v>
      </c>
      <c r="J79" t="s">
        <v>41</v>
      </c>
      <c r="K79" t="s">
        <v>48</v>
      </c>
      <c r="L79" t="s">
        <v>51</v>
      </c>
      <c r="M79">
        <v>58141</v>
      </c>
      <c r="N79">
        <v>0.08</v>
      </c>
      <c r="O79">
        <v>19981</v>
      </c>
      <c r="P79">
        <v>15</v>
      </c>
      <c r="Q79" t="s">
        <v>57</v>
      </c>
      <c r="R79" t="s">
        <v>60</v>
      </c>
    </row>
    <row r="80" spans="1:18">
      <c r="A80">
        <v>10079</v>
      </c>
      <c r="B80" s="2">
        <v>44275</v>
      </c>
      <c r="C80" s="2">
        <v>44277</v>
      </c>
      <c r="D80" s="2">
        <v>44281</v>
      </c>
      <c r="E80" t="s">
        <v>20</v>
      </c>
      <c r="F80" t="s">
        <v>22</v>
      </c>
      <c r="G80" t="s">
        <v>25</v>
      </c>
      <c r="H80" t="s">
        <v>32</v>
      </c>
      <c r="I80" t="s">
        <v>35</v>
      </c>
      <c r="J80" t="s">
        <v>37</v>
      </c>
      <c r="K80" t="s">
        <v>49</v>
      </c>
      <c r="L80" t="s">
        <v>53</v>
      </c>
      <c r="M80">
        <v>46631</v>
      </c>
      <c r="N80">
        <v>0.09</v>
      </c>
      <c r="O80">
        <v>14299</v>
      </c>
      <c r="P80">
        <v>19</v>
      </c>
      <c r="Q80" t="s">
        <v>55</v>
      </c>
      <c r="R80" t="s">
        <v>60</v>
      </c>
    </row>
    <row r="81" spans="1:18">
      <c r="A81">
        <v>10080</v>
      </c>
      <c r="B81" s="2">
        <v>44276</v>
      </c>
      <c r="C81" s="2">
        <v>44278</v>
      </c>
      <c r="D81" s="2">
        <v>44282</v>
      </c>
      <c r="E81" t="s">
        <v>19</v>
      </c>
      <c r="F81" t="s">
        <v>22</v>
      </c>
      <c r="G81" t="s">
        <v>24</v>
      </c>
      <c r="H81" t="s">
        <v>31</v>
      </c>
      <c r="I81" t="s">
        <v>34</v>
      </c>
      <c r="J81" t="s">
        <v>41</v>
      </c>
      <c r="K81" t="s">
        <v>44</v>
      </c>
      <c r="L81" t="s">
        <v>52</v>
      </c>
      <c r="M81">
        <v>5553</v>
      </c>
      <c r="N81">
        <v>0.1</v>
      </c>
      <c r="O81">
        <v>19229</v>
      </c>
      <c r="P81">
        <v>23</v>
      </c>
      <c r="Q81" t="s">
        <v>58</v>
      </c>
      <c r="R81" t="s">
        <v>60</v>
      </c>
    </row>
    <row r="82" spans="1:18">
      <c r="A82">
        <v>10081</v>
      </c>
      <c r="B82" s="2">
        <v>44277</v>
      </c>
      <c r="C82" s="2">
        <v>44279</v>
      </c>
      <c r="D82" s="2">
        <v>44283</v>
      </c>
      <c r="E82" t="s">
        <v>18</v>
      </c>
      <c r="F82" t="s">
        <v>22</v>
      </c>
      <c r="G82" t="s">
        <v>26</v>
      </c>
      <c r="H82" t="s">
        <v>30</v>
      </c>
      <c r="I82" t="s">
        <v>36</v>
      </c>
      <c r="J82" t="s">
        <v>42</v>
      </c>
      <c r="K82" t="s">
        <v>47</v>
      </c>
      <c r="L82" t="s">
        <v>52</v>
      </c>
      <c r="M82">
        <v>66525</v>
      </c>
      <c r="N82">
        <v>0.09</v>
      </c>
      <c r="O82">
        <v>10004</v>
      </c>
      <c r="P82">
        <v>20</v>
      </c>
      <c r="Q82" t="s">
        <v>54</v>
      </c>
      <c r="R82" t="s">
        <v>61</v>
      </c>
    </row>
    <row r="83" spans="1:18">
      <c r="A83">
        <v>10082</v>
      </c>
      <c r="B83" s="2">
        <v>44278</v>
      </c>
      <c r="C83" s="2">
        <v>44280</v>
      </c>
      <c r="D83" s="2">
        <v>44284</v>
      </c>
      <c r="E83" t="s">
        <v>20</v>
      </c>
      <c r="F83" t="s">
        <v>22</v>
      </c>
      <c r="G83" t="s">
        <v>28</v>
      </c>
      <c r="H83" t="s">
        <v>30</v>
      </c>
      <c r="I83" t="s">
        <v>34</v>
      </c>
      <c r="J83" t="s">
        <v>38</v>
      </c>
      <c r="K83" t="s">
        <v>47</v>
      </c>
      <c r="L83" t="s">
        <v>51</v>
      </c>
      <c r="M83">
        <v>49623</v>
      </c>
      <c r="N83">
        <v>0.39</v>
      </c>
      <c r="O83">
        <v>11820</v>
      </c>
      <c r="P83">
        <v>9</v>
      </c>
      <c r="Q83" t="s">
        <v>54</v>
      </c>
      <c r="R83" t="s">
        <v>60</v>
      </c>
    </row>
    <row r="84" spans="1:18">
      <c r="A84">
        <v>10083</v>
      </c>
      <c r="B84" s="2">
        <v>44279</v>
      </c>
      <c r="C84" s="2">
        <v>44281</v>
      </c>
      <c r="D84" s="2">
        <v>44285</v>
      </c>
      <c r="E84" t="s">
        <v>18</v>
      </c>
      <c r="F84" t="s">
        <v>22</v>
      </c>
      <c r="G84" t="s">
        <v>28</v>
      </c>
      <c r="H84" t="s">
        <v>30</v>
      </c>
      <c r="I84" t="s">
        <v>36</v>
      </c>
      <c r="J84" t="s">
        <v>42</v>
      </c>
      <c r="K84" t="s">
        <v>46</v>
      </c>
      <c r="L84" t="s">
        <v>51</v>
      </c>
      <c r="M84">
        <v>22932</v>
      </c>
      <c r="N84">
        <v>0.15</v>
      </c>
      <c r="O84">
        <v>15316</v>
      </c>
      <c r="P84">
        <v>3</v>
      </c>
      <c r="Q84" t="s">
        <v>57</v>
      </c>
      <c r="R84" t="s">
        <v>61</v>
      </c>
    </row>
    <row r="85" spans="1:18">
      <c r="A85">
        <v>10084</v>
      </c>
      <c r="B85" s="2">
        <v>44280</v>
      </c>
      <c r="C85" s="2">
        <v>44282</v>
      </c>
      <c r="D85" s="2">
        <v>44286</v>
      </c>
      <c r="E85" t="s">
        <v>18</v>
      </c>
      <c r="F85" t="s">
        <v>22</v>
      </c>
      <c r="G85" t="s">
        <v>24</v>
      </c>
      <c r="H85" t="s">
        <v>25</v>
      </c>
      <c r="I85" t="s">
        <v>34</v>
      </c>
      <c r="J85" t="s">
        <v>43</v>
      </c>
      <c r="K85" t="s">
        <v>50</v>
      </c>
      <c r="L85" t="s">
        <v>51</v>
      </c>
      <c r="M85">
        <v>49093</v>
      </c>
      <c r="N85">
        <v>0.25</v>
      </c>
      <c r="O85">
        <v>-230</v>
      </c>
      <c r="P85">
        <v>18</v>
      </c>
      <c r="Q85" t="s">
        <v>57</v>
      </c>
      <c r="R85" t="s">
        <v>61</v>
      </c>
    </row>
    <row r="86" spans="1:18">
      <c r="A86">
        <v>10085</v>
      </c>
      <c r="B86" s="2">
        <v>44281</v>
      </c>
      <c r="C86" s="2">
        <v>44283</v>
      </c>
      <c r="D86" s="2">
        <v>44287</v>
      </c>
      <c r="E86" t="s">
        <v>18</v>
      </c>
      <c r="F86" t="s">
        <v>22</v>
      </c>
      <c r="G86" t="s">
        <v>28</v>
      </c>
      <c r="H86" t="s">
        <v>32</v>
      </c>
      <c r="I86" t="s">
        <v>35</v>
      </c>
      <c r="J86" t="s">
        <v>37</v>
      </c>
      <c r="K86" t="s">
        <v>50</v>
      </c>
      <c r="L86" t="s">
        <v>52</v>
      </c>
      <c r="M86">
        <v>73133</v>
      </c>
      <c r="N86">
        <v>0.39</v>
      </c>
      <c r="O86">
        <v>-1686</v>
      </c>
      <c r="P86">
        <v>13</v>
      </c>
      <c r="Q86" t="s">
        <v>57</v>
      </c>
      <c r="R86" t="s">
        <v>59</v>
      </c>
    </row>
    <row r="87" spans="1:18">
      <c r="A87">
        <v>10086</v>
      </c>
      <c r="B87" s="2">
        <v>44282</v>
      </c>
      <c r="C87" s="2">
        <v>44284</v>
      </c>
      <c r="D87" s="2">
        <v>44288</v>
      </c>
      <c r="E87" t="s">
        <v>20</v>
      </c>
      <c r="F87" t="s">
        <v>22</v>
      </c>
      <c r="G87" t="s">
        <v>26</v>
      </c>
      <c r="H87" t="s">
        <v>32</v>
      </c>
      <c r="I87" t="s">
        <v>35</v>
      </c>
      <c r="J87" t="s">
        <v>38</v>
      </c>
      <c r="K87" t="s">
        <v>49</v>
      </c>
      <c r="L87" t="s">
        <v>52</v>
      </c>
      <c r="M87">
        <v>20876</v>
      </c>
      <c r="N87">
        <v>7.0000000000000007E-2</v>
      </c>
      <c r="O87">
        <v>2983</v>
      </c>
      <c r="P87">
        <v>13</v>
      </c>
      <c r="Q87" t="s">
        <v>56</v>
      </c>
      <c r="R87" t="s">
        <v>62</v>
      </c>
    </row>
    <row r="88" spans="1:18">
      <c r="A88">
        <v>10087</v>
      </c>
      <c r="B88" s="2">
        <v>44283</v>
      </c>
      <c r="C88" s="2">
        <v>44285</v>
      </c>
      <c r="D88" s="2">
        <v>44289</v>
      </c>
      <c r="E88" t="s">
        <v>18</v>
      </c>
      <c r="F88" t="s">
        <v>22</v>
      </c>
      <c r="G88" t="s">
        <v>25</v>
      </c>
      <c r="H88" t="s">
        <v>31</v>
      </c>
      <c r="I88" t="s">
        <v>34</v>
      </c>
      <c r="J88" t="s">
        <v>41</v>
      </c>
      <c r="K88" t="s">
        <v>50</v>
      </c>
      <c r="L88" t="s">
        <v>51</v>
      </c>
      <c r="M88">
        <v>73163</v>
      </c>
      <c r="N88">
        <v>0.06</v>
      </c>
      <c r="O88">
        <v>3660</v>
      </c>
      <c r="P88">
        <v>16</v>
      </c>
      <c r="Q88" t="s">
        <v>55</v>
      </c>
      <c r="R88" t="s">
        <v>60</v>
      </c>
    </row>
    <row r="89" spans="1:18">
      <c r="A89">
        <v>10088</v>
      </c>
      <c r="B89" s="2">
        <v>44284</v>
      </c>
      <c r="C89" s="2">
        <v>44286</v>
      </c>
      <c r="D89" s="2">
        <v>44290</v>
      </c>
      <c r="E89" t="s">
        <v>18</v>
      </c>
      <c r="F89" t="s">
        <v>22</v>
      </c>
      <c r="G89" t="s">
        <v>24</v>
      </c>
      <c r="H89" t="s">
        <v>33</v>
      </c>
      <c r="I89" t="s">
        <v>34</v>
      </c>
      <c r="J89" t="s">
        <v>40</v>
      </c>
      <c r="K89" t="s">
        <v>44</v>
      </c>
      <c r="L89" t="s">
        <v>52</v>
      </c>
      <c r="M89">
        <v>63115</v>
      </c>
      <c r="N89">
        <v>0.08</v>
      </c>
      <c r="O89">
        <v>3032</v>
      </c>
      <c r="P89">
        <v>19</v>
      </c>
      <c r="Q89" t="s">
        <v>56</v>
      </c>
      <c r="R89" t="s">
        <v>59</v>
      </c>
    </row>
    <row r="90" spans="1:18">
      <c r="A90">
        <v>10089</v>
      </c>
      <c r="B90" s="2">
        <v>44285</v>
      </c>
      <c r="C90" s="2">
        <v>44287</v>
      </c>
      <c r="D90" s="2">
        <v>44291</v>
      </c>
      <c r="E90" t="s">
        <v>19</v>
      </c>
      <c r="F90" t="s">
        <v>22</v>
      </c>
      <c r="G90" t="s">
        <v>25</v>
      </c>
      <c r="H90" t="s">
        <v>33</v>
      </c>
      <c r="I90" t="s">
        <v>36</v>
      </c>
      <c r="J90" t="s">
        <v>43</v>
      </c>
      <c r="K90" t="s">
        <v>50</v>
      </c>
      <c r="L90" t="s">
        <v>53</v>
      </c>
      <c r="M90">
        <v>21098</v>
      </c>
      <c r="N90">
        <v>0.4</v>
      </c>
      <c r="O90">
        <v>-995</v>
      </c>
      <c r="P90">
        <v>19</v>
      </c>
      <c r="Q90" t="s">
        <v>57</v>
      </c>
      <c r="R90" t="s">
        <v>62</v>
      </c>
    </row>
    <row r="91" spans="1:18">
      <c r="A91">
        <v>10090</v>
      </c>
      <c r="B91" s="2">
        <v>44286</v>
      </c>
      <c r="C91" s="2">
        <v>44288</v>
      </c>
      <c r="D91" s="2">
        <v>44292</v>
      </c>
      <c r="E91" t="s">
        <v>18</v>
      </c>
      <c r="F91" t="s">
        <v>22</v>
      </c>
      <c r="G91" t="s">
        <v>25</v>
      </c>
      <c r="H91" t="s">
        <v>30</v>
      </c>
      <c r="I91" t="s">
        <v>36</v>
      </c>
      <c r="J91" t="s">
        <v>41</v>
      </c>
      <c r="K91" t="s">
        <v>46</v>
      </c>
      <c r="L91" t="s">
        <v>53</v>
      </c>
      <c r="M91">
        <v>60291</v>
      </c>
      <c r="N91">
        <v>0.28000000000000003</v>
      </c>
      <c r="O91">
        <v>8030</v>
      </c>
      <c r="P91">
        <v>6</v>
      </c>
      <c r="Q91" t="s">
        <v>58</v>
      </c>
      <c r="R91" t="s">
        <v>60</v>
      </c>
    </row>
    <row r="92" spans="1:18">
      <c r="A92">
        <v>10091</v>
      </c>
      <c r="B92" s="2">
        <v>44287</v>
      </c>
      <c r="C92" s="2">
        <v>44289</v>
      </c>
      <c r="D92" s="2">
        <v>44293</v>
      </c>
      <c r="E92" t="s">
        <v>20</v>
      </c>
      <c r="F92" t="s">
        <v>22</v>
      </c>
      <c r="G92" t="s">
        <v>24</v>
      </c>
      <c r="H92" t="s">
        <v>30</v>
      </c>
      <c r="I92" t="s">
        <v>35</v>
      </c>
      <c r="J92" t="s">
        <v>42</v>
      </c>
      <c r="K92" t="s">
        <v>46</v>
      </c>
      <c r="L92" t="s">
        <v>52</v>
      </c>
      <c r="M92">
        <v>14058</v>
      </c>
      <c r="N92">
        <v>0.14000000000000001</v>
      </c>
      <c r="O92">
        <v>19485</v>
      </c>
      <c r="P92">
        <v>19</v>
      </c>
      <c r="Q92" t="s">
        <v>56</v>
      </c>
      <c r="R92" t="s">
        <v>59</v>
      </c>
    </row>
    <row r="93" spans="1:18">
      <c r="A93">
        <v>10092</v>
      </c>
      <c r="B93" s="2">
        <v>44288</v>
      </c>
      <c r="C93" s="2">
        <v>44290</v>
      </c>
      <c r="D93" s="2">
        <v>44294</v>
      </c>
      <c r="E93" t="s">
        <v>18</v>
      </c>
      <c r="F93" t="s">
        <v>22</v>
      </c>
      <c r="G93" t="s">
        <v>24</v>
      </c>
      <c r="H93" t="s">
        <v>31</v>
      </c>
      <c r="I93" t="s">
        <v>34</v>
      </c>
      <c r="J93" t="s">
        <v>43</v>
      </c>
      <c r="K93" t="s">
        <v>48</v>
      </c>
      <c r="L93" t="s">
        <v>53</v>
      </c>
      <c r="M93">
        <v>43644</v>
      </c>
      <c r="N93">
        <v>0.25</v>
      </c>
      <c r="O93">
        <v>18203</v>
      </c>
      <c r="P93">
        <v>13</v>
      </c>
      <c r="Q93" t="s">
        <v>58</v>
      </c>
      <c r="R93" t="s">
        <v>60</v>
      </c>
    </row>
    <row r="94" spans="1:18">
      <c r="A94">
        <v>10093</v>
      </c>
      <c r="B94" s="2">
        <v>44289</v>
      </c>
      <c r="C94" s="2">
        <v>44291</v>
      </c>
      <c r="D94" s="2">
        <v>44295</v>
      </c>
      <c r="E94" t="s">
        <v>21</v>
      </c>
      <c r="F94" t="s">
        <v>22</v>
      </c>
      <c r="G94" t="s">
        <v>28</v>
      </c>
      <c r="H94" t="s">
        <v>25</v>
      </c>
      <c r="I94" t="s">
        <v>36</v>
      </c>
      <c r="J94" t="s">
        <v>43</v>
      </c>
      <c r="K94" t="s">
        <v>45</v>
      </c>
      <c r="L94" t="s">
        <v>51</v>
      </c>
      <c r="M94">
        <v>11669</v>
      </c>
      <c r="N94">
        <v>0.28999999999999998</v>
      </c>
      <c r="O94">
        <v>19471</v>
      </c>
      <c r="P94">
        <v>23</v>
      </c>
      <c r="Q94" t="s">
        <v>57</v>
      </c>
      <c r="R94" t="s">
        <v>62</v>
      </c>
    </row>
    <row r="95" spans="1:18">
      <c r="A95">
        <v>10094</v>
      </c>
      <c r="B95" s="2">
        <v>44290</v>
      </c>
      <c r="C95" s="2">
        <v>44292</v>
      </c>
      <c r="D95" s="2">
        <v>44296</v>
      </c>
      <c r="E95" t="s">
        <v>20</v>
      </c>
      <c r="F95" t="s">
        <v>22</v>
      </c>
      <c r="G95" t="s">
        <v>27</v>
      </c>
      <c r="H95" t="s">
        <v>30</v>
      </c>
      <c r="I95" t="s">
        <v>35</v>
      </c>
      <c r="J95" t="s">
        <v>43</v>
      </c>
      <c r="K95" t="s">
        <v>50</v>
      </c>
      <c r="L95" t="s">
        <v>53</v>
      </c>
      <c r="M95">
        <v>36691</v>
      </c>
      <c r="N95">
        <v>0.11</v>
      </c>
      <c r="O95">
        <v>17338</v>
      </c>
      <c r="P95">
        <v>14</v>
      </c>
      <c r="Q95" t="s">
        <v>55</v>
      </c>
      <c r="R95" t="s">
        <v>62</v>
      </c>
    </row>
    <row r="96" spans="1:18">
      <c r="A96">
        <v>10095</v>
      </c>
      <c r="B96" s="2">
        <v>44291</v>
      </c>
      <c r="C96" s="2">
        <v>44293</v>
      </c>
      <c r="D96" s="2">
        <v>44297</v>
      </c>
      <c r="E96" t="s">
        <v>20</v>
      </c>
      <c r="F96" t="s">
        <v>22</v>
      </c>
      <c r="G96" t="s">
        <v>27</v>
      </c>
      <c r="H96" t="s">
        <v>32</v>
      </c>
      <c r="I96" t="s">
        <v>34</v>
      </c>
      <c r="J96" t="s">
        <v>41</v>
      </c>
      <c r="K96" t="s">
        <v>46</v>
      </c>
      <c r="L96" t="s">
        <v>52</v>
      </c>
      <c r="M96">
        <v>68113</v>
      </c>
      <c r="N96">
        <v>0.15</v>
      </c>
      <c r="O96">
        <v>16688</v>
      </c>
      <c r="P96">
        <v>5</v>
      </c>
      <c r="Q96" t="s">
        <v>55</v>
      </c>
      <c r="R96" t="s">
        <v>61</v>
      </c>
    </row>
    <row r="97" spans="1:18">
      <c r="A97">
        <v>10096</v>
      </c>
      <c r="B97" s="2">
        <v>44292</v>
      </c>
      <c r="C97" s="2">
        <v>44294</v>
      </c>
      <c r="D97" s="2">
        <v>44298</v>
      </c>
      <c r="E97" t="s">
        <v>20</v>
      </c>
      <c r="F97" t="s">
        <v>22</v>
      </c>
      <c r="G97" t="s">
        <v>28</v>
      </c>
      <c r="H97" t="s">
        <v>30</v>
      </c>
      <c r="I97" t="s">
        <v>36</v>
      </c>
      <c r="J97" t="s">
        <v>37</v>
      </c>
      <c r="K97" t="s">
        <v>46</v>
      </c>
      <c r="L97" t="s">
        <v>52</v>
      </c>
      <c r="M97">
        <v>8580</v>
      </c>
      <c r="N97">
        <v>0.04</v>
      </c>
      <c r="O97">
        <v>13132</v>
      </c>
      <c r="P97">
        <v>6</v>
      </c>
      <c r="Q97" t="s">
        <v>56</v>
      </c>
      <c r="R97" t="s">
        <v>61</v>
      </c>
    </row>
    <row r="98" spans="1:18">
      <c r="A98">
        <v>10097</v>
      </c>
      <c r="B98" s="2">
        <v>44293</v>
      </c>
      <c r="C98" s="2">
        <v>44295</v>
      </c>
      <c r="D98" s="2">
        <v>44299</v>
      </c>
      <c r="E98" t="s">
        <v>20</v>
      </c>
      <c r="F98" t="s">
        <v>22</v>
      </c>
      <c r="G98" t="s">
        <v>25</v>
      </c>
      <c r="H98" t="s">
        <v>30</v>
      </c>
      <c r="I98" t="s">
        <v>36</v>
      </c>
      <c r="J98" t="s">
        <v>37</v>
      </c>
      <c r="K98" t="s">
        <v>46</v>
      </c>
      <c r="L98" t="s">
        <v>53</v>
      </c>
      <c r="M98">
        <v>20997</v>
      </c>
      <c r="N98">
        <v>0.05</v>
      </c>
      <c r="O98">
        <v>1481</v>
      </c>
      <c r="P98">
        <v>20</v>
      </c>
      <c r="Q98" t="s">
        <v>54</v>
      </c>
      <c r="R98" t="s">
        <v>59</v>
      </c>
    </row>
    <row r="99" spans="1:18">
      <c r="A99">
        <v>10098</v>
      </c>
      <c r="B99" s="2">
        <v>44294</v>
      </c>
      <c r="C99" s="2">
        <v>44296</v>
      </c>
      <c r="D99" s="2">
        <v>44300</v>
      </c>
      <c r="E99" t="s">
        <v>20</v>
      </c>
      <c r="F99" t="s">
        <v>22</v>
      </c>
      <c r="G99" t="s">
        <v>27</v>
      </c>
      <c r="H99" t="s">
        <v>31</v>
      </c>
      <c r="I99" t="s">
        <v>34</v>
      </c>
      <c r="J99" t="s">
        <v>41</v>
      </c>
      <c r="K99" t="s">
        <v>47</v>
      </c>
      <c r="L99" t="s">
        <v>51</v>
      </c>
      <c r="M99">
        <v>3816</v>
      </c>
      <c r="N99">
        <v>0.06</v>
      </c>
      <c r="O99">
        <v>11841</v>
      </c>
      <c r="P99">
        <v>1</v>
      </c>
      <c r="Q99" t="s">
        <v>54</v>
      </c>
      <c r="R99" t="s">
        <v>59</v>
      </c>
    </row>
    <row r="100" spans="1:18">
      <c r="A100">
        <v>10099</v>
      </c>
      <c r="B100" s="2">
        <v>44295</v>
      </c>
      <c r="C100" s="2">
        <v>44297</v>
      </c>
      <c r="D100" s="2">
        <v>44301</v>
      </c>
      <c r="E100" t="s">
        <v>18</v>
      </c>
      <c r="F100" t="s">
        <v>22</v>
      </c>
      <c r="G100" t="s">
        <v>27</v>
      </c>
      <c r="H100" t="s">
        <v>30</v>
      </c>
      <c r="I100" t="s">
        <v>36</v>
      </c>
      <c r="J100" t="s">
        <v>37</v>
      </c>
      <c r="K100" t="s">
        <v>45</v>
      </c>
      <c r="L100" t="s">
        <v>52</v>
      </c>
      <c r="M100">
        <v>48575</v>
      </c>
      <c r="N100">
        <v>0.38</v>
      </c>
      <c r="O100">
        <v>-911</v>
      </c>
      <c r="P100">
        <v>14</v>
      </c>
      <c r="Q100" t="s">
        <v>57</v>
      </c>
      <c r="R100" t="s">
        <v>62</v>
      </c>
    </row>
    <row r="101" spans="1:18">
      <c r="A101">
        <v>10100</v>
      </c>
      <c r="B101" s="2">
        <v>44296</v>
      </c>
      <c r="C101" s="2">
        <v>44298</v>
      </c>
      <c r="D101" s="2">
        <v>44302</v>
      </c>
      <c r="E101" t="s">
        <v>18</v>
      </c>
      <c r="F101" t="s">
        <v>22</v>
      </c>
      <c r="G101" t="s">
        <v>23</v>
      </c>
      <c r="H101" t="s">
        <v>30</v>
      </c>
      <c r="I101" t="s">
        <v>36</v>
      </c>
      <c r="J101" t="s">
        <v>43</v>
      </c>
      <c r="K101" t="s">
        <v>50</v>
      </c>
      <c r="L101" t="s">
        <v>53</v>
      </c>
      <c r="M101">
        <v>69316</v>
      </c>
      <c r="N101">
        <v>0.33</v>
      </c>
      <c r="O101">
        <v>11214</v>
      </c>
      <c r="P101">
        <v>4</v>
      </c>
      <c r="Q101" t="s">
        <v>55</v>
      </c>
      <c r="R101" t="s">
        <v>59</v>
      </c>
    </row>
    <row r="102" spans="1:18">
      <c r="A102">
        <v>10101</v>
      </c>
      <c r="B102" s="2">
        <v>44297</v>
      </c>
      <c r="C102" s="2">
        <v>44299</v>
      </c>
      <c r="D102" s="2">
        <v>44303</v>
      </c>
      <c r="E102" t="s">
        <v>21</v>
      </c>
      <c r="F102" t="s">
        <v>22</v>
      </c>
      <c r="G102" t="s">
        <v>26</v>
      </c>
      <c r="H102" t="s">
        <v>31</v>
      </c>
      <c r="I102" t="s">
        <v>34</v>
      </c>
      <c r="J102" t="s">
        <v>38</v>
      </c>
      <c r="K102" t="s">
        <v>44</v>
      </c>
      <c r="L102" t="s">
        <v>53</v>
      </c>
      <c r="M102">
        <v>5821</v>
      </c>
      <c r="N102">
        <v>0.38</v>
      </c>
      <c r="O102">
        <v>14713</v>
      </c>
      <c r="P102">
        <v>23</v>
      </c>
      <c r="Q102" t="s">
        <v>54</v>
      </c>
      <c r="R102" t="s">
        <v>59</v>
      </c>
    </row>
    <row r="103" spans="1:18">
      <c r="A103">
        <v>10102</v>
      </c>
      <c r="B103" s="2">
        <v>44298</v>
      </c>
      <c r="C103" s="2">
        <v>44300</v>
      </c>
      <c r="D103" s="2">
        <v>44304</v>
      </c>
      <c r="E103" t="s">
        <v>18</v>
      </c>
      <c r="F103" t="s">
        <v>22</v>
      </c>
      <c r="G103" t="s">
        <v>25</v>
      </c>
      <c r="H103" t="s">
        <v>25</v>
      </c>
      <c r="I103" t="s">
        <v>36</v>
      </c>
      <c r="J103" t="s">
        <v>41</v>
      </c>
      <c r="K103" t="s">
        <v>45</v>
      </c>
      <c r="L103" t="s">
        <v>51</v>
      </c>
      <c r="M103">
        <v>42426</v>
      </c>
      <c r="N103">
        <v>0.22</v>
      </c>
      <c r="O103">
        <v>16797</v>
      </c>
      <c r="P103">
        <v>21</v>
      </c>
      <c r="Q103" t="s">
        <v>54</v>
      </c>
      <c r="R103" t="s">
        <v>62</v>
      </c>
    </row>
    <row r="104" spans="1:18">
      <c r="A104">
        <v>10103</v>
      </c>
      <c r="B104" s="2">
        <v>44299</v>
      </c>
      <c r="C104" s="2">
        <v>44301</v>
      </c>
      <c r="D104" s="2">
        <v>44305</v>
      </c>
      <c r="E104" t="s">
        <v>21</v>
      </c>
      <c r="F104" t="s">
        <v>22</v>
      </c>
      <c r="G104" t="s">
        <v>23</v>
      </c>
      <c r="H104" t="s">
        <v>30</v>
      </c>
      <c r="I104" t="s">
        <v>34</v>
      </c>
      <c r="J104" t="s">
        <v>39</v>
      </c>
      <c r="K104" t="s">
        <v>49</v>
      </c>
      <c r="L104" t="s">
        <v>51</v>
      </c>
      <c r="M104">
        <v>41273</v>
      </c>
      <c r="N104">
        <v>0.09</v>
      </c>
      <c r="O104">
        <v>3114</v>
      </c>
      <c r="P104">
        <v>23</v>
      </c>
      <c r="Q104" t="s">
        <v>58</v>
      </c>
      <c r="R104" t="s">
        <v>61</v>
      </c>
    </row>
    <row r="105" spans="1:18">
      <c r="A105">
        <v>10104</v>
      </c>
      <c r="B105" s="2">
        <v>44300</v>
      </c>
      <c r="C105" s="2">
        <v>44302</v>
      </c>
      <c r="D105" s="2">
        <v>44306</v>
      </c>
      <c r="E105" t="s">
        <v>21</v>
      </c>
      <c r="F105" t="s">
        <v>22</v>
      </c>
      <c r="G105" t="s">
        <v>27</v>
      </c>
      <c r="H105" t="s">
        <v>33</v>
      </c>
      <c r="I105" t="s">
        <v>34</v>
      </c>
      <c r="J105" t="s">
        <v>43</v>
      </c>
      <c r="K105" t="s">
        <v>48</v>
      </c>
      <c r="L105" t="s">
        <v>53</v>
      </c>
      <c r="M105">
        <v>3404</v>
      </c>
      <c r="N105">
        <v>0.01</v>
      </c>
      <c r="O105">
        <v>770</v>
      </c>
      <c r="P105">
        <v>10</v>
      </c>
      <c r="Q105" t="s">
        <v>57</v>
      </c>
      <c r="R105" t="s">
        <v>59</v>
      </c>
    </row>
    <row r="106" spans="1:18">
      <c r="A106">
        <v>10105</v>
      </c>
      <c r="B106" s="2">
        <v>44301</v>
      </c>
      <c r="C106" s="2">
        <v>44303</v>
      </c>
      <c r="D106" s="2">
        <v>44307</v>
      </c>
      <c r="E106" t="s">
        <v>20</v>
      </c>
      <c r="F106" t="s">
        <v>22</v>
      </c>
      <c r="G106" t="s">
        <v>27</v>
      </c>
      <c r="H106" t="s">
        <v>32</v>
      </c>
      <c r="I106" t="s">
        <v>34</v>
      </c>
      <c r="J106" t="s">
        <v>38</v>
      </c>
      <c r="K106" t="s">
        <v>46</v>
      </c>
      <c r="L106" t="s">
        <v>52</v>
      </c>
      <c r="M106">
        <v>6627</v>
      </c>
      <c r="N106">
        <v>0.13</v>
      </c>
      <c r="O106">
        <v>3494</v>
      </c>
      <c r="P106">
        <v>5</v>
      </c>
      <c r="Q106" t="s">
        <v>57</v>
      </c>
      <c r="R106" t="s">
        <v>60</v>
      </c>
    </row>
    <row r="107" spans="1:18">
      <c r="A107">
        <v>10106</v>
      </c>
      <c r="B107" s="2">
        <v>44302</v>
      </c>
      <c r="C107" s="2">
        <v>44304</v>
      </c>
      <c r="D107" s="2">
        <v>44308</v>
      </c>
      <c r="E107" t="s">
        <v>18</v>
      </c>
      <c r="F107" t="s">
        <v>22</v>
      </c>
      <c r="G107" t="s">
        <v>28</v>
      </c>
      <c r="H107" t="s">
        <v>31</v>
      </c>
      <c r="I107" t="s">
        <v>35</v>
      </c>
      <c r="J107" t="s">
        <v>37</v>
      </c>
      <c r="K107" t="s">
        <v>45</v>
      </c>
      <c r="L107" t="s">
        <v>51</v>
      </c>
      <c r="M107">
        <v>2962</v>
      </c>
      <c r="N107">
        <v>0.3</v>
      </c>
      <c r="O107">
        <v>2178</v>
      </c>
      <c r="P107">
        <v>8</v>
      </c>
      <c r="Q107" t="s">
        <v>56</v>
      </c>
      <c r="R107" t="s">
        <v>59</v>
      </c>
    </row>
    <row r="108" spans="1:18">
      <c r="A108">
        <v>10107</v>
      </c>
      <c r="B108" s="2">
        <v>44303</v>
      </c>
      <c r="C108" s="2">
        <v>44305</v>
      </c>
      <c r="D108" s="2">
        <v>44309</v>
      </c>
      <c r="E108" t="s">
        <v>18</v>
      </c>
      <c r="F108" t="s">
        <v>22</v>
      </c>
      <c r="G108" t="s">
        <v>23</v>
      </c>
      <c r="H108" t="s">
        <v>32</v>
      </c>
      <c r="I108" t="s">
        <v>34</v>
      </c>
      <c r="J108" t="s">
        <v>40</v>
      </c>
      <c r="K108" t="s">
        <v>45</v>
      </c>
      <c r="L108" t="s">
        <v>52</v>
      </c>
      <c r="M108">
        <v>4965</v>
      </c>
      <c r="N108">
        <v>0.21</v>
      </c>
      <c r="O108">
        <v>-796</v>
      </c>
      <c r="P108">
        <v>3</v>
      </c>
      <c r="Q108" t="s">
        <v>56</v>
      </c>
      <c r="R108" t="s">
        <v>59</v>
      </c>
    </row>
    <row r="109" spans="1:18">
      <c r="A109">
        <v>10108</v>
      </c>
      <c r="B109" s="2">
        <v>44304</v>
      </c>
      <c r="C109" s="2">
        <v>44306</v>
      </c>
      <c r="D109" s="2">
        <v>44310</v>
      </c>
      <c r="E109" t="s">
        <v>18</v>
      </c>
      <c r="F109" t="s">
        <v>22</v>
      </c>
      <c r="G109" t="s">
        <v>26</v>
      </c>
      <c r="H109" t="s">
        <v>30</v>
      </c>
      <c r="I109" t="s">
        <v>35</v>
      </c>
      <c r="J109" t="s">
        <v>40</v>
      </c>
      <c r="K109" t="s">
        <v>49</v>
      </c>
      <c r="L109" t="s">
        <v>53</v>
      </c>
      <c r="M109">
        <v>19091</v>
      </c>
      <c r="N109">
        <v>0.08</v>
      </c>
      <c r="O109">
        <v>-64</v>
      </c>
      <c r="P109">
        <v>13</v>
      </c>
      <c r="Q109" t="s">
        <v>57</v>
      </c>
      <c r="R109" t="s">
        <v>61</v>
      </c>
    </row>
    <row r="110" spans="1:18">
      <c r="A110">
        <v>10109</v>
      </c>
      <c r="B110" s="2">
        <v>44305</v>
      </c>
      <c r="C110" s="2">
        <v>44307</v>
      </c>
      <c r="D110" s="2">
        <v>44311</v>
      </c>
      <c r="E110" t="s">
        <v>21</v>
      </c>
      <c r="F110" t="s">
        <v>22</v>
      </c>
      <c r="G110" t="s">
        <v>24</v>
      </c>
      <c r="H110" t="s">
        <v>31</v>
      </c>
      <c r="I110" t="s">
        <v>34</v>
      </c>
      <c r="J110" t="s">
        <v>37</v>
      </c>
      <c r="K110" t="s">
        <v>44</v>
      </c>
      <c r="L110" t="s">
        <v>53</v>
      </c>
      <c r="M110">
        <v>38212</v>
      </c>
      <c r="N110">
        <v>0.36</v>
      </c>
      <c r="O110">
        <v>12009</v>
      </c>
      <c r="P110">
        <v>23</v>
      </c>
      <c r="Q110" t="s">
        <v>56</v>
      </c>
      <c r="R110" t="s">
        <v>59</v>
      </c>
    </row>
    <row r="111" spans="1:18">
      <c r="A111">
        <v>10110</v>
      </c>
      <c r="B111" s="2">
        <v>44306</v>
      </c>
      <c r="C111" s="2">
        <v>44308</v>
      </c>
      <c r="D111" s="2">
        <v>44312</v>
      </c>
      <c r="E111" t="s">
        <v>18</v>
      </c>
      <c r="F111" t="s">
        <v>22</v>
      </c>
      <c r="G111" t="s">
        <v>23</v>
      </c>
      <c r="H111" t="s">
        <v>31</v>
      </c>
      <c r="I111" t="s">
        <v>36</v>
      </c>
      <c r="J111" t="s">
        <v>43</v>
      </c>
      <c r="K111" t="s">
        <v>44</v>
      </c>
      <c r="L111" t="s">
        <v>51</v>
      </c>
      <c r="M111">
        <v>36299</v>
      </c>
      <c r="N111">
        <v>0.22</v>
      </c>
      <c r="O111">
        <v>11612</v>
      </c>
      <c r="P111">
        <v>5</v>
      </c>
      <c r="Q111" t="s">
        <v>56</v>
      </c>
      <c r="R111" t="s">
        <v>62</v>
      </c>
    </row>
    <row r="112" spans="1:18">
      <c r="A112">
        <v>10111</v>
      </c>
      <c r="B112" s="2">
        <v>44307</v>
      </c>
      <c r="C112" s="2">
        <v>44309</v>
      </c>
      <c r="D112" s="2">
        <v>44313</v>
      </c>
      <c r="E112" t="s">
        <v>19</v>
      </c>
      <c r="F112" t="s">
        <v>22</v>
      </c>
      <c r="G112" t="s">
        <v>23</v>
      </c>
      <c r="H112" t="s">
        <v>30</v>
      </c>
      <c r="I112" t="s">
        <v>36</v>
      </c>
      <c r="J112" t="s">
        <v>39</v>
      </c>
      <c r="K112" t="s">
        <v>49</v>
      </c>
      <c r="L112" t="s">
        <v>53</v>
      </c>
      <c r="M112">
        <v>16013</v>
      </c>
      <c r="N112">
        <v>0.36</v>
      </c>
      <c r="O112">
        <v>15120</v>
      </c>
      <c r="P112">
        <v>10</v>
      </c>
      <c r="Q112" t="s">
        <v>54</v>
      </c>
      <c r="R112" t="s">
        <v>61</v>
      </c>
    </row>
    <row r="113" spans="1:18">
      <c r="A113">
        <v>10112</v>
      </c>
      <c r="B113" s="2">
        <v>44308</v>
      </c>
      <c r="C113" s="2">
        <v>44310</v>
      </c>
      <c r="D113" s="2">
        <v>44314</v>
      </c>
      <c r="E113" t="s">
        <v>19</v>
      </c>
      <c r="F113" t="s">
        <v>22</v>
      </c>
      <c r="G113" t="s">
        <v>23</v>
      </c>
      <c r="H113" t="s">
        <v>33</v>
      </c>
      <c r="I113" t="s">
        <v>35</v>
      </c>
      <c r="J113" t="s">
        <v>37</v>
      </c>
      <c r="K113" t="s">
        <v>50</v>
      </c>
      <c r="L113" t="s">
        <v>52</v>
      </c>
      <c r="M113">
        <v>60878</v>
      </c>
      <c r="N113">
        <v>0.08</v>
      </c>
      <c r="O113">
        <v>-22</v>
      </c>
      <c r="P113">
        <v>7</v>
      </c>
      <c r="Q113" t="s">
        <v>56</v>
      </c>
      <c r="R113" t="s">
        <v>62</v>
      </c>
    </row>
    <row r="114" spans="1:18">
      <c r="A114">
        <v>10113</v>
      </c>
      <c r="B114" s="2">
        <v>44309</v>
      </c>
      <c r="C114" s="2">
        <v>44311</v>
      </c>
      <c r="D114" s="2">
        <v>44315</v>
      </c>
      <c r="E114" t="s">
        <v>20</v>
      </c>
      <c r="F114" t="s">
        <v>22</v>
      </c>
      <c r="G114" t="s">
        <v>26</v>
      </c>
      <c r="H114" t="s">
        <v>29</v>
      </c>
      <c r="I114" t="s">
        <v>36</v>
      </c>
      <c r="J114" t="s">
        <v>41</v>
      </c>
      <c r="K114" t="s">
        <v>48</v>
      </c>
      <c r="L114" t="s">
        <v>52</v>
      </c>
      <c r="M114">
        <v>810</v>
      </c>
      <c r="N114">
        <v>0.02</v>
      </c>
      <c r="O114">
        <v>1533</v>
      </c>
      <c r="P114">
        <v>1</v>
      </c>
      <c r="Q114" t="s">
        <v>56</v>
      </c>
      <c r="R114" t="s">
        <v>61</v>
      </c>
    </row>
    <row r="115" spans="1:18">
      <c r="A115">
        <v>10114</v>
      </c>
      <c r="B115" s="2">
        <v>44310</v>
      </c>
      <c r="C115" s="2">
        <v>44312</v>
      </c>
      <c r="D115" s="2">
        <v>44316</v>
      </c>
      <c r="E115" t="s">
        <v>18</v>
      </c>
      <c r="F115" t="s">
        <v>22</v>
      </c>
      <c r="G115" t="s">
        <v>27</v>
      </c>
      <c r="H115" t="s">
        <v>30</v>
      </c>
      <c r="I115" t="s">
        <v>34</v>
      </c>
      <c r="J115" t="s">
        <v>38</v>
      </c>
      <c r="K115" t="s">
        <v>46</v>
      </c>
      <c r="L115" t="s">
        <v>53</v>
      </c>
      <c r="M115">
        <v>31958</v>
      </c>
      <c r="N115">
        <v>0.27</v>
      </c>
      <c r="O115">
        <v>6959</v>
      </c>
      <c r="P115">
        <v>14</v>
      </c>
      <c r="Q115" t="s">
        <v>57</v>
      </c>
      <c r="R115" t="s">
        <v>61</v>
      </c>
    </row>
    <row r="116" spans="1:18">
      <c r="A116">
        <v>10115</v>
      </c>
      <c r="B116" s="2">
        <v>44311</v>
      </c>
      <c r="C116" s="2">
        <v>44313</v>
      </c>
      <c r="D116" s="2">
        <v>44317</v>
      </c>
      <c r="E116" t="s">
        <v>20</v>
      </c>
      <c r="F116" t="s">
        <v>22</v>
      </c>
      <c r="G116" t="s">
        <v>24</v>
      </c>
      <c r="H116" t="s">
        <v>31</v>
      </c>
      <c r="I116" t="s">
        <v>34</v>
      </c>
      <c r="J116" t="s">
        <v>41</v>
      </c>
      <c r="K116" t="s">
        <v>47</v>
      </c>
      <c r="L116" t="s">
        <v>52</v>
      </c>
      <c r="M116">
        <v>9230</v>
      </c>
      <c r="N116">
        <v>0.4</v>
      </c>
      <c r="O116">
        <v>11931</v>
      </c>
      <c r="P116">
        <v>12</v>
      </c>
      <c r="Q116" t="s">
        <v>54</v>
      </c>
      <c r="R116" t="s">
        <v>60</v>
      </c>
    </row>
    <row r="117" spans="1:18">
      <c r="A117">
        <v>10116</v>
      </c>
      <c r="B117" s="2">
        <v>44312</v>
      </c>
      <c r="C117" s="2">
        <v>44314</v>
      </c>
      <c r="D117" s="2">
        <v>44318</v>
      </c>
      <c r="E117" t="s">
        <v>20</v>
      </c>
      <c r="F117" t="s">
        <v>22</v>
      </c>
      <c r="G117" t="s">
        <v>28</v>
      </c>
      <c r="H117" t="s">
        <v>25</v>
      </c>
      <c r="I117" t="s">
        <v>35</v>
      </c>
      <c r="J117" t="s">
        <v>39</v>
      </c>
      <c r="K117" t="s">
        <v>44</v>
      </c>
      <c r="L117" t="s">
        <v>51</v>
      </c>
      <c r="M117">
        <v>45671</v>
      </c>
      <c r="N117">
        <v>0.14000000000000001</v>
      </c>
      <c r="O117">
        <v>1347</v>
      </c>
      <c r="P117">
        <v>22</v>
      </c>
      <c r="Q117" t="s">
        <v>54</v>
      </c>
      <c r="R117" t="s">
        <v>59</v>
      </c>
    </row>
    <row r="118" spans="1:18">
      <c r="A118">
        <v>10117</v>
      </c>
      <c r="B118" s="2">
        <v>44313</v>
      </c>
      <c r="C118" s="2">
        <v>44315</v>
      </c>
      <c r="D118" s="2">
        <v>44319</v>
      </c>
      <c r="E118" t="s">
        <v>19</v>
      </c>
      <c r="F118" t="s">
        <v>22</v>
      </c>
      <c r="G118" t="s">
        <v>27</v>
      </c>
      <c r="H118" t="s">
        <v>29</v>
      </c>
      <c r="I118" t="s">
        <v>36</v>
      </c>
      <c r="J118" t="s">
        <v>39</v>
      </c>
      <c r="K118" t="s">
        <v>45</v>
      </c>
      <c r="L118" t="s">
        <v>52</v>
      </c>
      <c r="M118">
        <v>6490</v>
      </c>
      <c r="N118">
        <v>0.01</v>
      </c>
      <c r="O118">
        <v>11029</v>
      </c>
      <c r="P118">
        <v>23</v>
      </c>
      <c r="Q118" t="s">
        <v>57</v>
      </c>
      <c r="R118" t="s">
        <v>61</v>
      </c>
    </row>
    <row r="119" spans="1:18">
      <c r="A119">
        <v>10118</v>
      </c>
      <c r="B119" s="2">
        <v>44314</v>
      </c>
      <c r="C119" s="2">
        <v>44316</v>
      </c>
      <c r="D119" s="2">
        <v>44320</v>
      </c>
      <c r="E119" t="s">
        <v>18</v>
      </c>
      <c r="F119" t="s">
        <v>22</v>
      </c>
      <c r="G119" t="s">
        <v>28</v>
      </c>
      <c r="H119" t="s">
        <v>30</v>
      </c>
      <c r="I119" t="s">
        <v>36</v>
      </c>
      <c r="J119" t="s">
        <v>40</v>
      </c>
      <c r="K119" t="s">
        <v>44</v>
      </c>
      <c r="L119" t="s">
        <v>51</v>
      </c>
      <c r="M119">
        <v>49795</v>
      </c>
      <c r="N119">
        <v>0.37</v>
      </c>
      <c r="O119">
        <v>4790</v>
      </c>
      <c r="P119">
        <v>3</v>
      </c>
      <c r="Q119" t="s">
        <v>57</v>
      </c>
      <c r="R119" t="s">
        <v>62</v>
      </c>
    </row>
    <row r="120" spans="1:18">
      <c r="A120">
        <v>10119</v>
      </c>
      <c r="B120" s="2">
        <v>44315</v>
      </c>
      <c r="C120" s="2">
        <v>44317</v>
      </c>
      <c r="D120" s="2">
        <v>44321</v>
      </c>
      <c r="E120" t="s">
        <v>21</v>
      </c>
      <c r="F120" t="s">
        <v>22</v>
      </c>
      <c r="G120" t="s">
        <v>24</v>
      </c>
      <c r="H120" t="s">
        <v>25</v>
      </c>
      <c r="I120" t="s">
        <v>34</v>
      </c>
      <c r="J120" t="s">
        <v>41</v>
      </c>
      <c r="K120" t="s">
        <v>45</v>
      </c>
      <c r="L120" t="s">
        <v>53</v>
      </c>
      <c r="M120">
        <v>48123</v>
      </c>
      <c r="N120">
        <v>0.04</v>
      </c>
      <c r="O120">
        <v>19524</v>
      </c>
      <c r="P120">
        <v>4</v>
      </c>
      <c r="Q120" t="s">
        <v>57</v>
      </c>
      <c r="R120" t="s">
        <v>59</v>
      </c>
    </row>
    <row r="121" spans="1:18">
      <c r="A121">
        <v>10120</v>
      </c>
      <c r="B121" s="2">
        <v>44316</v>
      </c>
      <c r="C121" s="2">
        <v>44318</v>
      </c>
      <c r="D121" s="2">
        <v>44322</v>
      </c>
      <c r="E121" t="s">
        <v>21</v>
      </c>
      <c r="F121" t="s">
        <v>22</v>
      </c>
      <c r="G121" t="s">
        <v>25</v>
      </c>
      <c r="H121" t="s">
        <v>30</v>
      </c>
      <c r="I121" t="s">
        <v>34</v>
      </c>
      <c r="J121" t="s">
        <v>38</v>
      </c>
      <c r="K121" t="s">
        <v>48</v>
      </c>
      <c r="L121" t="s">
        <v>51</v>
      </c>
      <c r="M121">
        <v>61932</v>
      </c>
      <c r="N121">
        <v>0.11</v>
      </c>
      <c r="O121">
        <v>15215</v>
      </c>
      <c r="P121">
        <v>7</v>
      </c>
      <c r="Q121" t="s">
        <v>57</v>
      </c>
      <c r="R121" t="s">
        <v>59</v>
      </c>
    </row>
    <row r="122" spans="1:18">
      <c r="A122">
        <v>10121</v>
      </c>
      <c r="B122" s="2">
        <v>44317</v>
      </c>
      <c r="C122" s="2">
        <v>44319</v>
      </c>
      <c r="D122" s="2">
        <v>44323</v>
      </c>
      <c r="E122" t="s">
        <v>19</v>
      </c>
      <c r="F122" t="s">
        <v>22</v>
      </c>
      <c r="G122" t="s">
        <v>28</v>
      </c>
      <c r="H122" t="s">
        <v>29</v>
      </c>
      <c r="I122" t="s">
        <v>34</v>
      </c>
      <c r="J122" t="s">
        <v>37</v>
      </c>
      <c r="K122" t="s">
        <v>44</v>
      </c>
      <c r="L122" t="s">
        <v>51</v>
      </c>
      <c r="M122">
        <v>56419</v>
      </c>
      <c r="N122">
        <v>0.12</v>
      </c>
      <c r="O122">
        <v>15154</v>
      </c>
      <c r="P122">
        <v>16</v>
      </c>
      <c r="Q122" t="s">
        <v>58</v>
      </c>
      <c r="R122" t="s">
        <v>61</v>
      </c>
    </row>
    <row r="123" spans="1:18">
      <c r="A123">
        <v>10122</v>
      </c>
      <c r="B123" s="2">
        <v>44318</v>
      </c>
      <c r="C123" s="2">
        <v>44320</v>
      </c>
      <c r="D123" s="2">
        <v>44324</v>
      </c>
      <c r="E123" t="s">
        <v>19</v>
      </c>
      <c r="F123" t="s">
        <v>22</v>
      </c>
      <c r="G123" t="s">
        <v>23</v>
      </c>
      <c r="H123" t="s">
        <v>29</v>
      </c>
      <c r="I123" t="s">
        <v>36</v>
      </c>
      <c r="J123" t="s">
        <v>43</v>
      </c>
      <c r="K123" t="s">
        <v>46</v>
      </c>
      <c r="L123" t="s">
        <v>53</v>
      </c>
      <c r="M123">
        <v>14605</v>
      </c>
      <c r="N123">
        <v>0.02</v>
      </c>
      <c r="O123">
        <v>-378</v>
      </c>
      <c r="P123">
        <v>1</v>
      </c>
      <c r="Q123" t="s">
        <v>55</v>
      </c>
      <c r="R123" t="s">
        <v>59</v>
      </c>
    </row>
    <row r="124" spans="1:18">
      <c r="A124">
        <v>10123</v>
      </c>
      <c r="B124" s="2">
        <v>44319</v>
      </c>
      <c r="C124" s="2">
        <v>44321</v>
      </c>
      <c r="D124" s="2">
        <v>44325</v>
      </c>
      <c r="E124" t="s">
        <v>20</v>
      </c>
      <c r="F124" t="s">
        <v>22</v>
      </c>
      <c r="G124" t="s">
        <v>25</v>
      </c>
      <c r="H124" t="s">
        <v>32</v>
      </c>
      <c r="I124" t="s">
        <v>34</v>
      </c>
      <c r="J124" t="s">
        <v>43</v>
      </c>
      <c r="K124" t="s">
        <v>49</v>
      </c>
      <c r="L124" t="s">
        <v>53</v>
      </c>
      <c r="M124">
        <v>68331</v>
      </c>
      <c r="N124">
        <v>0</v>
      </c>
      <c r="O124">
        <v>19271</v>
      </c>
      <c r="P124">
        <v>6</v>
      </c>
      <c r="Q124" t="s">
        <v>55</v>
      </c>
      <c r="R124" t="s">
        <v>60</v>
      </c>
    </row>
    <row r="125" spans="1:18">
      <c r="A125">
        <v>10124</v>
      </c>
      <c r="B125" s="2">
        <v>44320</v>
      </c>
      <c r="C125" s="2">
        <v>44322</v>
      </c>
      <c r="D125" s="2">
        <v>44326</v>
      </c>
      <c r="E125" t="s">
        <v>19</v>
      </c>
      <c r="F125" t="s">
        <v>22</v>
      </c>
      <c r="G125" t="s">
        <v>24</v>
      </c>
      <c r="H125" t="s">
        <v>30</v>
      </c>
      <c r="I125" t="s">
        <v>35</v>
      </c>
      <c r="J125" t="s">
        <v>39</v>
      </c>
      <c r="K125" t="s">
        <v>46</v>
      </c>
      <c r="L125" t="s">
        <v>52</v>
      </c>
      <c r="M125">
        <v>66100</v>
      </c>
      <c r="N125">
        <v>0.02</v>
      </c>
      <c r="O125">
        <v>12883</v>
      </c>
      <c r="P125">
        <v>4</v>
      </c>
      <c r="Q125" t="s">
        <v>54</v>
      </c>
      <c r="R125" t="s">
        <v>62</v>
      </c>
    </row>
    <row r="126" spans="1:18">
      <c r="A126">
        <v>10125</v>
      </c>
      <c r="B126" s="2">
        <v>44321</v>
      </c>
      <c r="C126" s="2">
        <v>44323</v>
      </c>
      <c r="D126" s="2">
        <v>44327</v>
      </c>
      <c r="E126" t="s">
        <v>18</v>
      </c>
      <c r="F126" t="s">
        <v>22</v>
      </c>
      <c r="G126" t="s">
        <v>27</v>
      </c>
      <c r="H126" t="s">
        <v>30</v>
      </c>
      <c r="I126" t="s">
        <v>35</v>
      </c>
      <c r="J126" t="s">
        <v>40</v>
      </c>
      <c r="K126" t="s">
        <v>45</v>
      </c>
      <c r="L126" t="s">
        <v>53</v>
      </c>
      <c r="M126">
        <v>60394</v>
      </c>
      <c r="N126">
        <v>7.0000000000000007E-2</v>
      </c>
      <c r="O126">
        <v>-778</v>
      </c>
      <c r="P126">
        <v>11</v>
      </c>
      <c r="Q126" t="s">
        <v>54</v>
      </c>
      <c r="R126" t="s">
        <v>59</v>
      </c>
    </row>
    <row r="127" spans="1:18">
      <c r="A127">
        <v>10126</v>
      </c>
      <c r="B127" s="2">
        <v>44322</v>
      </c>
      <c r="C127" s="2">
        <v>44324</v>
      </c>
      <c r="D127" s="2">
        <v>44328</v>
      </c>
      <c r="E127" t="s">
        <v>18</v>
      </c>
      <c r="F127" t="s">
        <v>22</v>
      </c>
      <c r="G127" t="s">
        <v>23</v>
      </c>
      <c r="H127" t="s">
        <v>29</v>
      </c>
      <c r="I127" t="s">
        <v>34</v>
      </c>
      <c r="J127" t="s">
        <v>39</v>
      </c>
      <c r="K127" t="s">
        <v>50</v>
      </c>
      <c r="L127" t="s">
        <v>52</v>
      </c>
      <c r="M127">
        <v>73634</v>
      </c>
      <c r="N127">
        <v>7.0000000000000007E-2</v>
      </c>
      <c r="O127">
        <v>-423</v>
      </c>
      <c r="P127">
        <v>22</v>
      </c>
      <c r="Q127" t="s">
        <v>54</v>
      </c>
      <c r="R127" t="s">
        <v>59</v>
      </c>
    </row>
    <row r="128" spans="1:18">
      <c r="A128">
        <v>10127</v>
      </c>
      <c r="B128" s="2">
        <v>44323</v>
      </c>
      <c r="C128" s="2">
        <v>44325</v>
      </c>
      <c r="D128" s="2">
        <v>44329</v>
      </c>
      <c r="E128" t="s">
        <v>18</v>
      </c>
      <c r="F128" t="s">
        <v>22</v>
      </c>
      <c r="G128" t="s">
        <v>24</v>
      </c>
      <c r="H128" t="s">
        <v>30</v>
      </c>
      <c r="I128" t="s">
        <v>34</v>
      </c>
      <c r="J128" t="s">
        <v>42</v>
      </c>
      <c r="K128" t="s">
        <v>47</v>
      </c>
      <c r="L128" t="s">
        <v>53</v>
      </c>
      <c r="M128">
        <v>72406</v>
      </c>
      <c r="N128">
        <v>0.23</v>
      </c>
      <c r="O128">
        <v>16396</v>
      </c>
      <c r="P128">
        <v>14</v>
      </c>
      <c r="Q128" t="s">
        <v>55</v>
      </c>
      <c r="R128" t="s">
        <v>62</v>
      </c>
    </row>
    <row r="129" spans="1:18">
      <c r="A129">
        <v>10128</v>
      </c>
      <c r="B129" s="2">
        <v>44324</v>
      </c>
      <c r="C129" s="2">
        <v>44326</v>
      </c>
      <c r="D129" s="2">
        <v>44330</v>
      </c>
      <c r="E129" t="s">
        <v>19</v>
      </c>
      <c r="F129" t="s">
        <v>22</v>
      </c>
      <c r="G129" t="s">
        <v>23</v>
      </c>
      <c r="H129" t="s">
        <v>25</v>
      </c>
      <c r="I129" t="s">
        <v>36</v>
      </c>
      <c r="J129" t="s">
        <v>39</v>
      </c>
      <c r="K129" t="s">
        <v>48</v>
      </c>
      <c r="L129" t="s">
        <v>51</v>
      </c>
      <c r="M129">
        <v>57677</v>
      </c>
      <c r="N129">
        <v>0.14000000000000001</v>
      </c>
      <c r="O129">
        <v>7843</v>
      </c>
      <c r="P129">
        <v>22</v>
      </c>
      <c r="Q129" t="s">
        <v>56</v>
      </c>
      <c r="R129" t="s">
        <v>59</v>
      </c>
    </row>
    <row r="130" spans="1:18">
      <c r="A130">
        <v>10129</v>
      </c>
      <c r="B130" s="2">
        <v>44325</v>
      </c>
      <c r="C130" s="2">
        <v>44327</v>
      </c>
      <c r="D130" s="2">
        <v>44331</v>
      </c>
      <c r="E130" t="s">
        <v>19</v>
      </c>
      <c r="F130" t="s">
        <v>22</v>
      </c>
      <c r="G130" t="s">
        <v>26</v>
      </c>
      <c r="H130" t="s">
        <v>33</v>
      </c>
      <c r="I130" t="s">
        <v>35</v>
      </c>
      <c r="J130" t="s">
        <v>38</v>
      </c>
      <c r="K130" t="s">
        <v>45</v>
      </c>
      <c r="L130" t="s">
        <v>52</v>
      </c>
      <c r="M130">
        <v>23377</v>
      </c>
      <c r="N130">
        <v>0.15</v>
      </c>
      <c r="O130">
        <v>147</v>
      </c>
      <c r="P130">
        <v>15</v>
      </c>
      <c r="Q130" t="s">
        <v>54</v>
      </c>
      <c r="R130" t="s">
        <v>59</v>
      </c>
    </row>
    <row r="131" spans="1:18">
      <c r="A131">
        <v>10130</v>
      </c>
      <c r="B131" s="2">
        <v>44326</v>
      </c>
      <c r="C131" s="2">
        <v>44328</v>
      </c>
      <c r="D131" s="2">
        <v>44332</v>
      </c>
      <c r="E131" t="s">
        <v>18</v>
      </c>
      <c r="F131" t="s">
        <v>22</v>
      </c>
      <c r="G131" t="s">
        <v>25</v>
      </c>
      <c r="H131" t="s">
        <v>29</v>
      </c>
      <c r="I131" t="s">
        <v>36</v>
      </c>
      <c r="J131" t="s">
        <v>37</v>
      </c>
      <c r="K131" t="s">
        <v>45</v>
      </c>
      <c r="L131" t="s">
        <v>51</v>
      </c>
      <c r="M131">
        <v>46185</v>
      </c>
      <c r="N131">
        <v>0.31</v>
      </c>
      <c r="O131">
        <v>3505</v>
      </c>
      <c r="P131">
        <v>11</v>
      </c>
      <c r="Q131" t="s">
        <v>56</v>
      </c>
      <c r="R131" t="s">
        <v>62</v>
      </c>
    </row>
    <row r="132" spans="1:18">
      <c r="A132">
        <v>10131</v>
      </c>
      <c r="B132" s="2">
        <v>44327</v>
      </c>
      <c r="C132" s="2">
        <v>44329</v>
      </c>
      <c r="D132" s="2">
        <v>44333</v>
      </c>
      <c r="E132" t="s">
        <v>19</v>
      </c>
      <c r="F132" t="s">
        <v>22</v>
      </c>
      <c r="G132" t="s">
        <v>24</v>
      </c>
      <c r="H132" t="s">
        <v>33</v>
      </c>
      <c r="I132" t="s">
        <v>35</v>
      </c>
      <c r="J132" t="s">
        <v>42</v>
      </c>
      <c r="K132" t="s">
        <v>48</v>
      </c>
      <c r="L132" t="s">
        <v>53</v>
      </c>
      <c r="M132">
        <v>52153</v>
      </c>
      <c r="N132">
        <v>0.31</v>
      </c>
      <c r="O132">
        <v>4051</v>
      </c>
      <c r="P132">
        <v>15</v>
      </c>
      <c r="Q132" t="s">
        <v>56</v>
      </c>
      <c r="R132" t="s">
        <v>62</v>
      </c>
    </row>
    <row r="133" spans="1:18">
      <c r="A133">
        <v>10132</v>
      </c>
      <c r="B133" s="2">
        <v>44328</v>
      </c>
      <c r="C133" s="2">
        <v>44330</v>
      </c>
      <c r="D133" s="2">
        <v>44334</v>
      </c>
      <c r="E133" t="s">
        <v>21</v>
      </c>
      <c r="F133" t="s">
        <v>22</v>
      </c>
      <c r="G133" t="s">
        <v>28</v>
      </c>
      <c r="H133" t="s">
        <v>32</v>
      </c>
      <c r="I133" t="s">
        <v>36</v>
      </c>
      <c r="J133" t="s">
        <v>38</v>
      </c>
      <c r="K133" t="s">
        <v>49</v>
      </c>
      <c r="L133" t="s">
        <v>53</v>
      </c>
      <c r="M133">
        <v>16593</v>
      </c>
      <c r="N133">
        <v>0.24</v>
      </c>
      <c r="O133">
        <v>6304</v>
      </c>
      <c r="P133">
        <v>17</v>
      </c>
      <c r="Q133" t="s">
        <v>58</v>
      </c>
      <c r="R133" t="s">
        <v>60</v>
      </c>
    </row>
    <row r="134" spans="1:18">
      <c r="A134">
        <v>10133</v>
      </c>
      <c r="B134" s="2">
        <v>44329</v>
      </c>
      <c r="C134" s="2">
        <v>44331</v>
      </c>
      <c r="D134" s="2">
        <v>44335</v>
      </c>
      <c r="E134" t="s">
        <v>21</v>
      </c>
      <c r="F134" t="s">
        <v>22</v>
      </c>
      <c r="G134" t="s">
        <v>24</v>
      </c>
      <c r="H134" t="s">
        <v>33</v>
      </c>
      <c r="I134" t="s">
        <v>36</v>
      </c>
      <c r="J134" t="s">
        <v>41</v>
      </c>
      <c r="K134" t="s">
        <v>48</v>
      </c>
      <c r="L134" t="s">
        <v>52</v>
      </c>
      <c r="M134">
        <v>32803</v>
      </c>
      <c r="N134">
        <v>0.34</v>
      </c>
      <c r="O134">
        <v>-840</v>
      </c>
      <c r="P134">
        <v>8</v>
      </c>
      <c r="Q134" t="s">
        <v>58</v>
      </c>
      <c r="R134" t="s">
        <v>62</v>
      </c>
    </row>
    <row r="135" spans="1:18">
      <c r="A135">
        <v>10134</v>
      </c>
      <c r="B135" s="2">
        <v>44330</v>
      </c>
      <c r="C135" s="2">
        <v>44332</v>
      </c>
      <c r="D135" s="2">
        <v>44336</v>
      </c>
      <c r="E135" t="s">
        <v>21</v>
      </c>
      <c r="F135" t="s">
        <v>22</v>
      </c>
      <c r="G135" t="s">
        <v>27</v>
      </c>
      <c r="H135" t="s">
        <v>30</v>
      </c>
      <c r="I135" t="s">
        <v>35</v>
      </c>
      <c r="J135" t="s">
        <v>40</v>
      </c>
      <c r="K135" t="s">
        <v>48</v>
      </c>
      <c r="L135" t="s">
        <v>52</v>
      </c>
      <c r="M135">
        <v>38914</v>
      </c>
      <c r="N135">
        <v>0.28000000000000003</v>
      </c>
      <c r="O135">
        <v>3991</v>
      </c>
      <c r="P135">
        <v>6</v>
      </c>
      <c r="Q135" t="s">
        <v>58</v>
      </c>
      <c r="R135" t="s">
        <v>62</v>
      </c>
    </row>
    <row r="136" spans="1:18">
      <c r="A136">
        <v>10135</v>
      </c>
      <c r="B136" s="2">
        <v>44331</v>
      </c>
      <c r="C136" s="2">
        <v>44333</v>
      </c>
      <c r="D136" s="2">
        <v>44337</v>
      </c>
      <c r="E136" t="s">
        <v>18</v>
      </c>
      <c r="F136" t="s">
        <v>22</v>
      </c>
      <c r="G136" t="s">
        <v>25</v>
      </c>
      <c r="H136" t="s">
        <v>32</v>
      </c>
      <c r="I136" t="s">
        <v>36</v>
      </c>
      <c r="J136" t="s">
        <v>39</v>
      </c>
      <c r="K136" t="s">
        <v>45</v>
      </c>
      <c r="L136" t="s">
        <v>51</v>
      </c>
      <c r="M136">
        <v>25571</v>
      </c>
      <c r="N136">
        <v>0.35</v>
      </c>
      <c r="O136">
        <v>12426</v>
      </c>
      <c r="P136">
        <v>23</v>
      </c>
      <c r="Q136" t="s">
        <v>57</v>
      </c>
      <c r="R136" t="s">
        <v>61</v>
      </c>
    </row>
    <row r="137" spans="1:18">
      <c r="A137">
        <v>10136</v>
      </c>
      <c r="B137" s="2">
        <v>44332</v>
      </c>
      <c r="C137" s="2">
        <v>44334</v>
      </c>
      <c r="D137" s="2">
        <v>44338</v>
      </c>
      <c r="E137" t="s">
        <v>18</v>
      </c>
      <c r="F137" t="s">
        <v>22</v>
      </c>
      <c r="G137" t="s">
        <v>27</v>
      </c>
      <c r="H137" t="s">
        <v>30</v>
      </c>
      <c r="I137" t="s">
        <v>34</v>
      </c>
      <c r="J137" t="s">
        <v>43</v>
      </c>
      <c r="K137" t="s">
        <v>44</v>
      </c>
      <c r="L137" t="s">
        <v>52</v>
      </c>
      <c r="M137">
        <v>73612</v>
      </c>
      <c r="N137">
        <v>0.28000000000000003</v>
      </c>
      <c r="O137">
        <v>14662</v>
      </c>
      <c r="P137">
        <v>11</v>
      </c>
      <c r="Q137" t="s">
        <v>57</v>
      </c>
      <c r="R137" t="s">
        <v>61</v>
      </c>
    </row>
    <row r="138" spans="1:18">
      <c r="A138">
        <v>10137</v>
      </c>
      <c r="B138" s="2">
        <v>44333</v>
      </c>
      <c r="C138" s="2">
        <v>44335</v>
      </c>
      <c r="D138" s="2">
        <v>44339</v>
      </c>
      <c r="E138" t="s">
        <v>18</v>
      </c>
      <c r="F138" t="s">
        <v>22</v>
      </c>
      <c r="G138" t="s">
        <v>24</v>
      </c>
      <c r="H138" t="s">
        <v>33</v>
      </c>
      <c r="I138" t="s">
        <v>35</v>
      </c>
      <c r="J138" t="s">
        <v>41</v>
      </c>
      <c r="K138" t="s">
        <v>49</v>
      </c>
      <c r="L138" t="s">
        <v>51</v>
      </c>
      <c r="M138">
        <v>27549</v>
      </c>
      <c r="N138">
        <v>0.34</v>
      </c>
      <c r="O138">
        <v>5946</v>
      </c>
      <c r="P138">
        <v>18</v>
      </c>
      <c r="Q138" t="s">
        <v>54</v>
      </c>
      <c r="R138" t="s">
        <v>60</v>
      </c>
    </row>
    <row r="139" spans="1:18">
      <c r="A139">
        <v>10138</v>
      </c>
      <c r="B139" s="2">
        <v>44334</v>
      </c>
      <c r="C139" s="2">
        <v>44336</v>
      </c>
      <c r="D139" s="2">
        <v>44340</v>
      </c>
      <c r="E139" t="s">
        <v>20</v>
      </c>
      <c r="F139" t="s">
        <v>22</v>
      </c>
      <c r="G139" t="s">
        <v>27</v>
      </c>
      <c r="H139" t="s">
        <v>25</v>
      </c>
      <c r="I139" t="s">
        <v>36</v>
      </c>
      <c r="J139" t="s">
        <v>40</v>
      </c>
      <c r="K139" t="s">
        <v>50</v>
      </c>
      <c r="L139" t="s">
        <v>52</v>
      </c>
      <c r="M139">
        <v>24990</v>
      </c>
      <c r="N139">
        <v>0.19</v>
      </c>
      <c r="O139">
        <v>3162</v>
      </c>
      <c r="P139">
        <v>11</v>
      </c>
      <c r="Q139" t="s">
        <v>56</v>
      </c>
      <c r="R139" t="s">
        <v>59</v>
      </c>
    </row>
    <row r="140" spans="1:18">
      <c r="A140">
        <v>10139</v>
      </c>
      <c r="B140" s="2">
        <v>44335</v>
      </c>
      <c r="C140" s="2">
        <v>44337</v>
      </c>
      <c r="D140" s="2">
        <v>44341</v>
      </c>
      <c r="E140" t="s">
        <v>21</v>
      </c>
      <c r="F140" t="s">
        <v>22</v>
      </c>
      <c r="G140" t="s">
        <v>26</v>
      </c>
      <c r="H140" t="s">
        <v>30</v>
      </c>
      <c r="I140" t="s">
        <v>36</v>
      </c>
      <c r="J140" t="s">
        <v>41</v>
      </c>
      <c r="K140" t="s">
        <v>50</v>
      </c>
      <c r="L140" t="s">
        <v>51</v>
      </c>
      <c r="M140">
        <v>17096</v>
      </c>
      <c r="N140">
        <v>0.4</v>
      </c>
      <c r="O140">
        <v>12343</v>
      </c>
      <c r="P140">
        <v>23</v>
      </c>
      <c r="Q140" t="s">
        <v>55</v>
      </c>
      <c r="R140" t="s">
        <v>60</v>
      </c>
    </row>
    <row r="141" spans="1:18">
      <c r="A141">
        <v>10140</v>
      </c>
      <c r="B141" s="2">
        <v>44336</v>
      </c>
      <c r="C141" s="2">
        <v>44338</v>
      </c>
      <c r="D141" s="2">
        <v>44342</v>
      </c>
      <c r="E141" t="s">
        <v>18</v>
      </c>
      <c r="F141" t="s">
        <v>22</v>
      </c>
      <c r="G141" t="s">
        <v>23</v>
      </c>
      <c r="H141" t="s">
        <v>30</v>
      </c>
      <c r="I141" t="s">
        <v>36</v>
      </c>
      <c r="J141" t="s">
        <v>43</v>
      </c>
      <c r="K141" t="s">
        <v>50</v>
      </c>
      <c r="L141" t="s">
        <v>51</v>
      </c>
      <c r="M141">
        <v>19713</v>
      </c>
      <c r="N141">
        <v>0.28000000000000003</v>
      </c>
      <c r="O141">
        <v>8605</v>
      </c>
      <c r="P141">
        <v>1</v>
      </c>
      <c r="Q141" t="s">
        <v>57</v>
      </c>
      <c r="R141" t="s">
        <v>61</v>
      </c>
    </row>
    <row r="142" spans="1:18">
      <c r="A142">
        <v>10141</v>
      </c>
      <c r="B142" s="2">
        <v>44337</v>
      </c>
      <c r="C142" s="2">
        <v>44339</v>
      </c>
      <c r="D142" s="2">
        <v>44343</v>
      </c>
      <c r="E142" t="s">
        <v>18</v>
      </c>
      <c r="F142" t="s">
        <v>22</v>
      </c>
      <c r="G142" t="s">
        <v>23</v>
      </c>
      <c r="H142" t="s">
        <v>33</v>
      </c>
      <c r="I142" t="s">
        <v>34</v>
      </c>
      <c r="J142" t="s">
        <v>41</v>
      </c>
      <c r="K142" t="s">
        <v>50</v>
      </c>
      <c r="L142" t="s">
        <v>52</v>
      </c>
      <c r="M142">
        <v>50418</v>
      </c>
      <c r="N142">
        <v>0.35</v>
      </c>
      <c r="O142">
        <v>-128</v>
      </c>
      <c r="P142">
        <v>22</v>
      </c>
      <c r="Q142" t="s">
        <v>54</v>
      </c>
      <c r="R142" t="s">
        <v>62</v>
      </c>
    </row>
    <row r="143" spans="1:18">
      <c r="A143">
        <v>10142</v>
      </c>
      <c r="B143" s="2">
        <v>44338</v>
      </c>
      <c r="C143" s="2">
        <v>44340</v>
      </c>
      <c r="D143" s="2">
        <v>44344</v>
      </c>
      <c r="E143" t="s">
        <v>20</v>
      </c>
      <c r="F143" t="s">
        <v>22</v>
      </c>
      <c r="G143" t="s">
        <v>26</v>
      </c>
      <c r="H143" t="s">
        <v>29</v>
      </c>
      <c r="I143" t="s">
        <v>36</v>
      </c>
      <c r="J143" t="s">
        <v>39</v>
      </c>
      <c r="K143" t="s">
        <v>49</v>
      </c>
      <c r="L143" t="s">
        <v>53</v>
      </c>
      <c r="M143">
        <v>28555</v>
      </c>
      <c r="N143">
        <v>0.19</v>
      </c>
      <c r="O143">
        <v>17425</v>
      </c>
      <c r="P143">
        <v>15</v>
      </c>
      <c r="Q143" t="s">
        <v>57</v>
      </c>
      <c r="R143" t="s">
        <v>60</v>
      </c>
    </row>
    <row r="144" spans="1:18">
      <c r="A144">
        <v>10143</v>
      </c>
      <c r="B144" s="2">
        <v>44339</v>
      </c>
      <c r="C144" s="2">
        <v>44341</v>
      </c>
      <c r="D144" s="2">
        <v>44345</v>
      </c>
      <c r="E144" t="s">
        <v>19</v>
      </c>
      <c r="F144" t="s">
        <v>22</v>
      </c>
      <c r="G144" t="s">
        <v>27</v>
      </c>
      <c r="H144" t="s">
        <v>29</v>
      </c>
      <c r="I144" t="s">
        <v>34</v>
      </c>
      <c r="J144" t="s">
        <v>38</v>
      </c>
      <c r="K144" t="s">
        <v>49</v>
      </c>
      <c r="L144" t="s">
        <v>52</v>
      </c>
      <c r="M144">
        <v>7081</v>
      </c>
      <c r="N144">
        <v>0.02</v>
      </c>
      <c r="O144">
        <v>3582</v>
      </c>
      <c r="P144">
        <v>17</v>
      </c>
      <c r="Q144" t="s">
        <v>57</v>
      </c>
      <c r="R144" t="s">
        <v>62</v>
      </c>
    </row>
    <row r="145" spans="1:18">
      <c r="A145">
        <v>10144</v>
      </c>
      <c r="B145" s="2">
        <v>44340</v>
      </c>
      <c r="C145" s="2">
        <v>44342</v>
      </c>
      <c r="D145" s="2">
        <v>44346</v>
      </c>
      <c r="E145" t="s">
        <v>19</v>
      </c>
      <c r="F145" t="s">
        <v>22</v>
      </c>
      <c r="G145" t="s">
        <v>23</v>
      </c>
      <c r="H145" t="s">
        <v>29</v>
      </c>
      <c r="I145" t="s">
        <v>35</v>
      </c>
      <c r="J145" t="s">
        <v>37</v>
      </c>
      <c r="K145" t="s">
        <v>45</v>
      </c>
      <c r="L145" t="s">
        <v>51</v>
      </c>
      <c r="M145">
        <v>42633</v>
      </c>
      <c r="N145">
        <v>0.06</v>
      </c>
      <c r="O145">
        <v>1101</v>
      </c>
      <c r="P145">
        <v>22</v>
      </c>
      <c r="Q145" t="s">
        <v>58</v>
      </c>
      <c r="R145" t="s">
        <v>62</v>
      </c>
    </row>
    <row r="146" spans="1:18">
      <c r="A146">
        <v>10145</v>
      </c>
      <c r="B146" s="2">
        <v>44341</v>
      </c>
      <c r="C146" s="2">
        <v>44343</v>
      </c>
      <c r="D146" s="2">
        <v>44347</v>
      </c>
      <c r="E146" t="s">
        <v>18</v>
      </c>
      <c r="F146" t="s">
        <v>22</v>
      </c>
      <c r="G146" t="s">
        <v>26</v>
      </c>
      <c r="H146" t="s">
        <v>29</v>
      </c>
      <c r="I146" t="s">
        <v>36</v>
      </c>
      <c r="J146" t="s">
        <v>43</v>
      </c>
      <c r="K146" t="s">
        <v>50</v>
      </c>
      <c r="L146" t="s">
        <v>52</v>
      </c>
      <c r="M146">
        <v>18033</v>
      </c>
      <c r="N146">
        <v>0.13</v>
      </c>
      <c r="O146">
        <v>1891</v>
      </c>
      <c r="P146">
        <v>9</v>
      </c>
      <c r="Q146" t="s">
        <v>55</v>
      </c>
      <c r="R146" t="s">
        <v>59</v>
      </c>
    </row>
    <row r="147" spans="1:18">
      <c r="A147">
        <v>10146</v>
      </c>
      <c r="B147" s="2">
        <v>44342</v>
      </c>
      <c r="C147" s="2">
        <v>44344</v>
      </c>
      <c r="D147" s="2">
        <v>44348</v>
      </c>
      <c r="E147" t="s">
        <v>20</v>
      </c>
      <c r="F147" t="s">
        <v>22</v>
      </c>
      <c r="G147" t="s">
        <v>25</v>
      </c>
      <c r="H147" t="s">
        <v>31</v>
      </c>
      <c r="I147" t="s">
        <v>35</v>
      </c>
      <c r="J147" t="s">
        <v>43</v>
      </c>
      <c r="K147" t="s">
        <v>49</v>
      </c>
      <c r="L147" t="s">
        <v>52</v>
      </c>
      <c r="M147">
        <v>54463</v>
      </c>
      <c r="N147">
        <v>0.13</v>
      </c>
      <c r="O147">
        <v>13551</v>
      </c>
      <c r="P147">
        <v>12</v>
      </c>
      <c r="Q147" t="s">
        <v>58</v>
      </c>
      <c r="R147" t="s">
        <v>62</v>
      </c>
    </row>
    <row r="148" spans="1:18">
      <c r="A148">
        <v>10147</v>
      </c>
      <c r="B148" s="2">
        <v>44343</v>
      </c>
      <c r="C148" s="2">
        <v>44345</v>
      </c>
      <c r="D148" s="2">
        <v>44349</v>
      </c>
      <c r="E148" t="s">
        <v>19</v>
      </c>
      <c r="F148" t="s">
        <v>22</v>
      </c>
      <c r="G148" t="s">
        <v>28</v>
      </c>
      <c r="H148" t="s">
        <v>33</v>
      </c>
      <c r="I148" t="s">
        <v>36</v>
      </c>
      <c r="J148" t="s">
        <v>41</v>
      </c>
      <c r="K148" t="s">
        <v>46</v>
      </c>
      <c r="L148" t="s">
        <v>52</v>
      </c>
      <c r="M148">
        <v>52628</v>
      </c>
      <c r="N148">
        <v>0.3</v>
      </c>
      <c r="O148">
        <v>2414</v>
      </c>
      <c r="P148">
        <v>21</v>
      </c>
      <c r="Q148" t="s">
        <v>58</v>
      </c>
      <c r="R148" t="s">
        <v>60</v>
      </c>
    </row>
    <row r="149" spans="1:18">
      <c r="A149">
        <v>10148</v>
      </c>
      <c r="B149" s="2">
        <v>44344</v>
      </c>
      <c r="C149" s="2">
        <v>44346</v>
      </c>
      <c r="D149" s="2">
        <v>44350</v>
      </c>
      <c r="E149" t="s">
        <v>21</v>
      </c>
      <c r="F149" t="s">
        <v>22</v>
      </c>
      <c r="G149" t="s">
        <v>24</v>
      </c>
      <c r="H149" t="s">
        <v>31</v>
      </c>
      <c r="I149" t="s">
        <v>34</v>
      </c>
      <c r="J149" t="s">
        <v>41</v>
      </c>
      <c r="K149" t="s">
        <v>49</v>
      </c>
      <c r="L149" t="s">
        <v>51</v>
      </c>
      <c r="M149">
        <v>11318</v>
      </c>
      <c r="N149">
        <v>7.0000000000000007E-2</v>
      </c>
      <c r="O149">
        <v>18152</v>
      </c>
      <c r="P149">
        <v>24</v>
      </c>
      <c r="Q149" t="s">
        <v>58</v>
      </c>
      <c r="R149" t="s">
        <v>62</v>
      </c>
    </row>
    <row r="150" spans="1:18">
      <c r="A150">
        <v>10149</v>
      </c>
      <c r="B150" s="2">
        <v>44345</v>
      </c>
      <c r="C150" s="2">
        <v>44347</v>
      </c>
      <c r="D150" s="2">
        <v>44351</v>
      </c>
      <c r="E150" t="s">
        <v>21</v>
      </c>
      <c r="F150" t="s">
        <v>22</v>
      </c>
      <c r="G150" t="s">
        <v>27</v>
      </c>
      <c r="H150" t="s">
        <v>25</v>
      </c>
      <c r="I150" t="s">
        <v>36</v>
      </c>
      <c r="J150" t="s">
        <v>37</v>
      </c>
      <c r="K150" t="s">
        <v>50</v>
      </c>
      <c r="L150" t="s">
        <v>53</v>
      </c>
      <c r="M150">
        <v>30243</v>
      </c>
      <c r="N150">
        <v>0.16</v>
      </c>
      <c r="O150">
        <v>1867</v>
      </c>
      <c r="P150">
        <v>6</v>
      </c>
      <c r="Q150" t="s">
        <v>57</v>
      </c>
      <c r="R150" t="s">
        <v>59</v>
      </c>
    </row>
    <row r="151" spans="1:18">
      <c r="A151">
        <v>10150</v>
      </c>
      <c r="B151" s="2">
        <v>44346</v>
      </c>
      <c r="C151" s="2">
        <v>44348</v>
      </c>
      <c r="D151" s="2">
        <v>44352</v>
      </c>
      <c r="E151" t="s">
        <v>20</v>
      </c>
      <c r="F151" t="s">
        <v>22</v>
      </c>
      <c r="G151" t="s">
        <v>24</v>
      </c>
      <c r="H151" t="s">
        <v>29</v>
      </c>
      <c r="I151" t="s">
        <v>35</v>
      </c>
      <c r="J151" t="s">
        <v>38</v>
      </c>
      <c r="K151" t="s">
        <v>45</v>
      </c>
      <c r="L151" t="s">
        <v>52</v>
      </c>
      <c r="M151">
        <v>27574</v>
      </c>
      <c r="N151">
        <v>0.21</v>
      </c>
      <c r="O151">
        <v>15460</v>
      </c>
      <c r="P151">
        <v>4</v>
      </c>
      <c r="Q151" t="s">
        <v>58</v>
      </c>
      <c r="R151" t="s">
        <v>62</v>
      </c>
    </row>
    <row r="152" spans="1:18">
      <c r="A152">
        <v>10151</v>
      </c>
      <c r="B152" s="2">
        <v>44347</v>
      </c>
      <c r="C152" s="2">
        <v>44349</v>
      </c>
      <c r="D152" s="2">
        <v>44353</v>
      </c>
      <c r="E152" t="s">
        <v>21</v>
      </c>
      <c r="F152" t="s">
        <v>22</v>
      </c>
      <c r="G152" t="s">
        <v>27</v>
      </c>
      <c r="H152" t="s">
        <v>33</v>
      </c>
      <c r="I152" t="s">
        <v>35</v>
      </c>
      <c r="J152" t="s">
        <v>41</v>
      </c>
      <c r="K152" t="s">
        <v>50</v>
      </c>
      <c r="L152" t="s">
        <v>53</v>
      </c>
      <c r="M152">
        <v>44210</v>
      </c>
      <c r="N152">
        <v>0.03</v>
      </c>
      <c r="O152">
        <v>11032</v>
      </c>
      <c r="P152">
        <v>8</v>
      </c>
      <c r="Q152" t="s">
        <v>57</v>
      </c>
      <c r="R152" t="s">
        <v>59</v>
      </c>
    </row>
    <row r="153" spans="1:18">
      <c r="A153">
        <v>10152</v>
      </c>
      <c r="B153" s="2">
        <v>44348</v>
      </c>
      <c r="C153" s="2">
        <v>44350</v>
      </c>
      <c r="D153" s="2">
        <v>44354</v>
      </c>
      <c r="E153" t="s">
        <v>20</v>
      </c>
      <c r="F153" t="s">
        <v>22</v>
      </c>
      <c r="G153" t="s">
        <v>23</v>
      </c>
      <c r="H153" t="s">
        <v>30</v>
      </c>
      <c r="I153" t="s">
        <v>34</v>
      </c>
      <c r="J153" t="s">
        <v>43</v>
      </c>
      <c r="K153" t="s">
        <v>48</v>
      </c>
      <c r="L153" t="s">
        <v>52</v>
      </c>
      <c r="M153">
        <v>67532</v>
      </c>
      <c r="N153">
        <v>0.21</v>
      </c>
      <c r="O153">
        <v>2304</v>
      </c>
      <c r="P153">
        <v>12</v>
      </c>
      <c r="Q153" t="s">
        <v>54</v>
      </c>
      <c r="R153" t="s">
        <v>60</v>
      </c>
    </row>
    <row r="154" spans="1:18">
      <c r="A154">
        <v>10153</v>
      </c>
      <c r="B154" s="2">
        <v>44349</v>
      </c>
      <c r="C154" s="2">
        <v>44351</v>
      </c>
      <c r="D154" s="2">
        <v>44355</v>
      </c>
      <c r="E154" t="s">
        <v>19</v>
      </c>
      <c r="F154" t="s">
        <v>22</v>
      </c>
      <c r="G154" t="s">
        <v>26</v>
      </c>
      <c r="H154" t="s">
        <v>25</v>
      </c>
      <c r="I154" t="s">
        <v>35</v>
      </c>
      <c r="J154" t="s">
        <v>38</v>
      </c>
      <c r="K154" t="s">
        <v>50</v>
      </c>
      <c r="L154" t="s">
        <v>53</v>
      </c>
      <c r="M154">
        <v>70232</v>
      </c>
      <c r="N154">
        <v>0.12</v>
      </c>
      <c r="O154">
        <v>7829</v>
      </c>
      <c r="P154">
        <v>14</v>
      </c>
      <c r="Q154" t="s">
        <v>56</v>
      </c>
      <c r="R154" t="s">
        <v>62</v>
      </c>
    </row>
    <row r="155" spans="1:18">
      <c r="A155">
        <v>10154</v>
      </c>
      <c r="B155" s="2">
        <v>44350</v>
      </c>
      <c r="C155" s="2">
        <v>44352</v>
      </c>
      <c r="D155" s="2">
        <v>44356</v>
      </c>
      <c r="E155" t="s">
        <v>18</v>
      </c>
      <c r="F155" t="s">
        <v>22</v>
      </c>
      <c r="G155" t="s">
        <v>28</v>
      </c>
      <c r="H155" t="s">
        <v>29</v>
      </c>
      <c r="I155" t="s">
        <v>35</v>
      </c>
      <c r="J155" t="s">
        <v>39</v>
      </c>
      <c r="K155" t="s">
        <v>47</v>
      </c>
      <c r="L155" t="s">
        <v>51</v>
      </c>
      <c r="M155">
        <v>51020</v>
      </c>
      <c r="N155">
        <v>0.39</v>
      </c>
      <c r="O155">
        <v>16946</v>
      </c>
      <c r="P155">
        <v>2</v>
      </c>
      <c r="Q155" t="s">
        <v>58</v>
      </c>
      <c r="R155" t="s">
        <v>61</v>
      </c>
    </row>
    <row r="156" spans="1:18">
      <c r="A156">
        <v>10155</v>
      </c>
      <c r="B156" s="2">
        <v>44351</v>
      </c>
      <c r="C156" s="2">
        <v>44353</v>
      </c>
      <c r="D156" s="2">
        <v>44357</v>
      </c>
      <c r="E156" t="s">
        <v>18</v>
      </c>
      <c r="F156" t="s">
        <v>22</v>
      </c>
      <c r="G156" t="s">
        <v>28</v>
      </c>
      <c r="H156" t="s">
        <v>31</v>
      </c>
      <c r="I156" t="s">
        <v>34</v>
      </c>
      <c r="J156" t="s">
        <v>40</v>
      </c>
      <c r="K156" t="s">
        <v>50</v>
      </c>
      <c r="L156" t="s">
        <v>53</v>
      </c>
      <c r="M156">
        <v>44659</v>
      </c>
      <c r="N156">
        <v>0.02</v>
      </c>
      <c r="O156">
        <v>11077</v>
      </c>
      <c r="P156">
        <v>22</v>
      </c>
      <c r="Q156" t="s">
        <v>54</v>
      </c>
      <c r="R156" t="s">
        <v>60</v>
      </c>
    </row>
    <row r="157" spans="1:18">
      <c r="A157">
        <v>10156</v>
      </c>
      <c r="B157" s="2">
        <v>44352</v>
      </c>
      <c r="C157" s="2">
        <v>44354</v>
      </c>
      <c r="D157" s="2">
        <v>44358</v>
      </c>
      <c r="E157" t="s">
        <v>20</v>
      </c>
      <c r="F157" t="s">
        <v>22</v>
      </c>
      <c r="G157" t="s">
        <v>28</v>
      </c>
      <c r="H157" t="s">
        <v>31</v>
      </c>
      <c r="I157" t="s">
        <v>36</v>
      </c>
      <c r="J157" t="s">
        <v>37</v>
      </c>
      <c r="K157" t="s">
        <v>45</v>
      </c>
      <c r="L157" t="s">
        <v>53</v>
      </c>
      <c r="M157">
        <v>72548</v>
      </c>
      <c r="N157">
        <v>0.22</v>
      </c>
      <c r="O157">
        <v>11389</v>
      </c>
      <c r="P157">
        <v>15</v>
      </c>
      <c r="Q157" t="s">
        <v>58</v>
      </c>
      <c r="R157" t="s">
        <v>59</v>
      </c>
    </row>
    <row r="158" spans="1:18">
      <c r="A158">
        <v>10157</v>
      </c>
      <c r="B158" s="2">
        <v>44353</v>
      </c>
      <c r="C158" s="2">
        <v>44355</v>
      </c>
      <c r="D158" s="2">
        <v>44359</v>
      </c>
      <c r="E158" t="s">
        <v>21</v>
      </c>
      <c r="F158" t="s">
        <v>22</v>
      </c>
      <c r="G158" t="s">
        <v>23</v>
      </c>
      <c r="H158" t="s">
        <v>25</v>
      </c>
      <c r="I158" t="s">
        <v>34</v>
      </c>
      <c r="J158" t="s">
        <v>43</v>
      </c>
      <c r="K158" t="s">
        <v>45</v>
      </c>
      <c r="L158" t="s">
        <v>52</v>
      </c>
      <c r="M158">
        <v>42676</v>
      </c>
      <c r="N158">
        <v>0.39</v>
      </c>
      <c r="O158">
        <v>6490</v>
      </c>
      <c r="P158">
        <v>5</v>
      </c>
      <c r="Q158" t="s">
        <v>55</v>
      </c>
      <c r="R158" t="s">
        <v>59</v>
      </c>
    </row>
    <row r="159" spans="1:18">
      <c r="A159">
        <v>10158</v>
      </c>
      <c r="B159" s="2">
        <v>44354</v>
      </c>
      <c r="C159" s="2">
        <v>44356</v>
      </c>
      <c r="D159" s="2">
        <v>44360</v>
      </c>
      <c r="E159" t="s">
        <v>18</v>
      </c>
      <c r="F159" t="s">
        <v>22</v>
      </c>
      <c r="G159" t="s">
        <v>25</v>
      </c>
      <c r="H159" t="s">
        <v>32</v>
      </c>
      <c r="I159" t="s">
        <v>35</v>
      </c>
      <c r="J159" t="s">
        <v>40</v>
      </c>
      <c r="K159" t="s">
        <v>48</v>
      </c>
      <c r="L159" t="s">
        <v>53</v>
      </c>
      <c r="M159">
        <v>62669</v>
      </c>
      <c r="N159">
        <v>0.37</v>
      </c>
      <c r="O159">
        <v>18220</v>
      </c>
      <c r="P159">
        <v>19</v>
      </c>
      <c r="Q159" t="s">
        <v>58</v>
      </c>
      <c r="R159" t="s">
        <v>60</v>
      </c>
    </row>
    <row r="160" spans="1:18">
      <c r="A160">
        <v>10159</v>
      </c>
      <c r="B160" s="2">
        <v>44355</v>
      </c>
      <c r="C160" s="2">
        <v>44357</v>
      </c>
      <c r="D160" s="2">
        <v>44361</v>
      </c>
      <c r="E160" t="s">
        <v>20</v>
      </c>
      <c r="F160" t="s">
        <v>22</v>
      </c>
      <c r="G160" t="s">
        <v>28</v>
      </c>
      <c r="H160" t="s">
        <v>29</v>
      </c>
      <c r="I160" t="s">
        <v>34</v>
      </c>
      <c r="J160" t="s">
        <v>37</v>
      </c>
      <c r="K160" t="s">
        <v>49</v>
      </c>
      <c r="L160" t="s">
        <v>51</v>
      </c>
      <c r="M160">
        <v>30843</v>
      </c>
      <c r="N160">
        <v>0.01</v>
      </c>
      <c r="O160">
        <v>17459</v>
      </c>
      <c r="P160">
        <v>2</v>
      </c>
      <c r="Q160" t="s">
        <v>55</v>
      </c>
      <c r="R160" t="s">
        <v>62</v>
      </c>
    </row>
    <row r="161" spans="1:18">
      <c r="A161">
        <v>10160</v>
      </c>
      <c r="B161" s="2">
        <v>44356</v>
      </c>
      <c r="C161" s="2">
        <v>44358</v>
      </c>
      <c r="D161" s="2">
        <v>44362</v>
      </c>
      <c r="E161" t="s">
        <v>19</v>
      </c>
      <c r="F161" t="s">
        <v>22</v>
      </c>
      <c r="G161" t="s">
        <v>25</v>
      </c>
      <c r="H161" t="s">
        <v>25</v>
      </c>
      <c r="I161" t="s">
        <v>34</v>
      </c>
      <c r="J161" t="s">
        <v>43</v>
      </c>
      <c r="K161" t="s">
        <v>48</v>
      </c>
      <c r="L161" t="s">
        <v>51</v>
      </c>
      <c r="M161">
        <v>70800</v>
      </c>
      <c r="N161">
        <v>0.14000000000000001</v>
      </c>
      <c r="O161">
        <v>-335</v>
      </c>
      <c r="P161">
        <v>5</v>
      </c>
      <c r="Q161" t="s">
        <v>57</v>
      </c>
      <c r="R161" t="s">
        <v>60</v>
      </c>
    </row>
    <row r="162" spans="1:18">
      <c r="A162">
        <v>10161</v>
      </c>
      <c r="B162" s="2">
        <v>44357</v>
      </c>
      <c r="C162" s="2">
        <v>44359</v>
      </c>
      <c r="D162" s="2">
        <v>44363</v>
      </c>
      <c r="E162" t="s">
        <v>19</v>
      </c>
      <c r="F162" t="s">
        <v>22</v>
      </c>
      <c r="G162" t="s">
        <v>26</v>
      </c>
      <c r="H162" t="s">
        <v>32</v>
      </c>
      <c r="I162" t="s">
        <v>36</v>
      </c>
      <c r="J162" t="s">
        <v>41</v>
      </c>
      <c r="K162" t="s">
        <v>49</v>
      </c>
      <c r="L162" t="s">
        <v>51</v>
      </c>
      <c r="M162">
        <v>47698</v>
      </c>
      <c r="N162">
        <v>0.16</v>
      </c>
      <c r="O162">
        <v>15731</v>
      </c>
      <c r="P162">
        <v>11</v>
      </c>
      <c r="Q162" t="s">
        <v>54</v>
      </c>
      <c r="R162" t="s">
        <v>62</v>
      </c>
    </row>
    <row r="163" spans="1:18">
      <c r="A163">
        <v>10162</v>
      </c>
      <c r="B163" s="2">
        <v>44358</v>
      </c>
      <c r="C163" s="2">
        <v>44360</v>
      </c>
      <c r="D163" s="2">
        <v>44364</v>
      </c>
      <c r="E163" t="s">
        <v>20</v>
      </c>
      <c r="F163" t="s">
        <v>22</v>
      </c>
      <c r="G163" t="s">
        <v>23</v>
      </c>
      <c r="H163" t="s">
        <v>31</v>
      </c>
      <c r="I163" t="s">
        <v>34</v>
      </c>
      <c r="J163" t="s">
        <v>37</v>
      </c>
      <c r="K163" t="s">
        <v>47</v>
      </c>
      <c r="L163" t="s">
        <v>53</v>
      </c>
      <c r="M163">
        <v>35432</v>
      </c>
      <c r="N163">
        <v>0.08</v>
      </c>
      <c r="O163">
        <v>17316</v>
      </c>
      <c r="P163">
        <v>11</v>
      </c>
      <c r="Q163" t="s">
        <v>58</v>
      </c>
      <c r="R163" t="s">
        <v>59</v>
      </c>
    </row>
    <row r="164" spans="1:18">
      <c r="A164">
        <v>10163</v>
      </c>
      <c r="B164" s="2">
        <v>44359</v>
      </c>
      <c r="C164" s="2">
        <v>44361</v>
      </c>
      <c r="D164" s="2">
        <v>44365</v>
      </c>
      <c r="E164" t="s">
        <v>20</v>
      </c>
      <c r="F164" t="s">
        <v>22</v>
      </c>
      <c r="G164" t="s">
        <v>23</v>
      </c>
      <c r="H164" t="s">
        <v>31</v>
      </c>
      <c r="I164" t="s">
        <v>35</v>
      </c>
      <c r="J164" t="s">
        <v>38</v>
      </c>
      <c r="K164" t="s">
        <v>49</v>
      </c>
      <c r="L164" t="s">
        <v>51</v>
      </c>
      <c r="M164">
        <v>12708</v>
      </c>
      <c r="N164">
        <v>0.17</v>
      </c>
      <c r="O164">
        <v>2807</v>
      </c>
      <c r="P164">
        <v>20</v>
      </c>
      <c r="Q164" t="s">
        <v>57</v>
      </c>
      <c r="R164" t="s">
        <v>61</v>
      </c>
    </row>
    <row r="165" spans="1:18">
      <c r="A165">
        <v>10164</v>
      </c>
      <c r="B165" s="2">
        <v>44360</v>
      </c>
      <c r="C165" s="2">
        <v>44362</v>
      </c>
      <c r="D165" s="2">
        <v>44366</v>
      </c>
      <c r="E165" t="s">
        <v>20</v>
      </c>
      <c r="F165" t="s">
        <v>22</v>
      </c>
      <c r="G165" t="s">
        <v>25</v>
      </c>
      <c r="H165" t="s">
        <v>30</v>
      </c>
      <c r="I165" t="s">
        <v>35</v>
      </c>
      <c r="J165" t="s">
        <v>37</v>
      </c>
      <c r="K165" t="s">
        <v>49</v>
      </c>
      <c r="L165" t="s">
        <v>53</v>
      </c>
      <c r="M165">
        <v>37691</v>
      </c>
      <c r="N165">
        <v>0.12</v>
      </c>
      <c r="O165">
        <v>327</v>
      </c>
      <c r="P165">
        <v>7</v>
      </c>
      <c r="Q165" t="s">
        <v>57</v>
      </c>
      <c r="R165" t="s">
        <v>59</v>
      </c>
    </row>
    <row r="166" spans="1:18">
      <c r="A166">
        <v>10165</v>
      </c>
      <c r="B166" s="2">
        <v>44361</v>
      </c>
      <c r="C166" s="2">
        <v>44363</v>
      </c>
      <c r="D166" s="2">
        <v>44367</v>
      </c>
      <c r="E166" t="s">
        <v>21</v>
      </c>
      <c r="F166" t="s">
        <v>22</v>
      </c>
      <c r="G166" t="s">
        <v>25</v>
      </c>
      <c r="H166" t="s">
        <v>29</v>
      </c>
      <c r="I166" t="s">
        <v>34</v>
      </c>
      <c r="J166" t="s">
        <v>38</v>
      </c>
      <c r="K166" t="s">
        <v>47</v>
      </c>
      <c r="L166" t="s">
        <v>52</v>
      </c>
      <c r="M166">
        <v>907</v>
      </c>
      <c r="N166">
        <v>0.05</v>
      </c>
      <c r="O166">
        <v>175</v>
      </c>
      <c r="P166">
        <v>17</v>
      </c>
      <c r="Q166" t="s">
        <v>56</v>
      </c>
      <c r="R166" t="s">
        <v>59</v>
      </c>
    </row>
    <row r="167" spans="1:18">
      <c r="A167">
        <v>10166</v>
      </c>
      <c r="B167" s="2">
        <v>44362</v>
      </c>
      <c r="C167" s="2">
        <v>44364</v>
      </c>
      <c r="D167" s="2">
        <v>44368</v>
      </c>
      <c r="E167" t="s">
        <v>19</v>
      </c>
      <c r="F167" t="s">
        <v>22</v>
      </c>
      <c r="G167" t="s">
        <v>23</v>
      </c>
      <c r="H167" t="s">
        <v>33</v>
      </c>
      <c r="I167" t="s">
        <v>36</v>
      </c>
      <c r="J167" t="s">
        <v>40</v>
      </c>
      <c r="K167" t="s">
        <v>46</v>
      </c>
      <c r="L167" t="s">
        <v>52</v>
      </c>
      <c r="M167">
        <v>71183</v>
      </c>
      <c r="N167">
        <v>0.36</v>
      </c>
      <c r="O167">
        <v>12696</v>
      </c>
      <c r="P167">
        <v>3</v>
      </c>
      <c r="Q167" t="s">
        <v>58</v>
      </c>
      <c r="R167" t="s">
        <v>62</v>
      </c>
    </row>
    <row r="168" spans="1:18">
      <c r="A168">
        <v>10167</v>
      </c>
      <c r="B168" s="2">
        <v>44363</v>
      </c>
      <c r="C168" s="2">
        <v>44365</v>
      </c>
      <c r="D168" s="2">
        <v>44369</v>
      </c>
      <c r="E168" t="s">
        <v>19</v>
      </c>
      <c r="F168" t="s">
        <v>22</v>
      </c>
      <c r="G168" t="s">
        <v>26</v>
      </c>
      <c r="H168" t="s">
        <v>30</v>
      </c>
      <c r="I168" t="s">
        <v>34</v>
      </c>
      <c r="J168" t="s">
        <v>37</v>
      </c>
      <c r="K168" t="s">
        <v>47</v>
      </c>
      <c r="L168" t="s">
        <v>53</v>
      </c>
      <c r="M168">
        <v>50313</v>
      </c>
      <c r="N168">
        <v>0.21</v>
      </c>
      <c r="O168">
        <v>12339</v>
      </c>
      <c r="P168">
        <v>15</v>
      </c>
      <c r="Q168" t="s">
        <v>54</v>
      </c>
      <c r="R168" t="s">
        <v>61</v>
      </c>
    </row>
    <row r="169" spans="1:18">
      <c r="A169">
        <v>10168</v>
      </c>
      <c r="B169" s="2">
        <v>44364</v>
      </c>
      <c r="C169" s="2">
        <v>44366</v>
      </c>
      <c r="D169" s="2">
        <v>44370</v>
      </c>
      <c r="E169" t="s">
        <v>21</v>
      </c>
      <c r="F169" t="s">
        <v>22</v>
      </c>
      <c r="G169" t="s">
        <v>27</v>
      </c>
      <c r="H169" t="s">
        <v>32</v>
      </c>
      <c r="I169" t="s">
        <v>35</v>
      </c>
      <c r="J169" t="s">
        <v>37</v>
      </c>
      <c r="K169" t="s">
        <v>48</v>
      </c>
      <c r="L169" t="s">
        <v>53</v>
      </c>
      <c r="M169">
        <v>60301</v>
      </c>
      <c r="N169">
        <v>0.17</v>
      </c>
      <c r="O169">
        <v>6197</v>
      </c>
      <c r="P169">
        <v>24</v>
      </c>
      <c r="Q169" t="s">
        <v>55</v>
      </c>
      <c r="R169" t="s">
        <v>61</v>
      </c>
    </row>
    <row r="170" spans="1:18">
      <c r="A170">
        <v>10169</v>
      </c>
      <c r="B170" s="2">
        <v>44365</v>
      </c>
      <c r="C170" s="2">
        <v>44367</v>
      </c>
      <c r="D170" s="2">
        <v>44371</v>
      </c>
      <c r="E170" t="s">
        <v>21</v>
      </c>
      <c r="F170" t="s">
        <v>22</v>
      </c>
      <c r="G170" t="s">
        <v>27</v>
      </c>
      <c r="H170" t="s">
        <v>32</v>
      </c>
      <c r="I170" t="s">
        <v>34</v>
      </c>
      <c r="J170" t="s">
        <v>37</v>
      </c>
      <c r="K170" t="s">
        <v>49</v>
      </c>
      <c r="L170" t="s">
        <v>53</v>
      </c>
      <c r="M170">
        <v>31558</v>
      </c>
      <c r="N170">
        <v>0.35</v>
      </c>
      <c r="O170">
        <v>595</v>
      </c>
      <c r="P170">
        <v>2</v>
      </c>
      <c r="Q170" t="s">
        <v>55</v>
      </c>
      <c r="R170" t="s">
        <v>61</v>
      </c>
    </row>
    <row r="171" spans="1:18">
      <c r="A171">
        <v>10170</v>
      </c>
      <c r="B171" s="2">
        <v>44366</v>
      </c>
      <c r="C171" s="2">
        <v>44368</v>
      </c>
      <c r="D171" s="2">
        <v>44372</v>
      </c>
      <c r="E171" t="s">
        <v>21</v>
      </c>
      <c r="F171" t="s">
        <v>22</v>
      </c>
      <c r="G171" t="s">
        <v>24</v>
      </c>
      <c r="H171" t="s">
        <v>33</v>
      </c>
      <c r="I171" t="s">
        <v>35</v>
      </c>
      <c r="J171" t="s">
        <v>40</v>
      </c>
      <c r="K171" t="s">
        <v>48</v>
      </c>
      <c r="L171" t="s">
        <v>51</v>
      </c>
      <c r="M171">
        <v>59372</v>
      </c>
      <c r="N171">
        <v>0.14000000000000001</v>
      </c>
      <c r="O171">
        <v>11820</v>
      </c>
      <c r="P171">
        <v>10</v>
      </c>
      <c r="Q171" t="s">
        <v>56</v>
      </c>
      <c r="R171" t="s">
        <v>61</v>
      </c>
    </row>
    <row r="172" spans="1:18">
      <c r="A172">
        <v>10171</v>
      </c>
      <c r="B172" s="2">
        <v>44367</v>
      </c>
      <c r="C172" s="2">
        <v>44369</v>
      </c>
      <c r="D172" s="2">
        <v>44373</v>
      </c>
      <c r="E172" t="s">
        <v>19</v>
      </c>
      <c r="F172" t="s">
        <v>22</v>
      </c>
      <c r="G172" t="s">
        <v>28</v>
      </c>
      <c r="H172" t="s">
        <v>30</v>
      </c>
      <c r="I172" t="s">
        <v>36</v>
      </c>
      <c r="J172" t="s">
        <v>40</v>
      </c>
      <c r="K172" t="s">
        <v>47</v>
      </c>
      <c r="L172" t="s">
        <v>51</v>
      </c>
      <c r="M172">
        <v>43196</v>
      </c>
      <c r="N172">
        <v>0.33</v>
      </c>
      <c r="O172">
        <v>9932</v>
      </c>
      <c r="P172">
        <v>6</v>
      </c>
      <c r="Q172" t="s">
        <v>58</v>
      </c>
      <c r="R172" t="s">
        <v>61</v>
      </c>
    </row>
    <row r="173" spans="1:18">
      <c r="A173">
        <v>10172</v>
      </c>
      <c r="B173" s="2">
        <v>44368</v>
      </c>
      <c r="C173" s="2">
        <v>44370</v>
      </c>
      <c r="D173" s="2">
        <v>44374</v>
      </c>
      <c r="E173" t="s">
        <v>21</v>
      </c>
      <c r="F173" t="s">
        <v>22</v>
      </c>
      <c r="G173" t="s">
        <v>25</v>
      </c>
      <c r="H173" t="s">
        <v>33</v>
      </c>
      <c r="I173" t="s">
        <v>36</v>
      </c>
      <c r="J173" t="s">
        <v>39</v>
      </c>
      <c r="K173" t="s">
        <v>44</v>
      </c>
      <c r="L173" t="s">
        <v>52</v>
      </c>
      <c r="M173">
        <v>55694</v>
      </c>
      <c r="N173">
        <v>0.21</v>
      </c>
      <c r="O173">
        <v>18901</v>
      </c>
      <c r="P173">
        <v>12</v>
      </c>
      <c r="Q173" t="s">
        <v>57</v>
      </c>
      <c r="R173" t="s">
        <v>59</v>
      </c>
    </row>
    <row r="174" spans="1:18">
      <c r="A174">
        <v>10173</v>
      </c>
      <c r="B174" s="2">
        <v>44369</v>
      </c>
      <c r="C174" s="2">
        <v>44371</v>
      </c>
      <c r="D174" s="2">
        <v>44375</v>
      </c>
      <c r="E174" t="s">
        <v>19</v>
      </c>
      <c r="F174" t="s">
        <v>22</v>
      </c>
      <c r="G174" t="s">
        <v>28</v>
      </c>
      <c r="H174" t="s">
        <v>29</v>
      </c>
      <c r="I174" t="s">
        <v>35</v>
      </c>
      <c r="J174" t="s">
        <v>41</v>
      </c>
      <c r="K174" t="s">
        <v>45</v>
      </c>
      <c r="L174" t="s">
        <v>53</v>
      </c>
      <c r="M174">
        <v>56224</v>
      </c>
      <c r="N174">
        <v>0.06</v>
      </c>
      <c r="O174">
        <v>2430</v>
      </c>
      <c r="P174">
        <v>23</v>
      </c>
      <c r="Q174" t="s">
        <v>54</v>
      </c>
      <c r="R174" t="s">
        <v>62</v>
      </c>
    </row>
    <row r="175" spans="1:18">
      <c r="A175">
        <v>10174</v>
      </c>
      <c r="B175" s="2">
        <v>44370</v>
      </c>
      <c r="C175" s="2">
        <v>44372</v>
      </c>
      <c r="D175" s="2">
        <v>44376</v>
      </c>
      <c r="E175" t="s">
        <v>21</v>
      </c>
      <c r="F175" t="s">
        <v>22</v>
      </c>
      <c r="G175" t="s">
        <v>28</v>
      </c>
      <c r="H175" t="s">
        <v>31</v>
      </c>
      <c r="I175" t="s">
        <v>34</v>
      </c>
      <c r="J175" t="s">
        <v>43</v>
      </c>
      <c r="K175" t="s">
        <v>44</v>
      </c>
      <c r="L175" t="s">
        <v>53</v>
      </c>
      <c r="M175">
        <v>3400</v>
      </c>
      <c r="N175">
        <v>0.27</v>
      </c>
      <c r="O175">
        <v>16014</v>
      </c>
      <c r="P175">
        <v>2</v>
      </c>
      <c r="Q175" t="s">
        <v>58</v>
      </c>
      <c r="R175" t="s">
        <v>61</v>
      </c>
    </row>
    <row r="176" spans="1:18">
      <c r="A176">
        <v>10175</v>
      </c>
      <c r="B176" s="2">
        <v>44371</v>
      </c>
      <c r="C176" s="2">
        <v>44373</v>
      </c>
      <c r="D176" s="2">
        <v>44377</v>
      </c>
      <c r="E176" t="s">
        <v>18</v>
      </c>
      <c r="F176" t="s">
        <v>22</v>
      </c>
      <c r="G176" t="s">
        <v>27</v>
      </c>
      <c r="H176" t="s">
        <v>30</v>
      </c>
      <c r="I176" t="s">
        <v>35</v>
      </c>
      <c r="J176" t="s">
        <v>43</v>
      </c>
      <c r="K176" t="s">
        <v>45</v>
      </c>
      <c r="L176" t="s">
        <v>52</v>
      </c>
      <c r="M176">
        <v>8616</v>
      </c>
      <c r="N176">
        <v>0.16</v>
      </c>
      <c r="O176">
        <v>1992</v>
      </c>
      <c r="P176">
        <v>22</v>
      </c>
      <c r="Q176" t="s">
        <v>57</v>
      </c>
      <c r="R176" t="s">
        <v>61</v>
      </c>
    </row>
    <row r="177" spans="1:18">
      <c r="A177">
        <v>10176</v>
      </c>
      <c r="B177" s="2">
        <v>44372</v>
      </c>
      <c r="C177" s="2">
        <v>44374</v>
      </c>
      <c r="D177" s="2">
        <v>44378</v>
      </c>
      <c r="E177" t="s">
        <v>21</v>
      </c>
      <c r="F177" t="s">
        <v>22</v>
      </c>
      <c r="G177" t="s">
        <v>25</v>
      </c>
      <c r="H177" t="s">
        <v>25</v>
      </c>
      <c r="I177" t="s">
        <v>35</v>
      </c>
      <c r="J177" t="s">
        <v>40</v>
      </c>
      <c r="K177" t="s">
        <v>44</v>
      </c>
      <c r="L177" t="s">
        <v>53</v>
      </c>
      <c r="M177">
        <v>52012</v>
      </c>
      <c r="N177">
        <v>0.12</v>
      </c>
      <c r="O177">
        <v>18246</v>
      </c>
      <c r="P177">
        <v>11</v>
      </c>
      <c r="Q177" t="s">
        <v>58</v>
      </c>
      <c r="R177" t="s">
        <v>60</v>
      </c>
    </row>
    <row r="178" spans="1:18">
      <c r="A178">
        <v>10177</v>
      </c>
      <c r="B178" s="2">
        <v>44373</v>
      </c>
      <c r="C178" s="2">
        <v>44375</v>
      </c>
      <c r="D178" s="2">
        <v>44379</v>
      </c>
      <c r="E178" t="s">
        <v>21</v>
      </c>
      <c r="F178" t="s">
        <v>22</v>
      </c>
      <c r="G178" t="s">
        <v>26</v>
      </c>
      <c r="H178" t="s">
        <v>29</v>
      </c>
      <c r="I178" t="s">
        <v>36</v>
      </c>
      <c r="J178" t="s">
        <v>41</v>
      </c>
      <c r="K178" t="s">
        <v>46</v>
      </c>
      <c r="L178" t="s">
        <v>53</v>
      </c>
      <c r="M178">
        <v>24362</v>
      </c>
      <c r="N178">
        <v>0.26</v>
      </c>
      <c r="O178">
        <v>18171</v>
      </c>
      <c r="P178">
        <v>16</v>
      </c>
      <c r="Q178" t="s">
        <v>57</v>
      </c>
      <c r="R178" t="s">
        <v>62</v>
      </c>
    </row>
    <row r="179" spans="1:18">
      <c r="A179">
        <v>10178</v>
      </c>
      <c r="B179" s="2">
        <v>44374</v>
      </c>
      <c r="C179" s="2">
        <v>44376</v>
      </c>
      <c r="D179" s="2">
        <v>44380</v>
      </c>
      <c r="E179" t="s">
        <v>19</v>
      </c>
      <c r="F179" t="s">
        <v>22</v>
      </c>
      <c r="G179" t="s">
        <v>25</v>
      </c>
      <c r="H179" t="s">
        <v>32</v>
      </c>
      <c r="I179" t="s">
        <v>34</v>
      </c>
      <c r="J179" t="s">
        <v>39</v>
      </c>
      <c r="K179" t="s">
        <v>50</v>
      </c>
      <c r="L179" t="s">
        <v>52</v>
      </c>
      <c r="M179">
        <v>40435</v>
      </c>
      <c r="N179">
        <v>0.28999999999999998</v>
      </c>
      <c r="O179">
        <v>13134</v>
      </c>
      <c r="P179">
        <v>13</v>
      </c>
      <c r="Q179" t="s">
        <v>56</v>
      </c>
      <c r="R179" t="s">
        <v>60</v>
      </c>
    </row>
    <row r="180" spans="1:18">
      <c r="A180">
        <v>10179</v>
      </c>
      <c r="B180" s="2">
        <v>44375</v>
      </c>
      <c r="C180" s="2">
        <v>44377</v>
      </c>
      <c r="D180" s="2">
        <v>44381</v>
      </c>
      <c r="E180" t="s">
        <v>20</v>
      </c>
      <c r="F180" t="s">
        <v>22</v>
      </c>
      <c r="G180" t="s">
        <v>24</v>
      </c>
      <c r="H180" t="s">
        <v>31</v>
      </c>
      <c r="I180" t="s">
        <v>36</v>
      </c>
      <c r="J180" t="s">
        <v>39</v>
      </c>
      <c r="K180" t="s">
        <v>47</v>
      </c>
      <c r="L180" t="s">
        <v>53</v>
      </c>
      <c r="M180">
        <v>5042</v>
      </c>
      <c r="N180">
        <v>0.01</v>
      </c>
      <c r="O180">
        <v>1250</v>
      </c>
      <c r="P180">
        <v>6</v>
      </c>
      <c r="Q180" t="s">
        <v>56</v>
      </c>
      <c r="R180" t="s">
        <v>60</v>
      </c>
    </row>
    <row r="181" spans="1:18">
      <c r="A181">
        <v>10180</v>
      </c>
      <c r="B181" s="2">
        <v>44376</v>
      </c>
      <c r="C181" s="2">
        <v>44378</v>
      </c>
      <c r="D181" s="2">
        <v>44382</v>
      </c>
      <c r="E181" t="s">
        <v>20</v>
      </c>
      <c r="F181" t="s">
        <v>22</v>
      </c>
      <c r="G181" t="s">
        <v>27</v>
      </c>
      <c r="H181" t="s">
        <v>30</v>
      </c>
      <c r="I181" t="s">
        <v>35</v>
      </c>
      <c r="J181" t="s">
        <v>40</v>
      </c>
      <c r="K181" t="s">
        <v>44</v>
      </c>
      <c r="L181" t="s">
        <v>53</v>
      </c>
      <c r="M181">
        <v>71432</v>
      </c>
      <c r="N181">
        <v>0.18</v>
      </c>
      <c r="O181">
        <v>19179</v>
      </c>
      <c r="P181">
        <v>9</v>
      </c>
      <c r="Q181" t="s">
        <v>56</v>
      </c>
      <c r="R181" t="s">
        <v>62</v>
      </c>
    </row>
    <row r="182" spans="1:18">
      <c r="A182">
        <v>10181</v>
      </c>
      <c r="B182" s="2">
        <v>44377</v>
      </c>
      <c r="C182" s="2">
        <v>44379</v>
      </c>
      <c r="D182" s="2">
        <v>44383</v>
      </c>
      <c r="E182" t="s">
        <v>21</v>
      </c>
      <c r="F182" t="s">
        <v>22</v>
      </c>
      <c r="G182" t="s">
        <v>27</v>
      </c>
      <c r="H182" t="s">
        <v>30</v>
      </c>
      <c r="I182" t="s">
        <v>34</v>
      </c>
      <c r="J182" t="s">
        <v>43</v>
      </c>
      <c r="K182" t="s">
        <v>45</v>
      </c>
      <c r="L182" t="s">
        <v>53</v>
      </c>
      <c r="M182">
        <v>40533</v>
      </c>
      <c r="N182">
        <v>0.36</v>
      </c>
      <c r="O182">
        <v>19067</v>
      </c>
      <c r="P182">
        <v>24</v>
      </c>
      <c r="Q182" t="s">
        <v>55</v>
      </c>
      <c r="R182" t="s">
        <v>60</v>
      </c>
    </row>
    <row r="183" spans="1:18">
      <c r="A183">
        <v>10182</v>
      </c>
      <c r="B183" s="2">
        <v>44378</v>
      </c>
      <c r="C183" s="2">
        <v>44380</v>
      </c>
      <c r="D183" s="2">
        <v>44384</v>
      </c>
      <c r="E183" t="s">
        <v>21</v>
      </c>
      <c r="F183" t="s">
        <v>22</v>
      </c>
      <c r="G183" t="s">
        <v>23</v>
      </c>
      <c r="H183" t="s">
        <v>32</v>
      </c>
      <c r="I183" t="s">
        <v>34</v>
      </c>
      <c r="J183" t="s">
        <v>38</v>
      </c>
      <c r="K183" t="s">
        <v>45</v>
      </c>
      <c r="L183" t="s">
        <v>52</v>
      </c>
      <c r="M183">
        <v>59844</v>
      </c>
      <c r="N183">
        <v>0.4</v>
      </c>
      <c r="O183">
        <v>-1048</v>
      </c>
      <c r="P183">
        <v>11</v>
      </c>
      <c r="Q183" t="s">
        <v>54</v>
      </c>
      <c r="R183" t="s">
        <v>62</v>
      </c>
    </row>
    <row r="184" spans="1:18">
      <c r="A184">
        <v>10183</v>
      </c>
      <c r="B184" s="2">
        <v>44379</v>
      </c>
      <c r="C184" s="2">
        <v>44381</v>
      </c>
      <c r="D184" s="2">
        <v>44385</v>
      </c>
      <c r="E184" t="s">
        <v>20</v>
      </c>
      <c r="F184" t="s">
        <v>22</v>
      </c>
      <c r="G184" t="s">
        <v>28</v>
      </c>
      <c r="H184" t="s">
        <v>31</v>
      </c>
      <c r="I184" t="s">
        <v>34</v>
      </c>
      <c r="J184" t="s">
        <v>38</v>
      </c>
      <c r="K184" t="s">
        <v>48</v>
      </c>
      <c r="L184" t="s">
        <v>53</v>
      </c>
      <c r="M184">
        <v>58491</v>
      </c>
      <c r="N184">
        <v>0.22</v>
      </c>
      <c r="O184">
        <v>989</v>
      </c>
      <c r="P184">
        <v>19</v>
      </c>
      <c r="Q184" t="s">
        <v>56</v>
      </c>
      <c r="R184" t="s">
        <v>60</v>
      </c>
    </row>
    <row r="185" spans="1:18">
      <c r="A185">
        <v>10184</v>
      </c>
      <c r="B185" s="2">
        <v>44380</v>
      </c>
      <c r="C185" s="2">
        <v>44382</v>
      </c>
      <c r="D185" s="2">
        <v>44386</v>
      </c>
      <c r="E185" t="s">
        <v>20</v>
      </c>
      <c r="F185" t="s">
        <v>22</v>
      </c>
      <c r="G185" t="s">
        <v>28</v>
      </c>
      <c r="H185" t="s">
        <v>30</v>
      </c>
      <c r="I185" t="s">
        <v>35</v>
      </c>
      <c r="J185" t="s">
        <v>40</v>
      </c>
      <c r="K185" t="s">
        <v>45</v>
      </c>
      <c r="L185" t="s">
        <v>53</v>
      </c>
      <c r="M185">
        <v>56682</v>
      </c>
      <c r="N185">
        <v>0.23</v>
      </c>
      <c r="O185">
        <v>252</v>
      </c>
      <c r="P185">
        <v>22</v>
      </c>
      <c r="Q185" t="s">
        <v>57</v>
      </c>
      <c r="R185" t="s">
        <v>60</v>
      </c>
    </row>
    <row r="186" spans="1:18">
      <c r="A186">
        <v>10185</v>
      </c>
      <c r="B186" s="2">
        <v>44381</v>
      </c>
      <c r="C186" s="2">
        <v>44383</v>
      </c>
      <c r="D186" s="2">
        <v>44387</v>
      </c>
      <c r="E186" t="s">
        <v>18</v>
      </c>
      <c r="F186" t="s">
        <v>22</v>
      </c>
      <c r="G186" t="s">
        <v>26</v>
      </c>
      <c r="H186" t="s">
        <v>30</v>
      </c>
      <c r="I186" t="s">
        <v>36</v>
      </c>
      <c r="J186" t="s">
        <v>40</v>
      </c>
      <c r="K186" t="s">
        <v>47</v>
      </c>
      <c r="L186" t="s">
        <v>52</v>
      </c>
      <c r="M186">
        <v>19542</v>
      </c>
      <c r="N186">
        <v>0.08</v>
      </c>
      <c r="O186">
        <v>10570</v>
      </c>
      <c r="P186">
        <v>13</v>
      </c>
      <c r="Q186" t="s">
        <v>54</v>
      </c>
      <c r="R186" t="s">
        <v>62</v>
      </c>
    </row>
    <row r="187" spans="1:18">
      <c r="A187">
        <v>10186</v>
      </c>
      <c r="B187" s="2">
        <v>44382</v>
      </c>
      <c r="C187" s="2">
        <v>44384</v>
      </c>
      <c r="D187" s="2">
        <v>44388</v>
      </c>
      <c r="E187" t="s">
        <v>20</v>
      </c>
      <c r="F187" t="s">
        <v>22</v>
      </c>
      <c r="G187" t="s">
        <v>23</v>
      </c>
      <c r="H187" t="s">
        <v>30</v>
      </c>
      <c r="I187" t="s">
        <v>34</v>
      </c>
      <c r="J187" t="s">
        <v>42</v>
      </c>
      <c r="K187" t="s">
        <v>44</v>
      </c>
      <c r="L187" t="s">
        <v>52</v>
      </c>
      <c r="M187">
        <v>58109</v>
      </c>
      <c r="N187">
        <v>0.19</v>
      </c>
      <c r="O187">
        <v>13927</v>
      </c>
      <c r="P187">
        <v>22</v>
      </c>
      <c r="Q187" t="s">
        <v>55</v>
      </c>
      <c r="R187" t="s">
        <v>60</v>
      </c>
    </row>
    <row r="188" spans="1:18">
      <c r="A188">
        <v>10187</v>
      </c>
      <c r="B188" s="2">
        <v>44383</v>
      </c>
      <c r="C188" s="2">
        <v>44385</v>
      </c>
      <c r="D188" s="2">
        <v>44389</v>
      </c>
      <c r="E188" t="s">
        <v>21</v>
      </c>
      <c r="F188" t="s">
        <v>22</v>
      </c>
      <c r="G188" t="s">
        <v>25</v>
      </c>
      <c r="H188" t="s">
        <v>32</v>
      </c>
      <c r="I188" t="s">
        <v>34</v>
      </c>
      <c r="J188" t="s">
        <v>42</v>
      </c>
      <c r="K188" t="s">
        <v>46</v>
      </c>
      <c r="L188" t="s">
        <v>52</v>
      </c>
      <c r="M188">
        <v>44876</v>
      </c>
      <c r="N188">
        <v>0.33</v>
      </c>
      <c r="O188">
        <v>18130</v>
      </c>
      <c r="P188">
        <v>8</v>
      </c>
      <c r="Q188" t="s">
        <v>55</v>
      </c>
      <c r="R188" t="s">
        <v>59</v>
      </c>
    </row>
    <row r="189" spans="1:18">
      <c r="A189">
        <v>10188</v>
      </c>
      <c r="B189" s="2">
        <v>44384</v>
      </c>
      <c r="C189" s="2">
        <v>44386</v>
      </c>
      <c r="D189" s="2">
        <v>44390</v>
      </c>
      <c r="E189" t="s">
        <v>19</v>
      </c>
      <c r="F189" t="s">
        <v>22</v>
      </c>
      <c r="G189" t="s">
        <v>25</v>
      </c>
      <c r="H189" t="s">
        <v>31</v>
      </c>
      <c r="I189" t="s">
        <v>34</v>
      </c>
      <c r="J189" t="s">
        <v>43</v>
      </c>
      <c r="K189" t="s">
        <v>45</v>
      </c>
      <c r="L189" t="s">
        <v>52</v>
      </c>
      <c r="M189">
        <v>43459</v>
      </c>
      <c r="N189">
        <v>0.04</v>
      </c>
      <c r="O189">
        <v>4324</v>
      </c>
      <c r="P189">
        <v>22</v>
      </c>
      <c r="Q189" t="s">
        <v>58</v>
      </c>
      <c r="R189" t="s">
        <v>59</v>
      </c>
    </row>
    <row r="190" spans="1:18">
      <c r="A190">
        <v>10189</v>
      </c>
      <c r="B190" s="2">
        <v>44385</v>
      </c>
      <c r="C190" s="2">
        <v>44387</v>
      </c>
      <c r="D190" s="2">
        <v>44391</v>
      </c>
      <c r="E190" t="s">
        <v>20</v>
      </c>
      <c r="F190" t="s">
        <v>22</v>
      </c>
      <c r="G190" t="s">
        <v>23</v>
      </c>
      <c r="H190" t="s">
        <v>32</v>
      </c>
      <c r="I190" t="s">
        <v>34</v>
      </c>
      <c r="J190" t="s">
        <v>39</v>
      </c>
      <c r="K190" t="s">
        <v>48</v>
      </c>
      <c r="L190" t="s">
        <v>51</v>
      </c>
      <c r="M190">
        <v>35687</v>
      </c>
      <c r="N190">
        <v>0.16</v>
      </c>
      <c r="O190">
        <v>8947</v>
      </c>
      <c r="P190">
        <v>17</v>
      </c>
      <c r="Q190" t="s">
        <v>55</v>
      </c>
      <c r="R190" t="s">
        <v>61</v>
      </c>
    </row>
    <row r="191" spans="1:18">
      <c r="A191">
        <v>10190</v>
      </c>
      <c r="B191" s="2">
        <v>44386</v>
      </c>
      <c r="C191" s="2">
        <v>44388</v>
      </c>
      <c r="D191" s="2">
        <v>44392</v>
      </c>
      <c r="E191" t="s">
        <v>19</v>
      </c>
      <c r="F191" t="s">
        <v>22</v>
      </c>
      <c r="G191" t="s">
        <v>25</v>
      </c>
      <c r="H191" t="s">
        <v>31</v>
      </c>
      <c r="I191" t="s">
        <v>35</v>
      </c>
      <c r="J191" t="s">
        <v>37</v>
      </c>
      <c r="K191" t="s">
        <v>49</v>
      </c>
      <c r="L191" t="s">
        <v>53</v>
      </c>
      <c r="M191">
        <v>28025</v>
      </c>
      <c r="N191">
        <v>0.36</v>
      </c>
      <c r="O191">
        <v>2116</v>
      </c>
      <c r="P191">
        <v>1</v>
      </c>
      <c r="Q191" t="s">
        <v>55</v>
      </c>
      <c r="R191" t="s">
        <v>62</v>
      </c>
    </row>
    <row r="192" spans="1:18">
      <c r="A192">
        <v>10191</v>
      </c>
      <c r="B192" s="2">
        <v>44387</v>
      </c>
      <c r="C192" s="2">
        <v>44389</v>
      </c>
      <c r="D192" s="2">
        <v>44393</v>
      </c>
      <c r="E192" t="s">
        <v>19</v>
      </c>
      <c r="F192" t="s">
        <v>22</v>
      </c>
      <c r="G192" t="s">
        <v>23</v>
      </c>
      <c r="H192" t="s">
        <v>29</v>
      </c>
      <c r="I192" t="s">
        <v>36</v>
      </c>
      <c r="J192" t="s">
        <v>39</v>
      </c>
      <c r="K192" t="s">
        <v>46</v>
      </c>
      <c r="L192" t="s">
        <v>52</v>
      </c>
      <c r="M192">
        <v>46764</v>
      </c>
      <c r="N192">
        <v>0.33</v>
      </c>
      <c r="O192">
        <v>6095</v>
      </c>
      <c r="P192">
        <v>21</v>
      </c>
      <c r="Q192" t="s">
        <v>58</v>
      </c>
      <c r="R192" t="s">
        <v>61</v>
      </c>
    </row>
    <row r="193" spans="1:18">
      <c r="A193">
        <v>10192</v>
      </c>
      <c r="B193" s="2">
        <v>44388</v>
      </c>
      <c r="C193" s="2">
        <v>44390</v>
      </c>
      <c r="D193" s="2">
        <v>44394</v>
      </c>
      <c r="E193" t="s">
        <v>21</v>
      </c>
      <c r="F193" t="s">
        <v>22</v>
      </c>
      <c r="G193" t="s">
        <v>25</v>
      </c>
      <c r="H193" t="s">
        <v>31</v>
      </c>
      <c r="I193" t="s">
        <v>36</v>
      </c>
      <c r="J193" t="s">
        <v>42</v>
      </c>
      <c r="K193" t="s">
        <v>50</v>
      </c>
      <c r="L193" t="s">
        <v>52</v>
      </c>
      <c r="M193">
        <v>74062</v>
      </c>
      <c r="N193">
        <v>0.09</v>
      </c>
      <c r="O193">
        <v>7820</v>
      </c>
      <c r="P193">
        <v>2</v>
      </c>
      <c r="Q193" t="s">
        <v>58</v>
      </c>
      <c r="R193" t="s">
        <v>59</v>
      </c>
    </row>
    <row r="194" spans="1:18">
      <c r="A194">
        <v>10193</v>
      </c>
      <c r="B194" s="2">
        <v>44389</v>
      </c>
      <c r="C194" s="2">
        <v>44391</v>
      </c>
      <c r="D194" s="2">
        <v>44395</v>
      </c>
      <c r="E194" t="s">
        <v>18</v>
      </c>
      <c r="F194" t="s">
        <v>22</v>
      </c>
      <c r="G194" t="s">
        <v>23</v>
      </c>
      <c r="H194" t="s">
        <v>31</v>
      </c>
      <c r="I194" t="s">
        <v>36</v>
      </c>
      <c r="J194" t="s">
        <v>42</v>
      </c>
      <c r="K194" t="s">
        <v>47</v>
      </c>
      <c r="L194" t="s">
        <v>53</v>
      </c>
      <c r="M194">
        <v>32367</v>
      </c>
      <c r="N194">
        <v>0.36</v>
      </c>
      <c r="O194">
        <v>-1129</v>
      </c>
      <c r="P194">
        <v>8</v>
      </c>
      <c r="Q194" t="s">
        <v>55</v>
      </c>
      <c r="R194" t="s">
        <v>62</v>
      </c>
    </row>
    <row r="195" spans="1:18">
      <c r="A195">
        <v>10194</v>
      </c>
      <c r="B195" s="2">
        <v>44390</v>
      </c>
      <c r="C195" s="2">
        <v>44392</v>
      </c>
      <c r="D195" s="2">
        <v>44396</v>
      </c>
      <c r="E195" t="s">
        <v>20</v>
      </c>
      <c r="F195" t="s">
        <v>22</v>
      </c>
      <c r="G195" t="s">
        <v>28</v>
      </c>
      <c r="H195" t="s">
        <v>33</v>
      </c>
      <c r="I195" t="s">
        <v>35</v>
      </c>
      <c r="J195" t="s">
        <v>43</v>
      </c>
      <c r="K195" t="s">
        <v>46</v>
      </c>
      <c r="L195" t="s">
        <v>52</v>
      </c>
      <c r="M195">
        <v>72134</v>
      </c>
      <c r="N195">
        <v>0.33</v>
      </c>
      <c r="O195">
        <v>7874</v>
      </c>
      <c r="P195">
        <v>18</v>
      </c>
      <c r="Q195" t="s">
        <v>57</v>
      </c>
      <c r="R195" t="s">
        <v>60</v>
      </c>
    </row>
    <row r="196" spans="1:18">
      <c r="A196">
        <v>10195</v>
      </c>
      <c r="B196" s="2">
        <v>44391</v>
      </c>
      <c r="C196" s="2">
        <v>44393</v>
      </c>
      <c r="D196" s="2">
        <v>44397</v>
      </c>
      <c r="E196" t="s">
        <v>20</v>
      </c>
      <c r="F196" t="s">
        <v>22</v>
      </c>
      <c r="G196" t="s">
        <v>23</v>
      </c>
      <c r="H196" t="s">
        <v>32</v>
      </c>
      <c r="I196" t="s">
        <v>34</v>
      </c>
      <c r="J196" t="s">
        <v>38</v>
      </c>
      <c r="K196" t="s">
        <v>48</v>
      </c>
      <c r="L196" t="s">
        <v>52</v>
      </c>
      <c r="M196">
        <v>39808</v>
      </c>
      <c r="N196">
        <v>0.27</v>
      </c>
      <c r="O196">
        <v>1268</v>
      </c>
      <c r="P196">
        <v>9</v>
      </c>
      <c r="Q196" t="s">
        <v>56</v>
      </c>
      <c r="R196" t="s">
        <v>60</v>
      </c>
    </row>
    <row r="197" spans="1:18">
      <c r="A197">
        <v>10196</v>
      </c>
      <c r="B197" s="2">
        <v>44392</v>
      </c>
      <c r="C197" s="2">
        <v>44394</v>
      </c>
      <c r="D197" s="2">
        <v>44398</v>
      </c>
      <c r="E197" t="s">
        <v>18</v>
      </c>
      <c r="F197" t="s">
        <v>22</v>
      </c>
      <c r="G197" t="s">
        <v>28</v>
      </c>
      <c r="H197" t="s">
        <v>31</v>
      </c>
      <c r="I197" t="s">
        <v>36</v>
      </c>
      <c r="J197" t="s">
        <v>41</v>
      </c>
      <c r="K197" t="s">
        <v>47</v>
      </c>
      <c r="L197" t="s">
        <v>53</v>
      </c>
      <c r="M197">
        <v>9852</v>
      </c>
      <c r="N197">
        <v>0.12</v>
      </c>
      <c r="O197">
        <v>14479</v>
      </c>
      <c r="P197">
        <v>10</v>
      </c>
      <c r="Q197" t="s">
        <v>54</v>
      </c>
      <c r="R197" t="s">
        <v>61</v>
      </c>
    </row>
    <row r="198" spans="1:18">
      <c r="A198">
        <v>10197</v>
      </c>
      <c r="B198" s="2">
        <v>44393</v>
      </c>
      <c r="C198" s="2">
        <v>44395</v>
      </c>
      <c r="D198" s="2">
        <v>44399</v>
      </c>
      <c r="E198" t="s">
        <v>20</v>
      </c>
      <c r="F198" t="s">
        <v>22</v>
      </c>
      <c r="G198" t="s">
        <v>23</v>
      </c>
      <c r="H198" t="s">
        <v>31</v>
      </c>
      <c r="I198" t="s">
        <v>34</v>
      </c>
      <c r="J198" t="s">
        <v>40</v>
      </c>
      <c r="K198" t="s">
        <v>47</v>
      </c>
      <c r="L198" t="s">
        <v>53</v>
      </c>
      <c r="M198">
        <v>18078</v>
      </c>
      <c r="N198">
        <v>0.38</v>
      </c>
      <c r="O198">
        <v>1896</v>
      </c>
      <c r="P198">
        <v>17</v>
      </c>
      <c r="Q198" t="s">
        <v>55</v>
      </c>
      <c r="R198" t="s">
        <v>59</v>
      </c>
    </row>
    <row r="199" spans="1:18">
      <c r="A199">
        <v>10198</v>
      </c>
      <c r="B199" s="2">
        <v>44394</v>
      </c>
      <c r="C199" s="2">
        <v>44396</v>
      </c>
      <c r="D199" s="2">
        <v>44400</v>
      </c>
      <c r="E199" t="s">
        <v>19</v>
      </c>
      <c r="F199" t="s">
        <v>22</v>
      </c>
      <c r="G199" t="s">
        <v>26</v>
      </c>
      <c r="H199" t="s">
        <v>25</v>
      </c>
      <c r="I199" t="s">
        <v>36</v>
      </c>
      <c r="J199" t="s">
        <v>38</v>
      </c>
      <c r="K199" t="s">
        <v>45</v>
      </c>
      <c r="L199" t="s">
        <v>53</v>
      </c>
      <c r="M199">
        <v>44925</v>
      </c>
      <c r="N199">
        <v>0.27</v>
      </c>
      <c r="O199">
        <v>-517</v>
      </c>
      <c r="P199">
        <v>22</v>
      </c>
      <c r="Q199" t="s">
        <v>58</v>
      </c>
      <c r="R199" t="s">
        <v>62</v>
      </c>
    </row>
    <row r="200" spans="1:18">
      <c r="A200">
        <v>10199</v>
      </c>
      <c r="B200" s="2">
        <v>44395</v>
      </c>
      <c r="C200" s="2">
        <v>44397</v>
      </c>
      <c r="D200" s="2">
        <v>44401</v>
      </c>
      <c r="E200" t="s">
        <v>18</v>
      </c>
      <c r="F200" t="s">
        <v>22</v>
      </c>
      <c r="G200" t="s">
        <v>28</v>
      </c>
      <c r="H200" t="s">
        <v>33</v>
      </c>
      <c r="I200" t="s">
        <v>36</v>
      </c>
      <c r="J200" t="s">
        <v>43</v>
      </c>
      <c r="K200" t="s">
        <v>47</v>
      </c>
      <c r="L200" t="s">
        <v>53</v>
      </c>
      <c r="M200">
        <v>32307</v>
      </c>
      <c r="N200">
        <v>0.32</v>
      </c>
      <c r="O200">
        <v>11349</v>
      </c>
      <c r="P200">
        <v>8</v>
      </c>
      <c r="Q200" t="s">
        <v>57</v>
      </c>
      <c r="R200" t="s">
        <v>62</v>
      </c>
    </row>
    <row r="201" spans="1:18">
      <c r="A201">
        <v>10200</v>
      </c>
      <c r="B201" s="2">
        <v>44396</v>
      </c>
      <c r="C201" s="2">
        <v>44398</v>
      </c>
      <c r="D201" s="2">
        <v>44402</v>
      </c>
      <c r="E201" t="s">
        <v>19</v>
      </c>
      <c r="F201" t="s">
        <v>22</v>
      </c>
      <c r="G201" t="s">
        <v>24</v>
      </c>
      <c r="H201" t="s">
        <v>30</v>
      </c>
      <c r="I201" t="s">
        <v>34</v>
      </c>
      <c r="J201" t="s">
        <v>42</v>
      </c>
      <c r="K201" t="s">
        <v>47</v>
      </c>
      <c r="L201" t="s">
        <v>51</v>
      </c>
      <c r="M201">
        <v>20199</v>
      </c>
      <c r="N201">
        <v>0.15</v>
      </c>
      <c r="O201">
        <v>18282</v>
      </c>
      <c r="P201">
        <v>12</v>
      </c>
      <c r="Q201" t="s">
        <v>55</v>
      </c>
      <c r="R201" t="s">
        <v>60</v>
      </c>
    </row>
    <row r="202" spans="1:18">
      <c r="A202">
        <v>10201</v>
      </c>
      <c r="B202" s="2">
        <v>44397</v>
      </c>
      <c r="C202" s="2">
        <v>44399</v>
      </c>
      <c r="D202" s="2">
        <v>44403</v>
      </c>
      <c r="E202" t="s">
        <v>20</v>
      </c>
      <c r="F202" t="s">
        <v>22</v>
      </c>
      <c r="G202" t="s">
        <v>27</v>
      </c>
      <c r="H202" t="s">
        <v>33</v>
      </c>
      <c r="I202" t="s">
        <v>35</v>
      </c>
      <c r="J202" t="s">
        <v>40</v>
      </c>
      <c r="K202" t="s">
        <v>50</v>
      </c>
      <c r="L202" t="s">
        <v>51</v>
      </c>
      <c r="M202">
        <v>18041</v>
      </c>
      <c r="N202">
        <v>0.34</v>
      </c>
      <c r="O202">
        <v>19921</v>
      </c>
      <c r="P202">
        <v>23</v>
      </c>
      <c r="Q202" t="s">
        <v>58</v>
      </c>
      <c r="R202" t="s">
        <v>59</v>
      </c>
    </row>
    <row r="203" spans="1:18">
      <c r="A203">
        <v>10202</v>
      </c>
      <c r="B203" s="2">
        <v>44398</v>
      </c>
      <c r="C203" s="2">
        <v>44400</v>
      </c>
      <c r="D203" s="2">
        <v>44404</v>
      </c>
      <c r="E203" t="s">
        <v>18</v>
      </c>
      <c r="F203" t="s">
        <v>22</v>
      </c>
      <c r="G203" t="s">
        <v>28</v>
      </c>
      <c r="H203" t="s">
        <v>25</v>
      </c>
      <c r="I203" t="s">
        <v>36</v>
      </c>
      <c r="J203" t="s">
        <v>39</v>
      </c>
      <c r="K203" t="s">
        <v>44</v>
      </c>
      <c r="L203" t="s">
        <v>51</v>
      </c>
      <c r="M203">
        <v>67106</v>
      </c>
      <c r="N203">
        <v>0.18</v>
      </c>
      <c r="O203">
        <v>18920</v>
      </c>
      <c r="P203">
        <v>9</v>
      </c>
      <c r="Q203" t="s">
        <v>54</v>
      </c>
      <c r="R203" t="s">
        <v>61</v>
      </c>
    </row>
    <row r="204" spans="1:18">
      <c r="A204">
        <v>10203</v>
      </c>
      <c r="B204" s="2">
        <v>44399</v>
      </c>
      <c r="C204" s="2">
        <v>44401</v>
      </c>
      <c r="D204" s="2">
        <v>44405</v>
      </c>
      <c r="E204" t="s">
        <v>21</v>
      </c>
      <c r="F204" t="s">
        <v>22</v>
      </c>
      <c r="G204" t="s">
        <v>23</v>
      </c>
      <c r="H204" t="s">
        <v>32</v>
      </c>
      <c r="I204" t="s">
        <v>35</v>
      </c>
      <c r="J204" t="s">
        <v>41</v>
      </c>
      <c r="K204" t="s">
        <v>44</v>
      </c>
      <c r="L204" t="s">
        <v>53</v>
      </c>
      <c r="M204">
        <v>33582</v>
      </c>
      <c r="N204">
        <v>0.03</v>
      </c>
      <c r="O204">
        <v>-1038</v>
      </c>
      <c r="P204">
        <v>11</v>
      </c>
      <c r="Q204" t="s">
        <v>57</v>
      </c>
      <c r="R204" t="s">
        <v>61</v>
      </c>
    </row>
    <row r="205" spans="1:18">
      <c r="A205">
        <v>10204</v>
      </c>
      <c r="B205" s="2">
        <v>44400</v>
      </c>
      <c r="C205" s="2">
        <v>44402</v>
      </c>
      <c r="D205" s="2">
        <v>44406</v>
      </c>
      <c r="E205" t="s">
        <v>19</v>
      </c>
      <c r="F205" t="s">
        <v>22</v>
      </c>
      <c r="G205" t="s">
        <v>27</v>
      </c>
      <c r="H205" t="s">
        <v>32</v>
      </c>
      <c r="I205" t="s">
        <v>34</v>
      </c>
      <c r="J205" t="s">
        <v>42</v>
      </c>
      <c r="K205" t="s">
        <v>44</v>
      </c>
      <c r="L205" t="s">
        <v>52</v>
      </c>
      <c r="M205">
        <v>36838</v>
      </c>
      <c r="N205">
        <v>0</v>
      </c>
      <c r="O205">
        <v>205</v>
      </c>
      <c r="P205">
        <v>22</v>
      </c>
      <c r="Q205" t="s">
        <v>56</v>
      </c>
      <c r="R205" t="s">
        <v>59</v>
      </c>
    </row>
    <row r="206" spans="1:18">
      <c r="A206">
        <v>10205</v>
      </c>
      <c r="B206" s="2">
        <v>44401</v>
      </c>
      <c r="C206" s="2">
        <v>44403</v>
      </c>
      <c r="D206" s="2">
        <v>44407</v>
      </c>
      <c r="E206" t="s">
        <v>20</v>
      </c>
      <c r="F206" t="s">
        <v>22</v>
      </c>
      <c r="G206" t="s">
        <v>26</v>
      </c>
      <c r="H206" t="s">
        <v>31</v>
      </c>
      <c r="I206" t="s">
        <v>34</v>
      </c>
      <c r="J206" t="s">
        <v>38</v>
      </c>
      <c r="K206" t="s">
        <v>44</v>
      </c>
      <c r="L206" t="s">
        <v>53</v>
      </c>
      <c r="M206">
        <v>2954</v>
      </c>
      <c r="N206">
        <v>0.28999999999999998</v>
      </c>
      <c r="O206">
        <v>12100</v>
      </c>
      <c r="P206">
        <v>8</v>
      </c>
      <c r="Q206" t="s">
        <v>54</v>
      </c>
      <c r="R206" t="s">
        <v>60</v>
      </c>
    </row>
    <row r="207" spans="1:18">
      <c r="A207">
        <v>10206</v>
      </c>
      <c r="B207" s="2">
        <v>44402</v>
      </c>
      <c r="C207" s="2">
        <v>44404</v>
      </c>
      <c r="D207" s="2">
        <v>44408</v>
      </c>
      <c r="E207" t="s">
        <v>20</v>
      </c>
      <c r="F207" t="s">
        <v>22</v>
      </c>
      <c r="G207" t="s">
        <v>26</v>
      </c>
      <c r="H207" t="s">
        <v>32</v>
      </c>
      <c r="I207" t="s">
        <v>34</v>
      </c>
      <c r="J207" t="s">
        <v>38</v>
      </c>
      <c r="K207" t="s">
        <v>45</v>
      </c>
      <c r="L207" t="s">
        <v>53</v>
      </c>
      <c r="M207">
        <v>49703</v>
      </c>
      <c r="N207">
        <v>0.35</v>
      </c>
      <c r="O207">
        <v>1911</v>
      </c>
      <c r="P207">
        <v>24</v>
      </c>
      <c r="Q207" t="s">
        <v>55</v>
      </c>
      <c r="R207" t="s">
        <v>59</v>
      </c>
    </row>
    <row r="208" spans="1:18">
      <c r="A208">
        <v>10207</v>
      </c>
      <c r="B208" s="2">
        <v>44403</v>
      </c>
      <c r="C208" s="2">
        <v>44405</v>
      </c>
      <c r="D208" s="2">
        <v>44409</v>
      </c>
      <c r="E208" t="s">
        <v>20</v>
      </c>
      <c r="F208" t="s">
        <v>22</v>
      </c>
      <c r="G208" t="s">
        <v>27</v>
      </c>
      <c r="H208" t="s">
        <v>25</v>
      </c>
      <c r="I208" t="s">
        <v>35</v>
      </c>
      <c r="J208" t="s">
        <v>43</v>
      </c>
      <c r="K208" t="s">
        <v>50</v>
      </c>
      <c r="L208" t="s">
        <v>53</v>
      </c>
      <c r="M208">
        <v>32294</v>
      </c>
      <c r="N208">
        <v>0.19</v>
      </c>
      <c r="O208">
        <v>9783</v>
      </c>
      <c r="P208">
        <v>17</v>
      </c>
      <c r="Q208" t="s">
        <v>54</v>
      </c>
      <c r="R208" t="s">
        <v>61</v>
      </c>
    </row>
    <row r="209" spans="1:18">
      <c r="A209">
        <v>10208</v>
      </c>
      <c r="B209" s="2">
        <v>44404</v>
      </c>
      <c r="C209" s="2">
        <v>44406</v>
      </c>
      <c r="D209" s="2">
        <v>44410</v>
      </c>
      <c r="E209" t="s">
        <v>21</v>
      </c>
      <c r="F209" t="s">
        <v>22</v>
      </c>
      <c r="G209" t="s">
        <v>23</v>
      </c>
      <c r="H209" t="s">
        <v>33</v>
      </c>
      <c r="I209" t="s">
        <v>34</v>
      </c>
      <c r="J209" t="s">
        <v>37</v>
      </c>
      <c r="K209" t="s">
        <v>48</v>
      </c>
      <c r="L209" t="s">
        <v>51</v>
      </c>
      <c r="M209">
        <v>63176</v>
      </c>
      <c r="N209">
        <v>0.3</v>
      </c>
      <c r="O209">
        <v>19770</v>
      </c>
      <c r="P209">
        <v>5</v>
      </c>
      <c r="Q209" t="s">
        <v>58</v>
      </c>
      <c r="R209" t="s">
        <v>59</v>
      </c>
    </row>
    <row r="210" spans="1:18">
      <c r="A210">
        <v>10209</v>
      </c>
      <c r="B210" s="2">
        <v>44405</v>
      </c>
      <c r="C210" s="2">
        <v>44407</v>
      </c>
      <c r="D210" s="2">
        <v>44411</v>
      </c>
      <c r="E210" t="s">
        <v>18</v>
      </c>
      <c r="F210" t="s">
        <v>22</v>
      </c>
      <c r="G210" t="s">
        <v>25</v>
      </c>
      <c r="H210" t="s">
        <v>32</v>
      </c>
      <c r="I210" t="s">
        <v>34</v>
      </c>
      <c r="J210" t="s">
        <v>37</v>
      </c>
      <c r="K210" t="s">
        <v>44</v>
      </c>
      <c r="L210" t="s">
        <v>51</v>
      </c>
      <c r="M210">
        <v>73677</v>
      </c>
      <c r="N210">
        <v>0.18</v>
      </c>
      <c r="O210">
        <v>9194</v>
      </c>
      <c r="P210">
        <v>3</v>
      </c>
      <c r="Q210" t="s">
        <v>56</v>
      </c>
      <c r="R210" t="s">
        <v>62</v>
      </c>
    </row>
    <row r="211" spans="1:18">
      <c r="A211">
        <v>10210</v>
      </c>
      <c r="B211" s="2">
        <v>44406</v>
      </c>
      <c r="C211" s="2">
        <v>44408</v>
      </c>
      <c r="D211" s="2">
        <v>44412</v>
      </c>
      <c r="E211" t="s">
        <v>19</v>
      </c>
      <c r="F211" t="s">
        <v>22</v>
      </c>
      <c r="G211" t="s">
        <v>24</v>
      </c>
      <c r="H211" t="s">
        <v>32</v>
      </c>
      <c r="I211" t="s">
        <v>36</v>
      </c>
      <c r="J211" t="s">
        <v>43</v>
      </c>
      <c r="K211" t="s">
        <v>44</v>
      </c>
      <c r="L211" t="s">
        <v>52</v>
      </c>
      <c r="M211">
        <v>47425</v>
      </c>
      <c r="N211">
        <v>0.05</v>
      </c>
      <c r="O211">
        <v>3327</v>
      </c>
      <c r="P211">
        <v>2</v>
      </c>
      <c r="Q211" t="s">
        <v>56</v>
      </c>
      <c r="R211" t="s">
        <v>61</v>
      </c>
    </row>
    <row r="212" spans="1:18">
      <c r="A212">
        <v>10211</v>
      </c>
      <c r="B212" s="2">
        <v>44407</v>
      </c>
      <c r="C212" s="2">
        <v>44409</v>
      </c>
      <c r="D212" s="2">
        <v>44413</v>
      </c>
      <c r="E212" t="s">
        <v>19</v>
      </c>
      <c r="F212" t="s">
        <v>22</v>
      </c>
      <c r="G212" t="s">
        <v>23</v>
      </c>
      <c r="H212" t="s">
        <v>31</v>
      </c>
      <c r="I212" t="s">
        <v>35</v>
      </c>
      <c r="J212" t="s">
        <v>43</v>
      </c>
      <c r="K212" t="s">
        <v>48</v>
      </c>
      <c r="L212" t="s">
        <v>52</v>
      </c>
      <c r="M212">
        <v>74024</v>
      </c>
      <c r="N212">
        <v>0.02</v>
      </c>
      <c r="O212">
        <v>16752</v>
      </c>
      <c r="P212">
        <v>13</v>
      </c>
      <c r="Q212" t="s">
        <v>56</v>
      </c>
      <c r="R212" t="s">
        <v>61</v>
      </c>
    </row>
    <row r="213" spans="1:18">
      <c r="A213">
        <v>10212</v>
      </c>
      <c r="B213" s="2">
        <v>44408</v>
      </c>
      <c r="C213" s="2">
        <v>44410</v>
      </c>
      <c r="D213" s="2">
        <v>44414</v>
      </c>
      <c r="E213" t="s">
        <v>18</v>
      </c>
      <c r="F213" t="s">
        <v>22</v>
      </c>
      <c r="G213" t="s">
        <v>24</v>
      </c>
      <c r="H213" t="s">
        <v>31</v>
      </c>
      <c r="I213" t="s">
        <v>36</v>
      </c>
      <c r="J213" t="s">
        <v>40</v>
      </c>
      <c r="K213" t="s">
        <v>45</v>
      </c>
      <c r="L213" t="s">
        <v>53</v>
      </c>
      <c r="M213">
        <v>58016</v>
      </c>
      <c r="N213">
        <v>0.39</v>
      </c>
      <c r="O213">
        <v>13729</v>
      </c>
      <c r="P213">
        <v>6</v>
      </c>
      <c r="Q213" t="s">
        <v>56</v>
      </c>
      <c r="R213" t="s">
        <v>60</v>
      </c>
    </row>
    <row r="214" spans="1:18">
      <c r="A214">
        <v>10213</v>
      </c>
      <c r="B214" s="2">
        <v>44409</v>
      </c>
      <c r="C214" s="2">
        <v>44411</v>
      </c>
      <c r="D214" s="2">
        <v>44415</v>
      </c>
      <c r="E214" t="s">
        <v>18</v>
      </c>
      <c r="F214" t="s">
        <v>22</v>
      </c>
      <c r="G214" t="s">
        <v>28</v>
      </c>
      <c r="H214" t="s">
        <v>33</v>
      </c>
      <c r="I214" t="s">
        <v>34</v>
      </c>
      <c r="J214" t="s">
        <v>38</v>
      </c>
      <c r="K214" t="s">
        <v>44</v>
      </c>
      <c r="L214" t="s">
        <v>53</v>
      </c>
      <c r="M214">
        <v>15797</v>
      </c>
      <c r="N214">
        <v>0.01</v>
      </c>
      <c r="O214">
        <v>12149</v>
      </c>
      <c r="P214">
        <v>24</v>
      </c>
      <c r="Q214" t="s">
        <v>54</v>
      </c>
      <c r="R214" t="s">
        <v>62</v>
      </c>
    </row>
    <row r="215" spans="1:18">
      <c r="A215">
        <v>10214</v>
      </c>
      <c r="B215" s="2">
        <v>44410</v>
      </c>
      <c r="C215" s="2">
        <v>44412</v>
      </c>
      <c r="D215" s="2">
        <v>44416</v>
      </c>
      <c r="E215" t="s">
        <v>18</v>
      </c>
      <c r="F215" t="s">
        <v>22</v>
      </c>
      <c r="G215" t="s">
        <v>27</v>
      </c>
      <c r="H215" t="s">
        <v>32</v>
      </c>
      <c r="I215" t="s">
        <v>36</v>
      </c>
      <c r="J215" t="s">
        <v>41</v>
      </c>
      <c r="K215" t="s">
        <v>47</v>
      </c>
      <c r="L215" t="s">
        <v>53</v>
      </c>
      <c r="M215">
        <v>73048</v>
      </c>
      <c r="N215">
        <v>0.27</v>
      </c>
      <c r="O215">
        <v>5945</v>
      </c>
      <c r="P215">
        <v>16</v>
      </c>
      <c r="Q215" t="s">
        <v>57</v>
      </c>
      <c r="R215" t="s">
        <v>62</v>
      </c>
    </row>
    <row r="216" spans="1:18">
      <c r="A216">
        <v>10215</v>
      </c>
      <c r="B216" s="2">
        <v>44411</v>
      </c>
      <c r="C216" s="2">
        <v>44413</v>
      </c>
      <c r="D216" s="2">
        <v>44417</v>
      </c>
      <c r="E216" t="s">
        <v>20</v>
      </c>
      <c r="F216" t="s">
        <v>22</v>
      </c>
      <c r="G216" t="s">
        <v>24</v>
      </c>
      <c r="H216" t="s">
        <v>31</v>
      </c>
      <c r="I216" t="s">
        <v>35</v>
      </c>
      <c r="J216" t="s">
        <v>43</v>
      </c>
      <c r="K216" t="s">
        <v>46</v>
      </c>
      <c r="L216" t="s">
        <v>51</v>
      </c>
      <c r="M216">
        <v>64362</v>
      </c>
      <c r="N216">
        <v>0.35</v>
      </c>
      <c r="O216">
        <v>5843</v>
      </c>
      <c r="P216">
        <v>7</v>
      </c>
      <c r="Q216" t="s">
        <v>57</v>
      </c>
      <c r="R216" t="s">
        <v>62</v>
      </c>
    </row>
    <row r="217" spans="1:18">
      <c r="A217">
        <v>10216</v>
      </c>
      <c r="B217" s="2">
        <v>44412</v>
      </c>
      <c r="C217" s="2">
        <v>44414</v>
      </c>
      <c r="D217" s="2">
        <v>44418</v>
      </c>
      <c r="E217" t="s">
        <v>19</v>
      </c>
      <c r="F217" t="s">
        <v>22</v>
      </c>
      <c r="G217" t="s">
        <v>23</v>
      </c>
      <c r="H217" t="s">
        <v>31</v>
      </c>
      <c r="I217" t="s">
        <v>35</v>
      </c>
      <c r="J217" t="s">
        <v>40</v>
      </c>
      <c r="K217" t="s">
        <v>50</v>
      </c>
      <c r="L217" t="s">
        <v>51</v>
      </c>
      <c r="M217">
        <v>70888</v>
      </c>
      <c r="N217">
        <v>0.32</v>
      </c>
      <c r="O217">
        <v>19773</v>
      </c>
      <c r="P217">
        <v>2</v>
      </c>
      <c r="Q217" t="s">
        <v>58</v>
      </c>
      <c r="R217" t="s">
        <v>62</v>
      </c>
    </row>
    <row r="218" spans="1:18">
      <c r="A218">
        <v>10217</v>
      </c>
      <c r="B218" s="2">
        <v>44413</v>
      </c>
      <c r="C218" s="2">
        <v>44415</v>
      </c>
      <c r="D218" s="2">
        <v>44419</v>
      </c>
      <c r="E218" t="s">
        <v>19</v>
      </c>
      <c r="F218" t="s">
        <v>22</v>
      </c>
      <c r="G218" t="s">
        <v>28</v>
      </c>
      <c r="H218" t="s">
        <v>30</v>
      </c>
      <c r="I218" t="s">
        <v>35</v>
      </c>
      <c r="J218" t="s">
        <v>40</v>
      </c>
      <c r="K218" t="s">
        <v>45</v>
      </c>
      <c r="L218" t="s">
        <v>53</v>
      </c>
      <c r="M218">
        <v>44821</v>
      </c>
      <c r="N218">
        <v>0.27</v>
      </c>
      <c r="O218">
        <v>11425</v>
      </c>
      <c r="P218">
        <v>7</v>
      </c>
      <c r="Q218" t="s">
        <v>58</v>
      </c>
      <c r="R218" t="s">
        <v>60</v>
      </c>
    </row>
    <row r="219" spans="1:18">
      <c r="A219">
        <v>10218</v>
      </c>
      <c r="B219" s="2">
        <v>44414</v>
      </c>
      <c r="C219" s="2">
        <v>44416</v>
      </c>
      <c r="D219" s="2">
        <v>44420</v>
      </c>
      <c r="E219" t="s">
        <v>20</v>
      </c>
      <c r="F219" t="s">
        <v>22</v>
      </c>
      <c r="G219" t="s">
        <v>28</v>
      </c>
      <c r="H219" t="s">
        <v>29</v>
      </c>
      <c r="I219" t="s">
        <v>34</v>
      </c>
      <c r="J219" t="s">
        <v>41</v>
      </c>
      <c r="K219" t="s">
        <v>49</v>
      </c>
      <c r="L219" t="s">
        <v>52</v>
      </c>
      <c r="M219">
        <v>70418</v>
      </c>
      <c r="N219">
        <v>0.19</v>
      </c>
      <c r="O219">
        <v>3586</v>
      </c>
      <c r="P219">
        <v>4</v>
      </c>
      <c r="Q219" t="s">
        <v>56</v>
      </c>
      <c r="R219" t="s">
        <v>61</v>
      </c>
    </row>
    <row r="220" spans="1:18">
      <c r="A220">
        <v>10219</v>
      </c>
      <c r="B220" s="2">
        <v>44415</v>
      </c>
      <c r="C220" s="2">
        <v>44417</v>
      </c>
      <c r="D220" s="2">
        <v>44421</v>
      </c>
      <c r="E220" t="s">
        <v>19</v>
      </c>
      <c r="F220" t="s">
        <v>22</v>
      </c>
      <c r="G220" t="s">
        <v>24</v>
      </c>
      <c r="H220" t="s">
        <v>31</v>
      </c>
      <c r="I220" t="s">
        <v>34</v>
      </c>
      <c r="J220" t="s">
        <v>38</v>
      </c>
      <c r="K220" t="s">
        <v>45</v>
      </c>
      <c r="L220" t="s">
        <v>52</v>
      </c>
      <c r="M220">
        <v>53976</v>
      </c>
      <c r="N220">
        <v>0.35</v>
      </c>
      <c r="O220">
        <v>-1891</v>
      </c>
      <c r="P220">
        <v>5</v>
      </c>
      <c r="Q220" t="s">
        <v>58</v>
      </c>
      <c r="R220" t="s">
        <v>62</v>
      </c>
    </row>
    <row r="221" spans="1:18">
      <c r="A221">
        <v>10220</v>
      </c>
      <c r="B221" s="2">
        <v>44416</v>
      </c>
      <c r="C221" s="2">
        <v>44418</v>
      </c>
      <c r="D221" s="2">
        <v>44422</v>
      </c>
      <c r="E221" t="s">
        <v>18</v>
      </c>
      <c r="F221" t="s">
        <v>22</v>
      </c>
      <c r="G221" t="s">
        <v>23</v>
      </c>
      <c r="H221" t="s">
        <v>29</v>
      </c>
      <c r="I221" t="s">
        <v>35</v>
      </c>
      <c r="J221" t="s">
        <v>39</v>
      </c>
      <c r="K221" t="s">
        <v>47</v>
      </c>
      <c r="L221" t="s">
        <v>53</v>
      </c>
      <c r="M221">
        <v>70383</v>
      </c>
      <c r="N221">
        <v>0.28999999999999998</v>
      </c>
      <c r="O221">
        <v>-996</v>
      </c>
      <c r="P221">
        <v>15</v>
      </c>
      <c r="Q221" t="s">
        <v>58</v>
      </c>
      <c r="R221" t="s">
        <v>59</v>
      </c>
    </row>
    <row r="222" spans="1:18">
      <c r="A222">
        <v>10221</v>
      </c>
      <c r="B222" s="2">
        <v>44417</v>
      </c>
      <c r="C222" s="2">
        <v>44419</v>
      </c>
      <c r="D222" s="2">
        <v>44423</v>
      </c>
      <c r="E222" t="s">
        <v>20</v>
      </c>
      <c r="F222" t="s">
        <v>22</v>
      </c>
      <c r="G222" t="s">
        <v>24</v>
      </c>
      <c r="H222" t="s">
        <v>33</v>
      </c>
      <c r="I222" t="s">
        <v>36</v>
      </c>
      <c r="J222" t="s">
        <v>39</v>
      </c>
      <c r="K222" t="s">
        <v>49</v>
      </c>
      <c r="L222" t="s">
        <v>53</v>
      </c>
      <c r="M222">
        <v>5436</v>
      </c>
      <c r="N222">
        <v>0.32</v>
      </c>
      <c r="O222">
        <v>10523</v>
      </c>
      <c r="P222">
        <v>7</v>
      </c>
      <c r="Q222" t="s">
        <v>55</v>
      </c>
      <c r="R222" t="s">
        <v>62</v>
      </c>
    </row>
    <row r="223" spans="1:18">
      <c r="A223">
        <v>10222</v>
      </c>
      <c r="B223" s="2">
        <v>44418</v>
      </c>
      <c r="C223" s="2">
        <v>44420</v>
      </c>
      <c r="D223" s="2">
        <v>44424</v>
      </c>
      <c r="E223" t="s">
        <v>21</v>
      </c>
      <c r="F223" t="s">
        <v>22</v>
      </c>
      <c r="G223" t="s">
        <v>23</v>
      </c>
      <c r="H223" t="s">
        <v>31</v>
      </c>
      <c r="I223" t="s">
        <v>34</v>
      </c>
      <c r="J223" t="s">
        <v>38</v>
      </c>
      <c r="K223" t="s">
        <v>50</v>
      </c>
      <c r="L223" t="s">
        <v>53</v>
      </c>
      <c r="M223">
        <v>34740</v>
      </c>
      <c r="N223">
        <v>0.15</v>
      </c>
      <c r="O223">
        <v>920</v>
      </c>
      <c r="P223">
        <v>9</v>
      </c>
      <c r="Q223" t="s">
        <v>56</v>
      </c>
      <c r="R223" t="s">
        <v>61</v>
      </c>
    </row>
    <row r="224" spans="1:18">
      <c r="A224">
        <v>10223</v>
      </c>
      <c r="B224" s="2">
        <v>44419</v>
      </c>
      <c r="C224" s="2">
        <v>44421</v>
      </c>
      <c r="D224" s="2">
        <v>44425</v>
      </c>
      <c r="E224" t="s">
        <v>20</v>
      </c>
      <c r="F224" t="s">
        <v>22</v>
      </c>
      <c r="G224" t="s">
        <v>28</v>
      </c>
      <c r="H224" t="s">
        <v>33</v>
      </c>
      <c r="I224" t="s">
        <v>35</v>
      </c>
      <c r="J224" t="s">
        <v>39</v>
      </c>
      <c r="K224" t="s">
        <v>48</v>
      </c>
      <c r="L224" t="s">
        <v>52</v>
      </c>
      <c r="M224">
        <v>44686</v>
      </c>
      <c r="N224">
        <v>0.22</v>
      </c>
      <c r="O224">
        <v>17877</v>
      </c>
      <c r="P224">
        <v>18</v>
      </c>
      <c r="Q224" t="s">
        <v>57</v>
      </c>
      <c r="R224" t="s">
        <v>60</v>
      </c>
    </row>
    <row r="225" spans="1:18">
      <c r="A225">
        <v>10224</v>
      </c>
      <c r="B225" s="2">
        <v>44420</v>
      </c>
      <c r="C225" s="2">
        <v>44422</v>
      </c>
      <c r="D225" s="2">
        <v>44426</v>
      </c>
      <c r="E225" t="s">
        <v>21</v>
      </c>
      <c r="F225" t="s">
        <v>22</v>
      </c>
      <c r="G225" t="s">
        <v>27</v>
      </c>
      <c r="H225" t="s">
        <v>33</v>
      </c>
      <c r="I225" t="s">
        <v>35</v>
      </c>
      <c r="J225" t="s">
        <v>43</v>
      </c>
      <c r="K225" t="s">
        <v>46</v>
      </c>
      <c r="L225" t="s">
        <v>51</v>
      </c>
      <c r="M225">
        <v>38268</v>
      </c>
      <c r="N225">
        <v>0.05</v>
      </c>
      <c r="O225">
        <v>17423</v>
      </c>
      <c r="P225">
        <v>13</v>
      </c>
      <c r="Q225" t="s">
        <v>57</v>
      </c>
      <c r="R225" t="s">
        <v>60</v>
      </c>
    </row>
    <row r="226" spans="1:18">
      <c r="A226">
        <v>10225</v>
      </c>
      <c r="B226" s="2">
        <v>44421</v>
      </c>
      <c r="C226" s="2">
        <v>44423</v>
      </c>
      <c r="D226" s="2">
        <v>44427</v>
      </c>
      <c r="E226" t="s">
        <v>18</v>
      </c>
      <c r="F226" t="s">
        <v>22</v>
      </c>
      <c r="G226" t="s">
        <v>24</v>
      </c>
      <c r="H226" t="s">
        <v>30</v>
      </c>
      <c r="I226" t="s">
        <v>36</v>
      </c>
      <c r="J226" t="s">
        <v>39</v>
      </c>
      <c r="K226" t="s">
        <v>47</v>
      </c>
      <c r="L226" t="s">
        <v>51</v>
      </c>
      <c r="M226">
        <v>24119</v>
      </c>
      <c r="N226">
        <v>0.19</v>
      </c>
      <c r="O226">
        <v>3700</v>
      </c>
      <c r="P226">
        <v>6</v>
      </c>
      <c r="Q226" t="s">
        <v>57</v>
      </c>
      <c r="R226" t="s">
        <v>62</v>
      </c>
    </row>
    <row r="227" spans="1:18">
      <c r="A227">
        <v>10226</v>
      </c>
      <c r="B227" s="2">
        <v>44422</v>
      </c>
      <c r="C227" s="2">
        <v>44424</v>
      </c>
      <c r="D227" s="2">
        <v>44428</v>
      </c>
      <c r="E227" t="s">
        <v>18</v>
      </c>
      <c r="F227" t="s">
        <v>22</v>
      </c>
      <c r="G227" t="s">
        <v>27</v>
      </c>
      <c r="H227" t="s">
        <v>25</v>
      </c>
      <c r="I227" t="s">
        <v>36</v>
      </c>
      <c r="J227" t="s">
        <v>38</v>
      </c>
      <c r="K227" t="s">
        <v>49</v>
      </c>
      <c r="L227" t="s">
        <v>51</v>
      </c>
      <c r="M227">
        <v>71656</v>
      </c>
      <c r="N227">
        <v>0.34</v>
      </c>
      <c r="O227">
        <v>12360</v>
      </c>
      <c r="P227">
        <v>19</v>
      </c>
      <c r="Q227" t="s">
        <v>54</v>
      </c>
      <c r="R227" t="s">
        <v>61</v>
      </c>
    </row>
    <row r="228" spans="1:18">
      <c r="A228">
        <v>10227</v>
      </c>
      <c r="B228" s="2">
        <v>44423</v>
      </c>
      <c r="C228" s="2">
        <v>44425</v>
      </c>
      <c r="D228" s="2">
        <v>44429</v>
      </c>
      <c r="E228" t="s">
        <v>18</v>
      </c>
      <c r="F228" t="s">
        <v>22</v>
      </c>
      <c r="G228" t="s">
        <v>28</v>
      </c>
      <c r="H228" t="s">
        <v>31</v>
      </c>
      <c r="I228" t="s">
        <v>36</v>
      </c>
      <c r="J228" t="s">
        <v>42</v>
      </c>
      <c r="K228" t="s">
        <v>50</v>
      </c>
      <c r="L228" t="s">
        <v>51</v>
      </c>
      <c r="M228">
        <v>10344</v>
      </c>
      <c r="N228">
        <v>0.22</v>
      </c>
      <c r="O228">
        <v>8391</v>
      </c>
      <c r="P228">
        <v>20</v>
      </c>
      <c r="Q228" t="s">
        <v>54</v>
      </c>
      <c r="R228" t="s">
        <v>59</v>
      </c>
    </row>
    <row r="229" spans="1:18">
      <c r="A229">
        <v>10228</v>
      </c>
      <c r="B229" s="2">
        <v>44424</v>
      </c>
      <c r="C229" s="2">
        <v>44426</v>
      </c>
      <c r="D229" s="2">
        <v>44430</v>
      </c>
      <c r="E229" t="s">
        <v>21</v>
      </c>
      <c r="F229" t="s">
        <v>22</v>
      </c>
      <c r="G229" t="s">
        <v>25</v>
      </c>
      <c r="H229" t="s">
        <v>29</v>
      </c>
      <c r="I229" t="s">
        <v>34</v>
      </c>
      <c r="J229" t="s">
        <v>37</v>
      </c>
      <c r="K229" t="s">
        <v>46</v>
      </c>
      <c r="L229" t="s">
        <v>51</v>
      </c>
      <c r="M229">
        <v>35823</v>
      </c>
      <c r="N229">
        <v>0.14000000000000001</v>
      </c>
      <c r="O229">
        <v>14023</v>
      </c>
      <c r="P229">
        <v>6</v>
      </c>
      <c r="Q229" t="s">
        <v>58</v>
      </c>
      <c r="R229" t="s">
        <v>60</v>
      </c>
    </row>
    <row r="230" spans="1:18">
      <c r="A230">
        <v>10229</v>
      </c>
      <c r="B230" s="2">
        <v>44425</v>
      </c>
      <c r="C230" s="2">
        <v>44427</v>
      </c>
      <c r="D230" s="2">
        <v>44431</v>
      </c>
      <c r="E230" t="s">
        <v>18</v>
      </c>
      <c r="F230" t="s">
        <v>22</v>
      </c>
      <c r="G230" t="s">
        <v>25</v>
      </c>
      <c r="H230" t="s">
        <v>33</v>
      </c>
      <c r="I230" t="s">
        <v>35</v>
      </c>
      <c r="J230" t="s">
        <v>38</v>
      </c>
      <c r="K230" t="s">
        <v>49</v>
      </c>
      <c r="L230" t="s">
        <v>52</v>
      </c>
      <c r="M230">
        <v>13165</v>
      </c>
      <c r="N230">
        <v>0.12</v>
      </c>
      <c r="O230">
        <v>2016</v>
      </c>
      <c r="P230">
        <v>16</v>
      </c>
      <c r="Q230" t="s">
        <v>54</v>
      </c>
      <c r="R230" t="s">
        <v>62</v>
      </c>
    </row>
    <row r="231" spans="1:18">
      <c r="A231">
        <v>10230</v>
      </c>
      <c r="B231" s="2">
        <v>44426</v>
      </c>
      <c r="C231" s="2">
        <v>44428</v>
      </c>
      <c r="D231" s="2">
        <v>44432</v>
      </c>
      <c r="E231" t="s">
        <v>19</v>
      </c>
      <c r="F231" t="s">
        <v>22</v>
      </c>
      <c r="G231" t="s">
        <v>26</v>
      </c>
      <c r="H231" t="s">
        <v>31</v>
      </c>
      <c r="I231" t="s">
        <v>35</v>
      </c>
      <c r="J231" t="s">
        <v>43</v>
      </c>
      <c r="K231" t="s">
        <v>50</v>
      </c>
      <c r="L231" t="s">
        <v>53</v>
      </c>
      <c r="M231">
        <v>41850</v>
      </c>
      <c r="N231">
        <v>0.03</v>
      </c>
      <c r="O231">
        <v>14713</v>
      </c>
      <c r="P231">
        <v>18</v>
      </c>
      <c r="Q231" t="s">
        <v>57</v>
      </c>
      <c r="R231" t="s">
        <v>59</v>
      </c>
    </row>
    <row r="232" spans="1:18">
      <c r="A232">
        <v>10231</v>
      </c>
      <c r="B232" s="2">
        <v>44427</v>
      </c>
      <c r="C232" s="2">
        <v>44429</v>
      </c>
      <c r="D232" s="2">
        <v>44433</v>
      </c>
      <c r="E232" t="s">
        <v>19</v>
      </c>
      <c r="F232" t="s">
        <v>22</v>
      </c>
      <c r="G232" t="s">
        <v>23</v>
      </c>
      <c r="H232" t="s">
        <v>29</v>
      </c>
      <c r="I232" t="s">
        <v>34</v>
      </c>
      <c r="J232" t="s">
        <v>39</v>
      </c>
      <c r="K232" t="s">
        <v>47</v>
      </c>
      <c r="L232" t="s">
        <v>53</v>
      </c>
      <c r="M232">
        <v>13243</v>
      </c>
      <c r="N232">
        <v>0.17</v>
      </c>
      <c r="O232">
        <v>16654</v>
      </c>
      <c r="P232">
        <v>6</v>
      </c>
      <c r="Q232" t="s">
        <v>58</v>
      </c>
      <c r="R232" t="s">
        <v>62</v>
      </c>
    </row>
    <row r="233" spans="1:18">
      <c r="A233">
        <v>10232</v>
      </c>
      <c r="B233" s="2">
        <v>44428</v>
      </c>
      <c r="C233" s="2">
        <v>44430</v>
      </c>
      <c r="D233" s="2">
        <v>44434</v>
      </c>
      <c r="E233" t="s">
        <v>20</v>
      </c>
      <c r="F233" t="s">
        <v>22</v>
      </c>
      <c r="G233" t="s">
        <v>23</v>
      </c>
      <c r="H233" t="s">
        <v>33</v>
      </c>
      <c r="I233" t="s">
        <v>34</v>
      </c>
      <c r="J233" t="s">
        <v>40</v>
      </c>
      <c r="K233" t="s">
        <v>49</v>
      </c>
      <c r="L233" t="s">
        <v>52</v>
      </c>
      <c r="M233">
        <v>65961</v>
      </c>
      <c r="N233">
        <v>0.28999999999999998</v>
      </c>
      <c r="O233">
        <v>-385</v>
      </c>
      <c r="P233">
        <v>3</v>
      </c>
      <c r="Q233" t="s">
        <v>54</v>
      </c>
      <c r="R233" t="s">
        <v>60</v>
      </c>
    </row>
    <row r="234" spans="1:18">
      <c r="A234">
        <v>10233</v>
      </c>
      <c r="B234" s="2">
        <v>44429</v>
      </c>
      <c r="C234" s="2">
        <v>44431</v>
      </c>
      <c r="D234" s="2">
        <v>44435</v>
      </c>
      <c r="E234" t="s">
        <v>18</v>
      </c>
      <c r="F234" t="s">
        <v>22</v>
      </c>
      <c r="G234" t="s">
        <v>25</v>
      </c>
      <c r="H234" t="s">
        <v>25</v>
      </c>
      <c r="I234" t="s">
        <v>34</v>
      </c>
      <c r="J234" t="s">
        <v>41</v>
      </c>
      <c r="K234" t="s">
        <v>45</v>
      </c>
      <c r="L234" t="s">
        <v>51</v>
      </c>
      <c r="M234">
        <v>2622</v>
      </c>
      <c r="N234">
        <v>0.02</v>
      </c>
      <c r="O234">
        <v>17350</v>
      </c>
      <c r="P234">
        <v>8</v>
      </c>
      <c r="Q234" t="s">
        <v>57</v>
      </c>
      <c r="R234" t="s">
        <v>59</v>
      </c>
    </row>
    <row r="235" spans="1:18">
      <c r="A235">
        <v>10234</v>
      </c>
      <c r="B235" s="2">
        <v>44430</v>
      </c>
      <c r="C235" s="2">
        <v>44432</v>
      </c>
      <c r="D235" s="2">
        <v>44436</v>
      </c>
      <c r="E235" t="s">
        <v>20</v>
      </c>
      <c r="F235" t="s">
        <v>22</v>
      </c>
      <c r="G235" t="s">
        <v>23</v>
      </c>
      <c r="H235" t="s">
        <v>25</v>
      </c>
      <c r="I235" t="s">
        <v>35</v>
      </c>
      <c r="J235" t="s">
        <v>39</v>
      </c>
      <c r="K235" t="s">
        <v>50</v>
      </c>
      <c r="L235" t="s">
        <v>53</v>
      </c>
      <c r="M235">
        <v>39522</v>
      </c>
      <c r="N235">
        <v>0.19</v>
      </c>
      <c r="O235">
        <v>13920</v>
      </c>
      <c r="P235">
        <v>1</v>
      </c>
      <c r="Q235" t="s">
        <v>58</v>
      </c>
      <c r="R235" t="s">
        <v>61</v>
      </c>
    </row>
    <row r="236" spans="1:18">
      <c r="A236">
        <v>10235</v>
      </c>
      <c r="B236" s="2">
        <v>44431</v>
      </c>
      <c r="C236" s="2">
        <v>44433</v>
      </c>
      <c r="D236" s="2">
        <v>44437</v>
      </c>
      <c r="E236" t="s">
        <v>19</v>
      </c>
      <c r="F236" t="s">
        <v>22</v>
      </c>
      <c r="G236" t="s">
        <v>26</v>
      </c>
      <c r="H236" t="s">
        <v>31</v>
      </c>
      <c r="I236" t="s">
        <v>34</v>
      </c>
      <c r="J236" t="s">
        <v>38</v>
      </c>
      <c r="K236" t="s">
        <v>44</v>
      </c>
      <c r="L236" t="s">
        <v>53</v>
      </c>
      <c r="M236">
        <v>35466</v>
      </c>
      <c r="N236">
        <v>0.04</v>
      </c>
      <c r="O236">
        <v>9376</v>
      </c>
      <c r="P236">
        <v>11</v>
      </c>
      <c r="Q236" t="s">
        <v>57</v>
      </c>
      <c r="R236" t="s">
        <v>59</v>
      </c>
    </row>
    <row r="237" spans="1:18">
      <c r="A237">
        <v>10236</v>
      </c>
      <c r="B237" s="2">
        <v>44432</v>
      </c>
      <c r="C237" s="2">
        <v>44434</v>
      </c>
      <c r="D237" s="2">
        <v>44438</v>
      </c>
      <c r="E237" t="s">
        <v>20</v>
      </c>
      <c r="F237" t="s">
        <v>22</v>
      </c>
      <c r="G237" t="s">
        <v>28</v>
      </c>
      <c r="H237" t="s">
        <v>33</v>
      </c>
      <c r="I237" t="s">
        <v>36</v>
      </c>
      <c r="J237" t="s">
        <v>38</v>
      </c>
      <c r="K237" t="s">
        <v>45</v>
      </c>
      <c r="L237" t="s">
        <v>53</v>
      </c>
      <c r="M237">
        <v>15501</v>
      </c>
      <c r="N237">
        <v>0.04</v>
      </c>
      <c r="O237">
        <v>11128</v>
      </c>
      <c r="P237">
        <v>11</v>
      </c>
      <c r="Q237" t="s">
        <v>57</v>
      </c>
      <c r="R237" t="s">
        <v>61</v>
      </c>
    </row>
    <row r="238" spans="1:18">
      <c r="A238">
        <v>10237</v>
      </c>
      <c r="B238" s="2">
        <v>44433</v>
      </c>
      <c r="C238" s="2">
        <v>44435</v>
      </c>
      <c r="D238" s="2">
        <v>44439</v>
      </c>
      <c r="E238" t="s">
        <v>18</v>
      </c>
      <c r="F238" t="s">
        <v>22</v>
      </c>
      <c r="G238" t="s">
        <v>26</v>
      </c>
      <c r="H238" t="s">
        <v>33</v>
      </c>
      <c r="I238" t="s">
        <v>36</v>
      </c>
      <c r="J238" t="s">
        <v>40</v>
      </c>
      <c r="K238" t="s">
        <v>46</v>
      </c>
      <c r="L238" t="s">
        <v>52</v>
      </c>
      <c r="M238">
        <v>56612</v>
      </c>
      <c r="N238">
        <v>0.28999999999999998</v>
      </c>
      <c r="O238">
        <v>11288</v>
      </c>
      <c r="P238">
        <v>17</v>
      </c>
      <c r="Q238" t="s">
        <v>56</v>
      </c>
      <c r="R238" t="s">
        <v>62</v>
      </c>
    </row>
    <row r="239" spans="1:18">
      <c r="A239">
        <v>10238</v>
      </c>
      <c r="B239" s="2">
        <v>44434</v>
      </c>
      <c r="C239" s="2">
        <v>44436</v>
      </c>
      <c r="D239" s="2">
        <v>44440</v>
      </c>
      <c r="E239" t="s">
        <v>18</v>
      </c>
      <c r="F239" t="s">
        <v>22</v>
      </c>
      <c r="G239" t="s">
        <v>24</v>
      </c>
      <c r="H239" t="s">
        <v>33</v>
      </c>
      <c r="I239" t="s">
        <v>35</v>
      </c>
      <c r="J239" t="s">
        <v>40</v>
      </c>
      <c r="K239" t="s">
        <v>45</v>
      </c>
      <c r="L239" t="s">
        <v>52</v>
      </c>
      <c r="M239">
        <v>12578</v>
      </c>
      <c r="N239">
        <v>0.39</v>
      </c>
      <c r="O239">
        <v>16811</v>
      </c>
      <c r="P239">
        <v>24</v>
      </c>
      <c r="Q239" t="s">
        <v>56</v>
      </c>
      <c r="R239" t="s">
        <v>61</v>
      </c>
    </row>
    <row r="240" spans="1:18">
      <c r="A240">
        <v>10239</v>
      </c>
      <c r="B240" s="2">
        <v>44435</v>
      </c>
      <c r="C240" s="2">
        <v>44437</v>
      </c>
      <c r="D240" s="2">
        <v>44441</v>
      </c>
      <c r="E240" t="s">
        <v>20</v>
      </c>
      <c r="F240" t="s">
        <v>22</v>
      </c>
      <c r="G240" t="s">
        <v>23</v>
      </c>
      <c r="H240" t="s">
        <v>30</v>
      </c>
      <c r="I240" t="s">
        <v>36</v>
      </c>
      <c r="J240" t="s">
        <v>38</v>
      </c>
      <c r="K240" t="s">
        <v>46</v>
      </c>
      <c r="L240" t="s">
        <v>53</v>
      </c>
      <c r="M240">
        <v>35299</v>
      </c>
      <c r="N240">
        <v>7.0000000000000007E-2</v>
      </c>
      <c r="O240">
        <v>18427</v>
      </c>
      <c r="P240">
        <v>20</v>
      </c>
      <c r="Q240" t="s">
        <v>58</v>
      </c>
      <c r="R240" t="s">
        <v>60</v>
      </c>
    </row>
    <row r="241" spans="1:18">
      <c r="A241">
        <v>10240</v>
      </c>
      <c r="B241" s="2">
        <v>44436</v>
      </c>
      <c r="C241" s="2">
        <v>44438</v>
      </c>
      <c r="D241" s="2">
        <v>44442</v>
      </c>
      <c r="E241" t="s">
        <v>20</v>
      </c>
      <c r="F241" t="s">
        <v>22</v>
      </c>
      <c r="G241" t="s">
        <v>27</v>
      </c>
      <c r="H241" t="s">
        <v>30</v>
      </c>
      <c r="I241" t="s">
        <v>36</v>
      </c>
      <c r="J241" t="s">
        <v>42</v>
      </c>
      <c r="K241" t="s">
        <v>46</v>
      </c>
      <c r="L241" t="s">
        <v>52</v>
      </c>
      <c r="M241">
        <v>45076</v>
      </c>
      <c r="N241">
        <v>0.27</v>
      </c>
      <c r="O241">
        <v>5174</v>
      </c>
      <c r="P241">
        <v>7</v>
      </c>
      <c r="Q241" t="s">
        <v>56</v>
      </c>
      <c r="R241" t="s">
        <v>61</v>
      </c>
    </row>
    <row r="242" spans="1:18">
      <c r="A242">
        <v>10241</v>
      </c>
      <c r="B242" s="2">
        <v>44437</v>
      </c>
      <c r="C242" s="2">
        <v>44439</v>
      </c>
      <c r="D242" s="2">
        <v>44443</v>
      </c>
      <c r="E242" t="s">
        <v>19</v>
      </c>
      <c r="F242" t="s">
        <v>22</v>
      </c>
      <c r="G242" t="s">
        <v>27</v>
      </c>
      <c r="H242" t="s">
        <v>25</v>
      </c>
      <c r="I242" t="s">
        <v>36</v>
      </c>
      <c r="J242" t="s">
        <v>41</v>
      </c>
      <c r="K242" t="s">
        <v>44</v>
      </c>
      <c r="L242" t="s">
        <v>51</v>
      </c>
      <c r="M242">
        <v>57777</v>
      </c>
      <c r="N242">
        <v>0.27</v>
      </c>
      <c r="O242">
        <v>2238</v>
      </c>
      <c r="P242">
        <v>10</v>
      </c>
      <c r="Q242" t="s">
        <v>57</v>
      </c>
      <c r="R242" t="s">
        <v>60</v>
      </c>
    </row>
    <row r="243" spans="1:18">
      <c r="A243">
        <v>10242</v>
      </c>
      <c r="B243" s="2">
        <v>44438</v>
      </c>
      <c r="C243" s="2">
        <v>44440</v>
      </c>
      <c r="D243" s="2">
        <v>44444</v>
      </c>
      <c r="E243" t="s">
        <v>19</v>
      </c>
      <c r="F243" t="s">
        <v>22</v>
      </c>
      <c r="G243" t="s">
        <v>24</v>
      </c>
      <c r="H243" t="s">
        <v>29</v>
      </c>
      <c r="I243" t="s">
        <v>35</v>
      </c>
      <c r="J243" t="s">
        <v>41</v>
      </c>
      <c r="K243" t="s">
        <v>48</v>
      </c>
      <c r="L243" t="s">
        <v>51</v>
      </c>
      <c r="M243">
        <v>15544</v>
      </c>
      <c r="N243">
        <v>7.0000000000000007E-2</v>
      </c>
      <c r="O243">
        <v>7184</v>
      </c>
      <c r="P243">
        <v>4</v>
      </c>
      <c r="Q243" t="s">
        <v>57</v>
      </c>
      <c r="R243" t="s">
        <v>60</v>
      </c>
    </row>
    <row r="244" spans="1:18">
      <c r="A244">
        <v>10243</v>
      </c>
      <c r="B244" s="2">
        <v>44439</v>
      </c>
      <c r="C244" s="2">
        <v>44441</v>
      </c>
      <c r="D244" s="2">
        <v>44445</v>
      </c>
      <c r="E244" t="s">
        <v>18</v>
      </c>
      <c r="F244" t="s">
        <v>22</v>
      </c>
      <c r="G244" t="s">
        <v>24</v>
      </c>
      <c r="H244" t="s">
        <v>32</v>
      </c>
      <c r="I244" t="s">
        <v>36</v>
      </c>
      <c r="J244" t="s">
        <v>39</v>
      </c>
      <c r="K244" t="s">
        <v>46</v>
      </c>
      <c r="L244" t="s">
        <v>53</v>
      </c>
      <c r="M244">
        <v>50532</v>
      </c>
      <c r="N244">
        <v>0.18</v>
      </c>
      <c r="O244">
        <v>4427</v>
      </c>
      <c r="P244">
        <v>8</v>
      </c>
      <c r="Q244" t="s">
        <v>58</v>
      </c>
      <c r="R244" t="s">
        <v>60</v>
      </c>
    </row>
    <row r="245" spans="1:18">
      <c r="A245">
        <v>10244</v>
      </c>
      <c r="B245" s="2">
        <v>44440</v>
      </c>
      <c r="C245" s="2">
        <v>44442</v>
      </c>
      <c r="D245" s="2">
        <v>44446</v>
      </c>
      <c r="E245" t="s">
        <v>21</v>
      </c>
      <c r="F245" t="s">
        <v>22</v>
      </c>
      <c r="G245" t="s">
        <v>23</v>
      </c>
      <c r="H245" t="s">
        <v>31</v>
      </c>
      <c r="I245" t="s">
        <v>34</v>
      </c>
      <c r="J245" t="s">
        <v>40</v>
      </c>
      <c r="K245" t="s">
        <v>48</v>
      </c>
      <c r="L245" t="s">
        <v>52</v>
      </c>
      <c r="M245">
        <v>8536</v>
      </c>
      <c r="N245">
        <v>0.03</v>
      </c>
      <c r="O245">
        <v>12380</v>
      </c>
      <c r="P245">
        <v>2</v>
      </c>
      <c r="Q245" t="s">
        <v>55</v>
      </c>
      <c r="R245" t="s">
        <v>59</v>
      </c>
    </row>
    <row r="246" spans="1:18">
      <c r="A246">
        <v>10245</v>
      </c>
      <c r="B246" s="2">
        <v>44441</v>
      </c>
      <c r="C246" s="2">
        <v>44443</v>
      </c>
      <c r="D246" s="2">
        <v>44447</v>
      </c>
      <c r="E246" t="s">
        <v>20</v>
      </c>
      <c r="F246" t="s">
        <v>22</v>
      </c>
      <c r="G246" t="s">
        <v>27</v>
      </c>
      <c r="H246" t="s">
        <v>30</v>
      </c>
      <c r="I246" t="s">
        <v>34</v>
      </c>
      <c r="J246" t="s">
        <v>37</v>
      </c>
      <c r="K246" t="s">
        <v>48</v>
      </c>
      <c r="L246" t="s">
        <v>51</v>
      </c>
      <c r="M246">
        <v>57883</v>
      </c>
      <c r="N246">
        <v>0.36</v>
      </c>
      <c r="O246">
        <v>8117</v>
      </c>
      <c r="P246">
        <v>11</v>
      </c>
      <c r="Q246" t="s">
        <v>57</v>
      </c>
      <c r="R246" t="s">
        <v>59</v>
      </c>
    </row>
    <row r="247" spans="1:18">
      <c r="A247">
        <v>10246</v>
      </c>
      <c r="B247" s="2">
        <v>44442</v>
      </c>
      <c r="C247" s="2">
        <v>44444</v>
      </c>
      <c r="D247" s="2">
        <v>44448</v>
      </c>
      <c r="E247" t="s">
        <v>20</v>
      </c>
      <c r="F247" t="s">
        <v>22</v>
      </c>
      <c r="G247" t="s">
        <v>25</v>
      </c>
      <c r="H247" t="s">
        <v>31</v>
      </c>
      <c r="I247" t="s">
        <v>36</v>
      </c>
      <c r="J247" t="s">
        <v>39</v>
      </c>
      <c r="K247" t="s">
        <v>45</v>
      </c>
      <c r="L247" t="s">
        <v>51</v>
      </c>
      <c r="M247">
        <v>60278</v>
      </c>
      <c r="N247">
        <v>0.31</v>
      </c>
      <c r="O247">
        <v>8685</v>
      </c>
      <c r="P247">
        <v>5</v>
      </c>
      <c r="Q247" t="s">
        <v>58</v>
      </c>
      <c r="R247" t="s">
        <v>61</v>
      </c>
    </row>
    <row r="248" spans="1:18">
      <c r="A248">
        <v>10247</v>
      </c>
      <c r="B248" s="2">
        <v>44443</v>
      </c>
      <c r="C248" s="2">
        <v>44445</v>
      </c>
      <c r="D248" s="2">
        <v>44449</v>
      </c>
      <c r="E248" t="s">
        <v>21</v>
      </c>
      <c r="F248" t="s">
        <v>22</v>
      </c>
      <c r="G248" t="s">
        <v>28</v>
      </c>
      <c r="H248" t="s">
        <v>31</v>
      </c>
      <c r="I248" t="s">
        <v>34</v>
      </c>
      <c r="J248" t="s">
        <v>37</v>
      </c>
      <c r="K248" t="s">
        <v>44</v>
      </c>
      <c r="L248" t="s">
        <v>53</v>
      </c>
      <c r="M248">
        <v>35691</v>
      </c>
      <c r="N248">
        <v>0.34</v>
      </c>
      <c r="O248">
        <v>16820</v>
      </c>
      <c r="P248">
        <v>1</v>
      </c>
      <c r="Q248" t="s">
        <v>55</v>
      </c>
      <c r="R248" t="s">
        <v>62</v>
      </c>
    </row>
    <row r="249" spans="1:18">
      <c r="A249">
        <v>10248</v>
      </c>
      <c r="B249" s="2">
        <v>44444</v>
      </c>
      <c r="C249" s="2">
        <v>44446</v>
      </c>
      <c r="D249" s="2">
        <v>44450</v>
      </c>
      <c r="E249" t="s">
        <v>19</v>
      </c>
      <c r="F249" t="s">
        <v>22</v>
      </c>
      <c r="G249" t="s">
        <v>28</v>
      </c>
      <c r="H249" t="s">
        <v>29</v>
      </c>
      <c r="I249" t="s">
        <v>36</v>
      </c>
      <c r="J249" t="s">
        <v>37</v>
      </c>
      <c r="K249" t="s">
        <v>45</v>
      </c>
      <c r="L249" t="s">
        <v>51</v>
      </c>
      <c r="M249">
        <v>16152</v>
      </c>
      <c r="N249">
        <v>0.18</v>
      </c>
      <c r="O249">
        <v>1140</v>
      </c>
      <c r="P249">
        <v>23</v>
      </c>
      <c r="Q249" t="s">
        <v>55</v>
      </c>
      <c r="R249" t="s">
        <v>61</v>
      </c>
    </row>
    <row r="250" spans="1:18">
      <c r="A250">
        <v>10249</v>
      </c>
      <c r="B250" s="2">
        <v>44445</v>
      </c>
      <c r="C250" s="2">
        <v>44447</v>
      </c>
      <c r="D250" s="2">
        <v>44451</v>
      </c>
      <c r="E250" t="s">
        <v>21</v>
      </c>
      <c r="F250" t="s">
        <v>22</v>
      </c>
      <c r="G250" t="s">
        <v>27</v>
      </c>
      <c r="H250" t="s">
        <v>25</v>
      </c>
      <c r="I250" t="s">
        <v>34</v>
      </c>
      <c r="J250" t="s">
        <v>42</v>
      </c>
      <c r="K250" t="s">
        <v>48</v>
      </c>
      <c r="L250" t="s">
        <v>53</v>
      </c>
      <c r="M250">
        <v>10127</v>
      </c>
      <c r="N250">
        <v>0.12</v>
      </c>
      <c r="O250">
        <v>5276</v>
      </c>
      <c r="P250">
        <v>16</v>
      </c>
      <c r="Q250" t="s">
        <v>58</v>
      </c>
      <c r="R250" t="s">
        <v>61</v>
      </c>
    </row>
    <row r="251" spans="1:18">
      <c r="A251">
        <v>10250</v>
      </c>
      <c r="B251" s="2">
        <v>44446</v>
      </c>
      <c r="C251" s="2">
        <v>44448</v>
      </c>
      <c r="D251" s="2">
        <v>44452</v>
      </c>
      <c r="E251" t="s">
        <v>18</v>
      </c>
      <c r="F251" t="s">
        <v>22</v>
      </c>
      <c r="G251" t="s">
        <v>27</v>
      </c>
      <c r="H251" t="s">
        <v>29</v>
      </c>
      <c r="I251" t="s">
        <v>35</v>
      </c>
      <c r="J251" t="s">
        <v>39</v>
      </c>
      <c r="K251" t="s">
        <v>47</v>
      </c>
      <c r="L251" t="s">
        <v>51</v>
      </c>
      <c r="M251">
        <v>24311</v>
      </c>
      <c r="N251">
        <v>0.14000000000000001</v>
      </c>
      <c r="O251">
        <v>13598</v>
      </c>
      <c r="P251">
        <v>1</v>
      </c>
      <c r="Q251" t="s">
        <v>54</v>
      </c>
      <c r="R251" t="s">
        <v>62</v>
      </c>
    </row>
    <row r="252" spans="1:18">
      <c r="A252">
        <v>10251</v>
      </c>
      <c r="B252" s="2">
        <v>44447</v>
      </c>
      <c r="C252" s="2">
        <v>44449</v>
      </c>
      <c r="D252" s="2">
        <v>44453</v>
      </c>
      <c r="E252" t="s">
        <v>19</v>
      </c>
      <c r="F252" t="s">
        <v>22</v>
      </c>
      <c r="G252" t="s">
        <v>28</v>
      </c>
      <c r="H252" t="s">
        <v>32</v>
      </c>
      <c r="I252" t="s">
        <v>34</v>
      </c>
      <c r="J252" t="s">
        <v>39</v>
      </c>
      <c r="K252" t="s">
        <v>50</v>
      </c>
      <c r="L252" t="s">
        <v>52</v>
      </c>
      <c r="M252">
        <v>12958</v>
      </c>
      <c r="N252">
        <v>0.11</v>
      </c>
      <c r="O252">
        <v>493</v>
      </c>
      <c r="P252">
        <v>16</v>
      </c>
      <c r="Q252" t="s">
        <v>57</v>
      </c>
      <c r="R252" t="s">
        <v>62</v>
      </c>
    </row>
    <row r="253" spans="1:18">
      <c r="A253">
        <v>10252</v>
      </c>
      <c r="B253" s="2">
        <v>44448</v>
      </c>
      <c r="C253" s="2">
        <v>44450</v>
      </c>
      <c r="D253" s="2">
        <v>44454</v>
      </c>
      <c r="E253" t="s">
        <v>18</v>
      </c>
      <c r="F253" t="s">
        <v>22</v>
      </c>
      <c r="G253" t="s">
        <v>23</v>
      </c>
      <c r="H253" t="s">
        <v>31</v>
      </c>
      <c r="I253" t="s">
        <v>35</v>
      </c>
      <c r="J253" t="s">
        <v>38</v>
      </c>
      <c r="K253" t="s">
        <v>44</v>
      </c>
      <c r="L253" t="s">
        <v>53</v>
      </c>
      <c r="M253">
        <v>4463</v>
      </c>
      <c r="N253">
        <v>0.06</v>
      </c>
      <c r="O253">
        <v>1026</v>
      </c>
      <c r="P253">
        <v>20</v>
      </c>
      <c r="Q253" t="s">
        <v>55</v>
      </c>
      <c r="R253" t="s">
        <v>59</v>
      </c>
    </row>
    <row r="254" spans="1:18">
      <c r="A254">
        <v>10253</v>
      </c>
      <c r="B254" s="2">
        <v>44449</v>
      </c>
      <c r="C254" s="2">
        <v>44451</v>
      </c>
      <c r="D254" s="2">
        <v>44455</v>
      </c>
      <c r="E254" t="s">
        <v>21</v>
      </c>
      <c r="F254" t="s">
        <v>22</v>
      </c>
      <c r="G254" t="s">
        <v>28</v>
      </c>
      <c r="H254" t="s">
        <v>31</v>
      </c>
      <c r="I254" t="s">
        <v>34</v>
      </c>
      <c r="J254" t="s">
        <v>38</v>
      </c>
      <c r="K254" t="s">
        <v>50</v>
      </c>
      <c r="L254" t="s">
        <v>52</v>
      </c>
      <c r="M254">
        <v>47461</v>
      </c>
      <c r="N254">
        <v>0.02</v>
      </c>
      <c r="O254">
        <v>-909</v>
      </c>
      <c r="P254">
        <v>13</v>
      </c>
      <c r="Q254" t="s">
        <v>58</v>
      </c>
      <c r="R254" t="s">
        <v>61</v>
      </c>
    </row>
    <row r="255" spans="1:18">
      <c r="A255">
        <v>10254</v>
      </c>
      <c r="B255" s="2">
        <v>44450</v>
      </c>
      <c r="C255" s="2">
        <v>44452</v>
      </c>
      <c r="D255" s="2">
        <v>44456</v>
      </c>
      <c r="E255" t="s">
        <v>21</v>
      </c>
      <c r="F255" t="s">
        <v>22</v>
      </c>
      <c r="G255" t="s">
        <v>26</v>
      </c>
      <c r="H255" t="s">
        <v>31</v>
      </c>
      <c r="I255" t="s">
        <v>36</v>
      </c>
      <c r="J255" t="s">
        <v>41</v>
      </c>
      <c r="K255" t="s">
        <v>47</v>
      </c>
      <c r="L255" t="s">
        <v>51</v>
      </c>
      <c r="M255">
        <v>68483</v>
      </c>
      <c r="N255">
        <v>0.16</v>
      </c>
      <c r="O255">
        <v>4534</v>
      </c>
      <c r="P255">
        <v>8</v>
      </c>
      <c r="Q255" t="s">
        <v>56</v>
      </c>
      <c r="R255" t="s">
        <v>61</v>
      </c>
    </row>
    <row r="256" spans="1:18">
      <c r="A256">
        <v>10255</v>
      </c>
      <c r="B256" s="2">
        <v>44451</v>
      </c>
      <c r="C256" s="2">
        <v>44453</v>
      </c>
      <c r="D256" s="2">
        <v>44457</v>
      </c>
      <c r="E256" t="s">
        <v>20</v>
      </c>
      <c r="F256" t="s">
        <v>22</v>
      </c>
      <c r="G256" t="s">
        <v>26</v>
      </c>
      <c r="H256" t="s">
        <v>30</v>
      </c>
      <c r="I256" t="s">
        <v>35</v>
      </c>
      <c r="J256" t="s">
        <v>40</v>
      </c>
      <c r="K256" t="s">
        <v>44</v>
      </c>
      <c r="L256" t="s">
        <v>52</v>
      </c>
      <c r="M256">
        <v>72922</v>
      </c>
      <c r="N256">
        <v>0.22</v>
      </c>
      <c r="O256">
        <v>-190</v>
      </c>
      <c r="P256">
        <v>9</v>
      </c>
      <c r="Q256" t="s">
        <v>55</v>
      </c>
      <c r="R256" t="s">
        <v>62</v>
      </c>
    </row>
    <row r="257" spans="1:18">
      <c r="A257">
        <v>10256</v>
      </c>
      <c r="B257" s="2">
        <v>44452</v>
      </c>
      <c r="C257" s="2">
        <v>44454</v>
      </c>
      <c r="D257" s="2">
        <v>44458</v>
      </c>
      <c r="E257" t="s">
        <v>20</v>
      </c>
      <c r="F257" t="s">
        <v>22</v>
      </c>
      <c r="G257" t="s">
        <v>23</v>
      </c>
      <c r="H257" t="s">
        <v>30</v>
      </c>
      <c r="I257" t="s">
        <v>36</v>
      </c>
      <c r="J257" t="s">
        <v>40</v>
      </c>
      <c r="K257" t="s">
        <v>48</v>
      </c>
      <c r="L257" t="s">
        <v>51</v>
      </c>
      <c r="M257">
        <v>39211</v>
      </c>
      <c r="N257">
        <v>0.18</v>
      </c>
      <c r="O257">
        <v>10674</v>
      </c>
      <c r="P257">
        <v>19</v>
      </c>
      <c r="Q257" t="s">
        <v>55</v>
      </c>
      <c r="R257" t="s">
        <v>61</v>
      </c>
    </row>
    <row r="258" spans="1:18">
      <c r="A258">
        <v>10257</v>
      </c>
      <c r="B258" s="2">
        <v>44453</v>
      </c>
      <c r="C258" s="2">
        <v>44455</v>
      </c>
      <c r="D258" s="2">
        <v>44459</v>
      </c>
      <c r="E258" t="s">
        <v>20</v>
      </c>
      <c r="F258" t="s">
        <v>22</v>
      </c>
      <c r="G258" t="s">
        <v>23</v>
      </c>
      <c r="H258" t="s">
        <v>30</v>
      </c>
      <c r="I258" t="s">
        <v>34</v>
      </c>
      <c r="J258" t="s">
        <v>39</v>
      </c>
      <c r="K258" t="s">
        <v>50</v>
      </c>
      <c r="L258" t="s">
        <v>53</v>
      </c>
      <c r="M258">
        <v>25659</v>
      </c>
      <c r="N258">
        <v>0.16</v>
      </c>
      <c r="O258">
        <v>11210</v>
      </c>
      <c r="P258">
        <v>9</v>
      </c>
      <c r="Q258" t="s">
        <v>58</v>
      </c>
      <c r="R258" t="s">
        <v>62</v>
      </c>
    </row>
    <row r="259" spans="1:18">
      <c r="A259">
        <v>10258</v>
      </c>
      <c r="B259" s="2">
        <v>44454</v>
      </c>
      <c r="C259" s="2">
        <v>44456</v>
      </c>
      <c r="D259" s="2">
        <v>44460</v>
      </c>
      <c r="E259" t="s">
        <v>20</v>
      </c>
      <c r="F259" t="s">
        <v>22</v>
      </c>
      <c r="G259" t="s">
        <v>27</v>
      </c>
      <c r="H259" t="s">
        <v>25</v>
      </c>
      <c r="I259" t="s">
        <v>35</v>
      </c>
      <c r="J259" t="s">
        <v>43</v>
      </c>
      <c r="K259" t="s">
        <v>49</v>
      </c>
      <c r="L259" t="s">
        <v>52</v>
      </c>
      <c r="M259">
        <v>15884</v>
      </c>
      <c r="N259">
        <v>0.01</v>
      </c>
      <c r="O259">
        <v>437</v>
      </c>
      <c r="P259">
        <v>19</v>
      </c>
      <c r="Q259" t="s">
        <v>58</v>
      </c>
      <c r="R259" t="s">
        <v>60</v>
      </c>
    </row>
    <row r="260" spans="1:18">
      <c r="A260">
        <v>10259</v>
      </c>
      <c r="B260" s="2">
        <v>44455</v>
      </c>
      <c r="C260" s="2">
        <v>44457</v>
      </c>
      <c r="D260" s="2">
        <v>44461</v>
      </c>
      <c r="E260" t="s">
        <v>18</v>
      </c>
      <c r="F260" t="s">
        <v>22</v>
      </c>
      <c r="G260" t="s">
        <v>25</v>
      </c>
      <c r="H260" t="s">
        <v>30</v>
      </c>
      <c r="I260" t="s">
        <v>34</v>
      </c>
      <c r="J260" t="s">
        <v>38</v>
      </c>
      <c r="K260" t="s">
        <v>49</v>
      </c>
      <c r="L260" t="s">
        <v>53</v>
      </c>
      <c r="M260">
        <v>31787</v>
      </c>
      <c r="N260">
        <v>0.15</v>
      </c>
      <c r="O260">
        <v>6862</v>
      </c>
      <c r="P260">
        <v>24</v>
      </c>
      <c r="Q260" t="s">
        <v>58</v>
      </c>
      <c r="R260" t="s">
        <v>59</v>
      </c>
    </row>
    <row r="261" spans="1:18">
      <c r="A261">
        <v>10260</v>
      </c>
      <c r="B261" s="2">
        <v>44456</v>
      </c>
      <c r="C261" s="2">
        <v>44458</v>
      </c>
      <c r="D261" s="2">
        <v>44462</v>
      </c>
      <c r="E261" t="s">
        <v>20</v>
      </c>
      <c r="F261" t="s">
        <v>22</v>
      </c>
      <c r="G261" t="s">
        <v>24</v>
      </c>
      <c r="H261" t="s">
        <v>29</v>
      </c>
      <c r="I261" t="s">
        <v>34</v>
      </c>
      <c r="J261" t="s">
        <v>41</v>
      </c>
      <c r="K261" t="s">
        <v>47</v>
      </c>
      <c r="L261" t="s">
        <v>52</v>
      </c>
      <c r="M261">
        <v>11188</v>
      </c>
      <c r="N261">
        <v>0.05</v>
      </c>
      <c r="O261">
        <v>109</v>
      </c>
      <c r="P261">
        <v>4</v>
      </c>
      <c r="Q261" t="s">
        <v>54</v>
      </c>
      <c r="R261" t="s">
        <v>60</v>
      </c>
    </row>
    <row r="262" spans="1:18">
      <c r="A262">
        <v>10261</v>
      </c>
      <c r="B262" s="2">
        <v>44457</v>
      </c>
      <c r="C262" s="2">
        <v>44459</v>
      </c>
      <c r="D262" s="2">
        <v>44463</v>
      </c>
      <c r="E262" t="s">
        <v>18</v>
      </c>
      <c r="F262" t="s">
        <v>22</v>
      </c>
      <c r="G262" t="s">
        <v>23</v>
      </c>
      <c r="H262" t="s">
        <v>33</v>
      </c>
      <c r="I262" t="s">
        <v>36</v>
      </c>
      <c r="J262" t="s">
        <v>37</v>
      </c>
      <c r="K262" t="s">
        <v>45</v>
      </c>
      <c r="L262" t="s">
        <v>51</v>
      </c>
      <c r="M262">
        <v>23680</v>
      </c>
      <c r="N262">
        <v>0.28000000000000003</v>
      </c>
      <c r="O262">
        <v>3645</v>
      </c>
      <c r="P262">
        <v>19</v>
      </c>
      <c r="Q262" t="s">
        <v>57</v>
      </c>
      <c r="R262" t="s">
        <v>61</v>
      </c>
    </row>
    <row r="263" spans="1:18">
      <c r="A263">
        <v>10262</v>
      </c>
      <c r="B263" s="2">
        <v>44458</v>
      </c>
      <c r="C263" s="2">
        <v>44460</v>
      </c>
      <c r="D263" s="2">
        <v>44464</v>
      </c>
      <c r="E263" t="s">
        <v>21</v>
      </c>
      <c r="F263" t="s">
        <v>22</v>
      </c>
      <c r="G263" t="s">
        <v>27</v>
      </c>
      <c r="H263" t="s">
        <v>31</v>
      </c>
      <c r="I263" t="s">
        <v>34</v>
      </c>
      <c r="J263" t="s">
        <v>39</v>
      </c>
      <c r="K263" t="s">
        <v>48</v>
      </c>
      <c r="L263" t="s">
        <v>52</v>
      </c>
      <c r="M263">
        <v>24514</v>
      </c>
      <c r="N263">
        <v>0.12</v>
      </c>
      <c r="O263">
        <v>7929</v>
      </c>
      <c r="P263">
        <v>15</v>
      </c>
      <c r="Q263" t="s">
        <v>55</v>
      </c>
      <c r="R263" t="s">
        <v>61</v>
      </c>
    </row>
    <row r="264" spans="1:18">
      <c r="A264">
        <v>10263</v>
      </c>
      <c r="B264" s="2">
        <v>44459</v>
      </c>
      <c r="C264" s="2">
        <v>44461</v>
      </c>
      <c r="D264" s="2">
        <v>44465</v>
      </c>
      <c r="E264" t="s">
        <v>19</v>
      </c>
      <c r="F264" t="s">
        <v>22</v>
      </c>
      <c r="G264" t="s">
        <v>23</v>
      </c>
      <c r="H264" t="s">
        <v>29</v>
      </c>
      <c r="I264" t="s">
        <v>35</v>
      </c>
      <c r="J264" t="s">
        <v>38</v>
      </c>
      <c r="K264" t="s">
        <v>50</v>
      </c>
      <c r="L264" t="s">
        <v>53</v>
      </c>
      <c r="M264">
        <v>56671</v>
      </c>
      <c r="N264">
        <v>0.2</v>
      </c>
      <c r="O264">
        <v>19737</v>
      </c>
      <c r="P264">
        <v>19</v>
      </c>
      <c r="Q264" t="s">
        <v>58</v>
      </c>
      <c r="R264" t="s">
        <v>62</v>
      </c>
    </row>
    <row r="265" spans="1:18">
      <c r="A265">
        <v>10264</v>
      </c>
      <c r="B265" s="2">
        <v>44460</v>
      </c>
      <c r="C265" s="2">
        <v>44462</v>
      </c>
      <c r="D265" s="2">
        <v>44466</v>
      </c>
      <c r="E265" t="s">
        <v>19</v>
      </c>
      <c r="F265" t="s">
        <v>22</v>
      </c>
      <c r="G265" t="s">
        <v>26</v>
      </c>
      <c r="H265" t="s">
        <v>25</v>
      </c>
      <c r="I265" t="s">
        <v>34</v>
      </c>
      <c r="J265" t="s">
        <v>39</v>
      </c>
      <c r="K265" t="s">
        <v>50</v>
      </c>
      <c r="L265" t="s">
        <v>51</v>
      </c>
      <c r="M265">
        <v>7865</v>
      </c>
      <c r="N265">
        <v>0.14000000000000001</v>
      </c>
      <c r="O265">
        <v>17228</v>
      </c>
      <c r="P265">
        <v>22</v>
      </c>
      <c r="Q265" t="s">
        <v>56</v>
      </c>
      <c r="R265" t="s">
        <v>60</v>
      </c>
    </row>
    <row r="266" spans="1:18">
      <c r="A266">
        <v>10265</v>
      </c>
      <c r="B266" s="2">
        <v>44461</v>
      </c>
      <c r="C266" s="2">
        <v>44463</v>
      </c>
      <c r="D266" s="2">
        <v>44467</v>
      </c>
      <c r="E266" t="s">
        <v>20</v>
      </c>
      <c r="F266" t="s">
        <v>22</v>
      </c>
      <c r="G266" t="s">
        <v>26</v>
      </c>
      <c r="H266" t="s">
        <v>30</v>
      </c>
      <c r="I266" t="s">
        <v>34</v>
      </c>
      <c r="J266" t="s">
        <v>39</v>
      </c>
      <c r="K266" t="s">
        <v>49</v>
      </c>
      <c r="L266" t="s">
        <v>52</v>
      </c>
      <c r="M266">
        <v>51918</v>
      </c>
      <c r="N266">
        <v>0.21</v>
      </c>
      <c r="O266">
        <v>3335</v>
      </c>
      <c r="P266">
        <v>13</v>
      </c>
      <c r="Q266" t="s">
        <v>58</v>
      </c>
      <c r="R266" t="s">
        <v>59</v>
      </c>
    </row>
    <row r="267" spans="1:18">
      <c r="A267">
        <v>10266</v>
      </c>
      <c r="B267" s="2">
        <v>44462</v>
      </c>
      <c r="C267" s="2">
        <v>44464</v>
      </c>
      <c r="D267" s="2">
        <v>44468</v>
      </c>
      <c r="E267" t="s">
        <v>20</v>
      </c>
      <c r="F267" t="s">
        <v>22</v>
      </c>
      <c r="G267" t="s">
        <v>26</v>
      </c>
      <c r="H267" t="s">
        <v>25</v>
      </c>
      <c r="I267" t="s">
        <v>35</v>
      </c>
      <c r="J267" t="s">
        <v>43</v>
      </c>
      <c r="K267" t="s">
        <v>44</v>
      </c>
      <c r="L267" t="s">
        <v>52</v>
      </c>
      <c r="M267">
        <v>33138</v>
      </c>
      <c r="N267">
        <v>0.08</v>
      </c>
      <c r="O267">
        <v>9693</v>
      </c>
      <c r="P267">
        <v>5</v>
      </c>
      <c r="Q267" t="s">
        <v>55</v>
      </c>
      <c r="R267" t="s">
        <v>62</v>
      </c>
    </row>
    <row r="268" spans="1:18">
      <c r="A268">
        <v>10267</v>
      </c>
      <c r="B268" s="2">
        <v>44463</v>
      </c>
      <c r="C268" s="2">
        <v>44465</v>
      </c>
      <c r="D268" s="2">
        <v>44469</v>
      </c>
      <c r="E268" t="s">
        <v>21</v>
      </c>
      <c r="F268" t="s">
        <v>22</v>
      </c>
      <c r="G268" t="s">
        <v>28</v>
      </c>
      <c r="H268" t="s">
        <v>31</v>
      </c>
      <c r="I268" t="s">
        <v>34</v>
      </c>
      <c r="J268" t="s">
        <v>38</v>
      </c>
      <c r="K268" t="s">
        <v>50</v>
      </c>
      <c r="L268" t="s">
        <v>51</v>
      </c>
      <c r="M268">
        <v>72849</v>
      </c>
      <c r="N268">
        <v>0.03</v>
      </c>
      <c r="O268">
        <v>16071</v>
      </c>
      <c r="P268">
        <v>2</v>
      </c>
      <c r="Q268" t="s">
        <v>55</v>
      </c>
      <c r="R268" t="s">
        <v>60</v>
      </c>
    </row>
    <row r="269" spans="1:18">
      <c r="A269">
        <v>10268</v>
      </c>
      <c r="B269" s="2">
        <v>44464</v>
      </c>
      <c r="C269" s="2">
        <v>44466</v>
      </c>
      <c r="D269" s="2">
        <v>44470</v>
      </c>
      <c r="E269" t="s">
        <v>20</v>
      </c>
      <c r="F269" t="s">
        <v>22</v>
      </c>
      <c r="G269" t="s">
        <v>24</v>
      </c>
      <c r="H269" t="s">
        <v>32</v>
      </c>
      <c r="I269" t="s">
        <v>35</v>
      </c>
      <c r="J269" t="s">
        <v>39</v>
      </c>
      <c r="K269" t="s">
        <v>47</v>
      </c>
      <c r="L269" t="s">
        <v>51</v>
      </c>
      <c r="M269">
        <v>2751</v>
      </c>
      <c r="N269">
        <v>0.1</v>
      </c>
      <c r="O269">
        <v>1584</v>
      </c>
      <c r="P269">
        <v>4</v>
      </c>
      <c r="Q269" t="s">
        <v>54</v>
      </c>
      <c r="R269" t="s">
        <v>62</v>
      </c>
    </row>
    <row r="270" spans="1:18">
      <c r="A270">
        <v>10269</v>
      </c>
      <c r="B270" s="2">
        <v>44465</v>
      </c>
      <c r="C270" s="2">
        <v>44467</v>
      </c>
      <c r="D270" s="2">
        <v>44471</v>
      </c>
      <c r="E270" t="s">
        <v>20</v>
      </c>
      <c r="F270" t="s">
        <v>22</v>
      </c>
      <c r="G270" t="s">
        <v>27</v>
      </c>
      <c r="H270" t="s">
        <v>33</v>
      </c>
      <c r="I270" t="s">
        <v>34</v>
      </c>
      <c r="J270" t="s">
        <v>43</v>
      </c>
      <c r="K270" t="s">
        <v>45</v>
      </c>
      <c r="L270" t="s">
        <v>52</v>
      </c>
      <c r="M270">
        <v>20089</v>
      </c>
      <c r="N270">
        <v>0.1</v>
      </c>
      <c r="O270">
        <v>752</v>
      </c>
      <c r="P270">
        <v>9</v>
      </c>
      <c r="Q270" t="s">
        <v>55</v>
      </c>
      <c r="R270" t="s">
        <v>59</v>
      </c>
    </row>
    <row r="271" spans="1:18">
      <c r="A271">
        <v>10270</v>
      </c>
      <c r="B271" s="2">
        <v>44466</v>
      </c>
      <c r="C271" s="2">
        <v>44468</v>
      </c>
      <c r="D271" s="2">
        <v>44472</v>
      </c>
      <c r="E271" t="s">
        <v>18</v>
      </c>
      <c r="F271" t="s">
        <v>22</v>
      </c>
      <c r="G271" t="s">
        <v>27</v>
      </c>
      <c r="H271" t="s">
        <v>30</v>
      </c>
      <c r="I271" t="s">
        <v>35</v>
      </c>
      <c r="J271" t="s">
        <v>42</v>
      </c>
      <c r="K271" t="s">
        <v>48</v>
      </c>
      <c r="L271" t="s">
        <v>52</v>
      </c>
      <c r="M271">
        <v>28908</v>
      </c>
      <c r="N271">
        <v>0.1</v>
      </c>
      <c r="O271">
        <v>1534</v>
      </c>
      <c r="P271">
        <v>22</v>
      </c>
      <c r="Q271" t="s">
        <v>55</v>
      </c>
      <c r="R271" t="s">
        <v>62</v>
      </c>
    </row>
    <row r="272" spans="1:18">
      <c r="A272">
        <v>10271</v>
      </c>
      <c r="B272" s="2">
        <v>44467</v>
      </c>
      <c r="C272" s="2">
        <v>44469</v>
      </c>
      <c r="D272" s="2">
        <v>44473</v>
      </c>
      <c r="E272" t="s">
        <v>18</v>
      </c>
      <c r="F272" t="s">
        <v>22</v>
      </c>
      <c r="G272" t="s">
        <v>26</v>
      </c>
      <c r="H272" t="s">
        <v>32</v>
      </c>
      <c r="I272" t="s">
        <v>35</v>
      </c>
      <c r="J272" t="s">
        <v>38</v>
      </c>
      <c r="K272" t="s">
        <v>44</v>
      </c>
      <c r="L272" t="s">
        <v>51</v>
      </c>
      <c r="M272">
        <v>4932</v>
      </c>
      <c r="N272">
        <v>0.14000000000000001</v>
      </c>
      <c r="O272">
        <v>9192</v>
      </c>
      <c r="P272">
        <v>18</v>
      </c>
      <c r="Q272" t="s">
        <v>55</v>
      </c>
      <c r="R272" t="s">
        <v>59</v>
      </c>
    </row>
    <row r="273" spans="1:18">
      <c r="A273">
        <v>10272</v>
      </c>
      <c r="B273" s="2">
        <v>44468</v>
      </c>
      <c r="C273" s="2">
        <v>44470</v>
      </c>
      <c r="D273" s="2">
        <v>44474</v>
      </c>
      <c r="E273" t="s">
        <v>21</v>
      </c>
      <c r="F273" t="s">
        <v>22</v>
      </c>
      <c r="G273" t="s">
        <v>24</v>
      </c>
      <c r="H273" t="s">
        <v>31</v>
      </c>
      <c r="I273" t="s">
        <v>35</v>
      </c>
      <c r="J273" t="s">
        <v>41</v>
      </c>
      <c r="K273" t="s">
        <v>49</v>
      </c>
      <c r="L273" t="s">
        <v>51</v>
      </c>
      <c r="M273">
        <v>61735</v>
      </c>
      <c r="N273">
        <v>0.37</v>
      </c>
      <c r="O273">
        <v>1907</v>
      </c>
      <c r="P273">
        <v>19</v>
      </c>
      <c r="Q273" t="s">
        <v>54</v>
      </c>
      <c r="R273" t="s">
        <v>59</v>
      </c>
    </row>
    <row r="274" spans="1:18">
      <c r="A274">
        <v>10273</v>
      </c>
      <c r="B274" s="2">
        <v>44469</v>
      </c>
      <c r="C274" s="2">
        <v>44471</v>
      </c>
      <c r="D274" s="2">
        <v>44475</v>
      </c>
      <c r="E274" t="s">
        <v>19</v>
      </c>
      <c r="F274" t="s">
        <v>22</v>
      </c>
      <c r="G274" t="s">
        <v>23</v>
      </c>
      <c r="H274" t="s">
        <v>25</v>
      </c>
      <c r="I274" t="s">
        <v>35</v>
      </c>
      <c r="J274" t="s">
        <v>38</v>
      </c>
      <c r="K274" t="s">
        <v>47</v>
      </c>
      <c r="L274" t="s">
        <v>53</v>
      </c>
      <c r="M274">
        <v>42432</v>
      </c>
      <c r="N274">
        <v>0.18</v>
      </c>
      <c r="O274">
        <v>19589</v>
      </c>
      <c r="P274">
        <v>22</v>
      </c>
      <c r="Q274" t="s">
        <v>57</v>
      </c>
      <c r="R274" t="s">
        <v>62</v>
      </c>
    </row>
    <row r="275" spans="1:18">
      <c r="A275">
        <v>10274</v>
      </c>
      <c r="B275" s="2">
        <v>44470</v>
      </c>
      <c r="C275" s="2">
        <v>44472</v>
      </c>
      <c r="D275" s="2">
        <v>44476</v>
      </c>
      <c r="E275" t="s">
        <v>20</v>
      </c>
      <c r="F275" t="s">
        <v>22</v>
      </c>
      <c r="G275" t="s">
        <v>28</v>
      </c>
      <c r="H275" t="s">
        <v>33</v>
      </c>
      <c r="I275" t="s">
        <v>34</v>
      </c>
      <c r="J275" t="s">
        <v>43</v>
      </c>
      <c r="K275" t="s">
        <v>46</v>
      </c>
      <c r="L275" t="s">
        <v>53</v>
      </c>
      <c r="M275">
        <v>31476</v>
      </c>
      <c r="N275">
        <v>0.02</v>
      </c>
      <c r="O275">
        <v>15844</v>
      </c>
      <c r="P275">
        <v>24</v>
      </c>
      <c r="Q275" t="s">
        <v>58</v>
      </c>
      <c r="R275" t="s">
        <v>61</v>
      </c>
    </row>
    <row r="276" spans="1:18">
      <c r="A276">
        <v>10275</v>
      </c>
      <c r="B276" s="2">
        <v>44471</v>
      </c>
      <c r="C276" s="2">
        <v>44473</v>
      </c>
      <c r="D276" s="2">
        <v>44477</v>
      </c>
      <c r="E276" t="s">
        <v>21</v>
      </c>
      <c r="F276" t="s">
        <v>22</v>
      </c>
      <c r="G276" t="s">
        <v>28</v>
      </c>
      <c r="H276" t="s">
        <v>33</v>
      </c>
      <c r="I276" t="s">
        <v>34</v>
      </c>
      <c r="J276" t="s">
        <v>37</v>
      </c>
      <c r="K276" t="s">
        <v>45</v>
      </c>
      <c r="L276" t="s">
        <v>51</v>
      </c>
      <c r="M276">
        <v>18783</v>
      </c>
      <c r="N276">
        <v>0.3</v>
      </c>
      <c r="O276">
        <v>16296</v>
      </c>
      <c r="P276">
        <v>5</v>
      </c>
      <c r="Q276" t="s">
        <v>57</v>
      </c>
      <c r="R276" t="s">
        <v>60</v>
      </c>
    </row>
    <row r="277" spans="1:18">
      <c r="A277">
        <v>10276</v>
      </c>
      <c r="B277" s="2">
        <v>44472</v>
      </c>
      <c r="C277" s="2">
        <v>44474</v>
      </c>
      <c r="D277" s="2">
        <v>44478</v>
      </c>
      <c r="E277" t="s">
        <v>21</v>
      </c>
      <c r="F277" t="s">
        <v>22</v>
      </c>
      <c r="G277" t="s">
        <v>26</v>
      </c>
      <c r="H277" t="s">
        <v>25</v>
      </c>
      <c r="I277" t="s">
        <v>35</v>
      </c>
      <c r="J277" t="s">
        <v>37</v>
      </c>
      <c r="K277" t="s">
        <v>47</v>
      </c>
      <c r="L277" t="s">
        <v>52</v>
      </c>
      <c r="M277">
        <v>65912</v>
      </c>
      <c r="N277">
        <v>0.39</v>
      </c>
      <c r="O277">
        <v>5992</v>
      </c>
      <c r="P277">
        <v>17</v>
      </c>
      <c r="Q277" t="s">
        <v>57</v>
      </c>
      <c r="R277" t="s">
        <v>62</v>
      </c>
    </row>
    <row r="278" spans="1:18">
      <c r="A278">
        <v>10277</v>
      </c>
      <c r="B278" s="2">
        <v>44473</v>
      </c>
      <c r="C278" s="2">
        <v>44475</v>
      </c>
      <c r="D278" s="2">
        <v>44479</v>
      </c>
      <c r="E278" t="s">
        <v>21</v>
      </c>
      <c r="F278" t="s">
        <v>22</v>
      </c>
      <c r="G278" t="s">
        <v>27</v>
      </c>
      <c r="H278" t="s">
        <v>29</v>
      </c>
      <c r="I278" t="s">
        <v>36</v>
      </c>
      <c r="J278" t="s">
        <v>43</v>
      </c>
      <c r="K278" t="s">
        <v>44</v>
      </c>
      <c r="L278" t="s">
        <v>53</v>
      </c>
      <c r="M278">
        <v>15638</v>
      </c>
      <c r="N278">
        <v>0.1</v>
      </c>
      <c r="O278">
        <v>18828</v>
      </c>
      <c r="P278">
        <v>14</v>
      </c>
      <c r="Q278" t="s">
        <v>55</v>
      </c>
      <c r="R278" t="s">
        <v>62</v>
      </c>
    </row>
    <row r="279" spans="1:18">
      <c r="A279">
        <v>10278</v>
      </c>
      <c r="B279" s="2">
        <v>44474</v>
      </c>
      <c r="C279" s="2">
        <v>44476</v>
      </c>
      <c r="D279" s="2">
        <v>44480</v>
      </c>
      <c r="E279" t="s">
        <v>19</v>
      </c>
      <c r="F279" t="s">
        <v>22</v>
      </c>
      <c r="G279" t="s">
        <v>26</v>
      </c>
      <c r="H279" t="s">
        <v>29</v>
      </c>
      <c r="I279" t="s">
        <v>35</v>
      </c>
      <c r="J279" t="s">
        <v>37</v>
      </c>
      <c r="K279" t="s">
        <v>44</v>
      </c>
      <c r="L279" t="s">
        <v>53</v>
      </c>
      <c r="M279">
        <v>65769</v>
      </c>
      <c r="N279">
        <v>0</v>
      </c>
      <c r="O279">
        <v>1604</v>
      </c>
      <c r="P279">
        <v>20</v>
      </c>
      <c r="Q279" t="s">
        <v>58</v>
      </c>
      <c r="R279" t="s">
        <v>60</v>
      </c>
    </row>
    <row r="280" spans="1:18">
      <c r="A280">
        <v>10279</v>
      </c>
      <c r="B280" s="2">
        <v>44475</v>
      </c>
      <c r="C280" s="2">
        <v>44477</v>
      </c>
      <c r="D280" s="2">
        <v>44481</v>
      </c>
      <c r="E280" t="s">
        <v>21</v>
      </c>
      <c r="F280" t="s">
        <v>22</v>
      </c>
      <c r="G280" t="s">
        <v>24</v>
      </c>
      <c r="H280" t="s">
        <v>29</v>
      </c>
      <c r="I280" t="s">
        <v>35</v>
      </c>
      <c r="J280" t="s">
        <v>38</v>
      </c>
      <c r="K280" t="s">
        <v>50</v>
      </c>
      <c r="L280" t="s">
        <v>52</v>
      </c>
      <c r="M280">
        <v>45333</v>
      </c>
      <c r="N280">
        <v>0.2</v>
      </c>
      <c r="O280">
        <v>4440</v>
      </c>
      <c r="P280">
        <v>10</v>
      </c>
      <c r="Q280" t="s">
        <v>54</v>
      </c>
      <c r="R280" t="s">
        <v>62</v>
      </c>
    </row>
    <row r="281" spans="1:18">
      <c r="A281">
        <v>10280</v>
      </c>
      <c r="B281" s="2">
        <v>44476</v>
      </c>
      <c r="C281" s="2">
        <v>44478</v>
      </c>
      <c r="D281" s="2">
        <v>44482</v>
      </c>
      <c r="E281" t="s">
        <v>18</v>
      </c>
      <c r="F281" t="s">
        <v>22</v>
      </c>
      <c r="G281" t="s">
        <v>24</v>
      </c>
      <c r="H281" t="s">
        <v>31</v>
      </c>
      <c r="I281" t="s">
        <v>35</v>
      </c>
      <c r="J281" t="s">
        <v>40</v>
      </c>
      <c r="K281" t="s">
        <v>44</v>
      </c>
      <c r="L281" t="s">
        <v>52</v>
      </c>
      <c r="M281">
        <v>41425</v>
      </c>
      <c r="N281">
        <v>0.34</v>
      </c>
      <c r="O281">
        <v>2992</v>
      </c>
      <c r="P281">
        <v>21</v>
      </c>
      <c r="Q281" t="s">
        <v>57</v>
      </c>
      <c r="R281" t="s">
        <v>62</v>
      </c>
    </row>
    <row r="282" spans="1:18">
      <c r="A282">
        <v>10281</v>
      </c>
      <c r="B282" s="2">
        <v>44477</v>
      </c>
      <c r="C282" s="2">
        <v>44479</v>
      </c>
      <c r="D282" s="2">
        <v>44483</v>
      </c>
      <c r="E282" t="s">
        <v>19</v>
      </c>
      <c r="F282" t="s">
        <v>22</v>
      </c>
      <c r="G282" t="s">
        <v>28</v>
      </c>
      <c r="H282" t="s">
        <v>25</v>
      </c>
      <c r="I282" t="s">
        <v>36</v>
      </c>
      <c r="J282" t="s">
        <v>37</v>
      </c>
      <c r="K282" t="s">
        <v>50</v>
      </c>
      <c r="L282" t="s">
        <v>51</v>
      </c>
      <c r="M282">
        <v>18291</v>
      </c>
      <c r="N282">
        <v>0.38</v>
      </c>
      <c r="O282">
        <v>2957</v>
      </c>
      <c r="P282">
        <v>6</v>
      </c>
      <c r="Q282" t="s">
        <v>55</v>
      </c>
      <c r="R282" t="s">
        <v>60</v>
      </c>
    </row>
    <row r="283" spans="1:18">
      <c r="A283">
        <v>10282</v>
      </c>
      <c r="B283" s="2">
        <v>44478</v>
      </c>
      <c r="C283" s="2">
        <v>44480</v>
      </c>
      <c r="D283" s="2">
        <v>44484</v>
      </c>
      <c r="E283" t="s">
        <v>19</v>
      </c>
      <c r="F283" t="s">
        <v>22</v>
      </c>
      <c r="G283" t="s">
        <v>26</v>
      </c>
      <c r="H283" t="s">
        <v>32</v>
      </c>
      <c r="I283" t="s">
        <v>35</v>
      </c>
      <c r="J283" t="s">
        <v>40</v>
      </c>
      <c r="K283" t="s">
        <v>45</v>
      </c>
      <c r="L283" t="s">
        <v>52</v>
      </c>
      <c r="M283">
        <v>66031</v>
      </c>
      <c r="N283">
        <v>0.26</v>
      </c>
      <c r="O283">
        <v>-1861</v>
      </c>
      <c r="P283">
        <v>24</v>
      </c>
      <c r="Q283" t="s">
        <v>57</v>
      </c>
      <c r="R283" t="s">
        <v>62</v>
      </c>
    </row>
    <row r="284" spans="1:18">
      <c r="A284">
        <v>10283</v>
      </c>
      <c r="B284" s="2">
        <v>44479</v>
      </c>
      <c r="C284" s="2">
        <v>44481</v>
      </c>
      <c r="D284" s="2">
        <v>44485</v>
      </c>
      <c r="E284" t="s">
        <v>18</v>
      </c>
      <c r="F284" t="s">
        <v>22</v>
      </c>
      <c r="G284" t="s">
        <v>24</v>
      </c>
      <c r="H284" t="s">
        <v>30</v>
      </c>
      <c r="I284" t="s">
        <v>34</v>
      </c>
      <c r="J284" t="s">
        <v>42</v>
      </c>
      <c r="K284" t="s">
        <v>47</v>
      </c>
      <c r="L284" t="s">
        <v>53</v>
      </c>
      <c r="M284">
        <v>45090</v>
      </c>
      <c r="N284">
        <v>0.06</v>
      </c>
      <c r="O284">
        <v>10082</v>
      </c>
      <c r="P284">
        <v>24</v>
      </c>
      <c r="Q284" t="s">
        <v>55</v>
      </c>
      <c r="R284" t="s">
        <v>60</v>
      </c>
    </row>
    <row r="285" spans="1:18">
      <c r="A285">
        <v>10284</v>
      </c>
      <c r="B285" s="2">
        <v>44480</v>
      </c>
      <c r="C285" s="2">
        <v>44482</v>
      </c>
      <c r="D285" s="2">
        <v>44486</v>
      </c>
      <c r="E285" t="s">
        <v>20</v>
      </c>
      <c r="F285" t="s">
        <v>22</v>
      </c>
      <c r="G285" t="s">
        <v>25</v>
      </c>
      <c r="H285" t="s">
        <v>31</v>
      </c>
      <c r="I285" t="s">
        <v>36</v>
      </c>
      <c r="J285" t="s">
        <v>43</v>
      </c>
      <c r="K285" t="s">
        <v>49</v>
      </c>
      <c r="L285" t="s">
        <v>51</v>
      </c>
      <c r="M285">
        <v>26320</v>
      </c>
      <c r="N285">
        <v>0.22</v>
      </c>
      <c r="O285">
        <v>13134</v>
      </c>
      <c r="P285">
        <v>3</v>
      </c>
      <c r="Q285" t="s">
        <v>55</v>
      </c>
      <c r="R285" t="s">
        <v>59</v>
      </c>
    </row>
    <row r="286" spans="1:18">
      <c r="A286">
        <v>10285</v>
      </c>
      <c r="B286" s="2">
        <v>44481</v>
      </c>
      <c r="C286" s="2">
        <v>44483</v>
      </c>
      <c r="D286" s="2">
        <v>44487</v>
      </c>
      <c r="E286" t="s">
        <v>19</v>
      </c>
      <c r="F286" t="s">
        <v>22</v>
      </c>
      <c r="G286" t="s">
        <v>28</v>
      </c>
      <c r="H286" t="s">
        <v>33</v>
      </c>
      <c r="I286" t="s">
        <v>35</v>
      </c>
      <c r="J286" t="s">
        <v>41</v>
      </c>
      <c r="K286" t="s">
        <v>50</v>
      </c>
      <c r="L286" t="s">
        <v>53</v>
      </c>
      <c r="M286">
        <v>64159</v>
      </c>
      <c r="N286">
        <v>0.01</v>
      </c>
      <c r="O286">
        <v>19131</v>
      </c>
      <c r="P286">
        <v>10</v>
      </c>
      <c r="Q286" t="s">
        <v>58</v>
      </c>
      <c r="R286" t="s">
        <v>59</v>
      </c>
    </row>
    <row r="287" spans="1:18">
      <c r="A287">
        <v>10286</v>
      </c>
      <c r="B287" s="2">
        <v>44482</v>
      </c>
      <c r="C287" s="2">
        <v>44484</v>
      </c>
      <c r="D287" s="2">
        <v>44488</v>
      </c>
      <c r="E287" t="s">
        <v>20</v>
      </c>
      <c r="F287" t="s">
        <v>22</v>
      </c>
      <c r="G287" t="s">
        <v>25</v>
      </c>
      <c r="H287" t="s">
        <v>25</v>
      </c>
      <c r="I287" t="s">
        <v>36</v>
      </c>
      <c r="J287" t="s">
        <v>43</v>
      </c>
      <c r="K287" t="s">
        <v>45</v>
      </c>
      <c r="L287" t="s">
        <v>53</v>
      </c>
      <c r="M287">
        <v>45446</v>
      </c>
      <c r="N287">
        <v>0.02</v>
      </c>
      <c r="O287">
        <v>16719</v>
      </c>
      <c r="P287">
        <v>15</v>
      </c>
      <c r="Q287" t="s">
        <v>55</v>
      </c>
      <c r="R287" t="s">
        <v>62</v>
      </c>
    </row>
    <row r="288" spans="1:18">
      <c r="A288">
        <v>10287</v>
      </c>
      <c r="B288" s="2">
        <v>44483</v>
      </c>
      <c r="C288" s="2">
        <v>44485</v>
      </c>
      <c r="D288" s="2">
        <v>44489</v>
      </c>
      <c r="E288" t="s">
        <v>19</v>
      </c>
      <c r="F288" t="s">
        <v>22</v>
      </c>
      <c r="G288" t="s">
        <v>27</v>
      </c>
      <c r="H288" t="s">
        <v>33</v>
      </c>
      <c r="I288" t="s">
        <v>34</v>
      </c>
      <c r="J288" t="s">
        <v>40</v>
      </c>
      <c r="K288" t="s">
        <v>50</v>
      </c>
      <c r="L288" t="s">
        <v>53</v>
      </c>
      <c r="M288">
        <v>43334</v>
      </c>
      <c r="N288">
        <v>0.11</v>
      </c>
      <c r="O288">
        <v>5971</v>
      </c>
      <c r="P288">
        <v>20</v>
      </c>
      <c r="Q288" t="s">
        <v>56</v>
      </c>
      <c r="R288" t="s">
        <v>62</v>
      </c>
    </row>
    <row r="289" spans="1:18">
      <c r="A289">
        <v>10288</v>
      </c>
      <c r="B289" s="2">
        <v>44484</v>
      </c>
      <c r="C289" s="2">
        <v>44486</v>
      </c>
      <c r="D289" s="2">
        <v>44490</v>
      </c>
      <c r="E289" t="s">
        <v>21</v>
      </c>
      <c r="F289" t="s">
        <v>22</v>
      </c>
      <c r="G289" t="s">
        <v>24</v>
      </c>
      <c r="H289" t="s">
        <v>33</v>
      </c>
      <c r="I289" t="s">
        <v>35</v>
      </c>
      <c r="J289" t="s">
        <v>41</v>
      </c>
      <c r="K289" t="s">
        <v>49</v>
      </c>
      <c r="L289" t="s">
        <v>51</v>
      </c>
      <c r="M289">
        <v>56357</v>
      </c>
      <c r="N289">
        <v>0.21</v>
      </c>
      <c r="O289">
        <v>7613</v>
      </c>
      <c r="P289">
        <v>2</v>
      </c>
      <c r="Q289" t="s">
        <v>57</v>
      </c>
      <c r="R289" t="s">
        <v>60</v>
      </c>
    </row>
    <row r="290" spans="1:18">
      <c r="A290">
        <v>10289</v>
      </c>
      <c r="B290" s="2">
        <v>44485</v>
      </c>
      <c r="C290" s="2">
        <v>44487</v>
      </c>
      <c r="D290" s="2">
        <v>44491</v>
      </c>
      <c r="E290" t="s">
        <v>18</v>
      </c>
      <c r="F290" t="s">
        <v>22</v>
      </c>
      <c r="G290" t="s">
        <v>26</v>
      </c>
      <c r="H290" t="s">
        <v>33</v>
      </c>
      <c r="I290" t="s">
        <v>35</v>
      </c>
      <c r="J290" t="s">
        <v>38</v>
      </c>
      <c r="K290" t="s">
        <v>50</v>
      </c>
      <c r="L290" t="s">
        <v>51</v>
      </c>
      <c r="M290">
        <v>19190</v>
      </c>
      <c r="N290">
        <v>0.02</v>
      </c>
      <c r="O290">
        <v>10718</v>
      </c>
      <c r="P290">
        <v>18</v>
      </c>
      <c r="Q290" t="s">
        <v>56</v>
      </c>
      <c r="R290" t="s">
        <v>62</v>
      </c>
    </row>
    <row r="291" spans="1:18">
      <c r="A291">
        <v>10290</v>
      </c>
      <c r="B291" s="2">
        <v>44486</v>
      </c>
      <c r="C291" s="2">
        <v>44488</v>
      </c>
      <c r="D291" s="2">
        <v>44492</v>
      </c>
      <c r="E291" t="s">
        <v>21</v>
      </c>
      <c r="F291" t="s">
        <v>22</v>
      </c>
      <c r="G291" t="s">
        <v>28</v>
      </c>
      <c r="H291" t="s">
        <v>31</v>
      </c>
      <c r="I291" t="s">
        <v>35</v>
      </c>
      <c r="J291" t="s">
        <v>42</v>
      </c>
      <c r="K291" t="s">
        <v>48</v>
      </c>
      <c r="L291" t="s">
        <v>53</v>
      </c>
      <c r="M291">
        <v>6877</v>
      </c>
      <c r="N291">
        <v>0.4</v>
      </c>
      <c r="O291">
        <v>-1493</v>
      </c>
      <c r="P291">
        <v>3</v>
      </c>
      <c r="Q291" t="s">
        <v>54</v>
      </c>
      <c r="R291" t="s">
        <v>60</v>
      </c>
    </row>
    <row r="292" spans="1:18">
      <c r="A292">
        <v>10291</v>
      </c>
      <c r="B292" s="2">
        <v>44487</v>
      </c>
      <c r="C292" s="2">
        <v>44489</v>
      </c>
      <c r="D292" s="2">
        <v>44493</v>
      </c>
      <c r="E292" t="s">
        <v>21</v>
      </c>
      <c r="F292" t="s">
        <v>22</v>
      </c>
      <c r="G292" t="s">
        <v>24</v>
      </c>
      <c r="H292" t="s">
        <v>31</v>
      </c>
      <c r="I292" t="s">
        <v>34</v>
      </c>
      <c r="J292" t="s">
        <v>40</v>
      </c>
      <c r="K292" t="s">
        <v>45</v>
      </c>
      <c r="L292" t="s">
        <v>51</v>
      </c>
      <c r="M292">
        <v>67015</v>
      </c>
      <c r="N292">
        <v>0.24</v>
      </c>
      <c r="O292">
        <v>12739</v>
      </c>
      <c r="P292">
        <v>13</v>
      </c>
      <c r="Q292" t="s">
        <v>57</v>
      </c>
      <c r="R292" t="s">
        <v>62</v>
      </c>
    </row>
    <row r="293" spans="1:18">
      <c r="A293">
        <v>10292</v>
      </c>
      <c r="B293" s="2">
        <v>44488</v>
      </c>
      <c r="C293" s="2">
        <v>44490</v>
      </c>
      <c r="D293" s="2">
        <v>44494</v>
      </c>
      <c r="E293" t="s">
        <v>19</v>
      </c>
      <c r="F293" t="s">
        <v>22</v>
      </c>
      <c r="G293" t="s">
        <v>25</v>
      </c>
      <c r="H293" t="s">
        <v>29</v>
      </c>
      <c r="I293" t="s">
        <v>34</v>
      </c>
      <c r="J293" t="s">
        <v>39</v>
      </c>
      <c r="K293" t="s">
        <v>45</v>
      </c>
      <c r="L293" t="s">
        <v>53</v>
      </c>
      <c r="M293">
        <v>24906</v>
      </c>
      <c r="N293">
        <v>7.0000000000000007E-2</v>
      </c>
      <c r="O293">
        <v>299</v>
      </c>
      <c r="P293">
        <v>22</v>
      </c>
      <c r="Q293" t="s">
        <v>54</v>
      </c>
      <c r="R293" t="s">
        <v>62</v>
      </c>
    </row>
    <row r="294" spans="1:18">
      <c r="A294">
        <v>10293</v>
      </c>
      <c r="B294" s="2">
        <v>44489</v>
      </c>
      <c r="C294" s="2">
        <v>44491</v>
      </c>
      <c r="D294" s="2">
        <v>44495</v>
      </c>
      <c r="E294" t="s">
        <v>18</v>
      </c>
      <c r="F294" t="s">
        <v>22</v>
      </c>
      <c r="G294" t="s">
        <v>25</v>
      </c>
      <c r="H294" t="s">
        <v>25</v>
      </c>
      <c r="I294" t="s">
        <v>36</v>
      </c>
      <c r="J294" t="s">
        <v>43</v>
      </c>
      <c r="K294" t="s">
        <v>48</v>
      </c>
      <c r="L294" t="s">
        <v>52</v>
      </c>
      <c r="M294">
        <v>34553</v>
      </c>
      <c r="N294">
        <v>0.03</v>
      </c>
      <c r="O294">
        <v>11255</v>
      </c>
      <c r="P294">
        <v>9</v>
      </c>
      <c r="Q294" t="s">
        <v>58</v>
      </c>
      <c r="R294" t="s">
        <v>60</v>
      </c>
    </row>
    <row r="295" spans="1:18">
      <c r="A295">
        <v>10294</v>
      </c>
      <c r="B295" s="2">
        <v>44490</v>
      </c>
      <c r="C295" s="2">
        <v>44492</v>
      </c>
      <c r="D295" s="2">
        <v>44496</v>
      </c>
      <c r="E295" t="s">
        <v>20</v>
      </c>
      <c r="F295" t="s">
        <v>22</v>
      </c>
      <c r="G295" t="s">
        <v>26</v>
      </c>
      <c r="H295" t="s">
        <v>30</v>
      </c>
      <c r="I295" t="s">
        <v>35</v>
      </c>
      <c r="J295" t="s">
        <v>42</v>
      </c>
      <c r="K295" t="s">
        <v>46</v>
      </c>
      <c r="L295" t="s">
        <v>52</v>
      </c>
      <c r="M295">
        <v>45624</v>
      </c>
      <c r="N295">
        <v>0.14000000000000001</v>
      </c>
      <c r="O295">
        <v>14990</v>
      </c>
      <c r="P295">
        <v>12</v>
      </c>
      <c r="Q295" t="s">
        <v>58</v>
      </c>
      <c r="R295" t="s">
        <v>60</v>
      </c>
    </row>
    <row r="296" spans="1:18">
      <c r="A296">
        <v>10295</v>
      </c>
      <c r="B296" s="2">
        <v>44491</v>
      </c>
      <c r="C296" s="2">
        <v>44493</v>
      </c>
      <c r="D296" s="2">
        <v>44497</v>
      </c>
      <c r="E296" t="s">
        <v>18</v>
      </c>
      <c r="F296" t="s">
        <v>22</v>
      </c>
      <c r="G296" t="s">
        <v>23</v>
      </c>
      <c r="H296" t="s">
        <v>32</v>
      </c>
      <c r="I296" t="s">
        <v>36</v>
      </c>
      <c r="J296" t="s">
        <v>37</v>
      </c>
      <c r="K296" t="s">
        <v>45</v>
      </c>
      <c r="L296" t="s">
        <v>52</v>
      </c>
      <c r="M296">
        <v>23529</v>
      </c>
      <c r="N296">
        <v>0.31</v>
      </c>
      <c r="O296">
        <v>-61</v>
      </c>
      <c r="P296">
        <v>4</v>
      </c>
      <c r="Q296" t="s">
        <v>58</v>
      </c>
      <c r="R296" t="s">
        <v>59</v>
      </c>
    </row>
    <row r="297" spans="1:18">
      <c r="A297">
        <v>10296</v>
      </c>
      <c r="B297" s="2">
        <v>44492</v>
      </c>
      <c r="C297" s="2">
        <v>44494</v>
      </c>
      <c r="D297" s="2">
        <v>44498</v>
      </c>
      <c r="E297" t="s">
        <v>19</v>
      </c>
      <c r="F297" t="s">
        <v>22</v>
      </c>
      <c r="G297" t="s">
        <v>25</v>
      </c>
      <c r="H297" t="s">
        <v>25</v>
      </c>
      <c r="I297" t="s">
        <v>34</v>
      </c>
      <c r="J297" t="s">
        <v>41</v>
      </c>
      <c r="K297" t="s">
        <v>46</v>
      </c>
      <c r="L297" t="s">
        <v>53</v>
      </c>
      <c r="M297">
        <v>41782</v>
      </c>
      <c r="N297">
        <v>0.27</v>
      </c>
      <c r="O297">
        <v>19575</v>
      </c>
      <c r="P297">
        <v>21</v>
      </c>
      <c r="Q297" t="s">
        <v>55</v>
      </c>
      <c r="R297" t="s">
        <v>62</v>
      </c>
    </row>
    <row r="298" spans="1:18">
      <c r="A298">
        <v>10297</v>
      </c>
      <c r="B298" s="2">
        <v>44493</v>
      </c>
      <c r="C298" s="2">
        <v>44495</v>
      </c>
      <c r="D298" s="2">
        <v>44499</v>
      </c>
      <c r="E298" t="s">
        <v>21</v>
      </c>
      <c r="F298" t="s">
        <v>22</v>
      </c>
      <c r="G298" t="s">
        <v>27</v>
      </c>
      <c r="H298" t="s">
        <v>25</v>
      </c>
      <c r="I298" t="s">
        <v>35</v>
      </c>
      <c r="J298" t="s">
        <v>37</v>
      </c>
      <c r="K298" t="s">
        <v>47</v>
      </c>
      <c r="L298" t="s">
        <v>53</v>
      </c>
      <c r="M298">
        <v>13493</v>
      </c>
      <c r="N298">
        <v>0.02</v>
      </c>
      <c r="O298">
        <v>-242</v>
      </c>
      <c r="P298">
        <v>1</v>
      </c>
      <c r="Q298" t="s">
        <v>58</v>
      </c>
      <c r="R298" t="s">
        <v>62</v>
      </c>
    </row>
    <row r="299" spans="1:18">
      <c r="A299">
        <v>10298</v>
      </c>
      <c r="B299" s="2">
        <v>44494</v>
      </c>
      <c r="C299" s="2">
        <v>44496</v>
      </c>
      <c r="D299" s="2">
        <v>44500</v>
      </c>
      <c r="E299" t="s">
        <v>18</v>
      </c>
      <c r="F299" t="s">
        <v>22</v>
      </c>
      <c r="G299" t="s">
        <v>28</v>
      </c>
      <c r="H299" t="s">
        <v>29</v>
      </c>
      <c r="I299" t="s">
        <v>36</v>
      </c>
      <c r="J299" t="s">
        <v>37</v>
      </c>
      <c r="K299" t="s">
        <v>47</v>
      </c>
      <c r="L299" t="s">
        <v>52</v>
      </c>
      <c r="M299">
        <v>32287</v>
      </c>
      <c r="N299">
        <v>7.0000000000000007E-2</v>
      </c>
      <c r="O299">
        <v>5578</v>
      </c>
      <c r="P299">
        <v>9</v>
      </c>
      <c r="Q299" t="s">
        <v>54</v>
      </c>
      <c r="R299" t="s">
        <v>59</v>
      </c>
    </row>
    <row r="300" spans="1:18">
      <c r="A300">
        <v>10299</v>
      </c>
      <c r="B300" s="2">
        <v>44495</v>
      </c>
      <c r="C300" s="2">
        <v>44497</v>
      </c>
      <c r="D300" s="2">
        <v>44501</v>
      </c>
      <c r="E300" t="s">
        <v>19</v>
      </c>
      <c r="F300" t="s">
        <v>22</v>
      </c>
      <c r="G300" t="s">
        <v>23</v>
      </c>
      <c r="H300" t="s">
        <v>30</v>
      </c>
      <c r="I300" t="s">
        <v>36</v>
      </c>
      <c r="J300" t="s">
        <v>43</v>
      </c>
      <c r="K300" t="s">
        <v>46</v>
      </c>
      <c r="L300" t="s">
        <v>53</v>
      </c>
      <c r="M300">
        <v>66152</v>
      </c>
      <c r="N300">
        <v>0.39</v>
      </c>
      <c r="O300">
        <v>2087</v>
      </c>
      <c r="P300">
        <v>10</v>
      </c>
      <c r="Q300" t="s">
        <v>54</v>
      </c>
      <c r="R300" t="s">
        <v>59</v>
      </c>
    </row>
    <row r="301" spans="1:18">
      <c r="A301">
        <v>10300</v>
      </c>
      <c r="B301" s="2">
        <v>44496</v>
      </c>
      <c r="C301" s="2">
        <v>44498</v>
      </c>
      <c r="D301" s="2">
        <v>44502</v>
      </c>
      <c r="E301" t="s">
        <v>19</v>
      </c>
      <c r="F301" t="s">
        <v>22</v>
      </c>
      <c r="G301" t="s">
        <v>24</v>
      </c>
      <c r="H301" t="s">
        <v>25</v>
      </c>
      <c r="I301" t="s">
        <v>34</v>
      </c>
      <c r="J301" t="s">
        <v>42</v>
      </c>
      <c r="K301" t="s">
        <v>49</v>
      </c>
      <c r="L301" t="s">
        <v>51</v>
      </c>
      <c r="M301">
        <v>19186</v>
      </c>
      <c r="N301">
        <v>0.31</v>
      </c>
      <c r="O301">
        <v>17773</v>
      </c>
      <c r="P301">
        <v>1</v>
      </c>
      <c r="Q301" t="s">
        <v>54</v>
      </c>
      <c r="R301" t="s">
        <v>62</v>
      </c>
    </row>
    <row r="302" spans="1:18">
      <c r="A302">
        <v>10301</v>
      </c>
      <c r="B302" s="2">
        <v>44497</v>
      </c>
      <c r="C302" s="2">
        <v>44499</v>
      </c>
      <c r="D302" s="2">
        <v>44503</v>
      </c>
      <c r="E302" t="s">
        <v>19</v>
      </c>
      <c r="F302" t="s">
        <v>22</v>
      </c>
      <c r="G302" t="s">
        <v>25</v>
      </c>
      <c r="H302" t="s">
        <v>33</v>
      </c>
      <c r="I302" t="s">
        <v>34</v>
      </c>
      <c r="J302" t="s">
        <v>41</v>
      </c>
      <c r="K302" t="s">
        <v>46</v>
      </c>
      <c r="L302" t="s">
        <v>51</v>
      </c>
      <c r="M302">
        <v>50662</v>
      </c>
      <c r="N302">
        <v>0.15</v>
      </c>
      <c r="O302">
        <v>3483</v>
      </c>
      <c r="P302">
        <v>14</v>
      </c>
      <c r="Q302" t="s">
        <v>54</v>
      </c>
      <c r="R302" t="s">
        <v>59</v>
      </c>
    </row>
    <row r="303" spans="1:18">
      <c r="A303">
        <v>10302</v>
      </c>
      <c r="B303" s="2">
        <v>44498</v>
      </c>
      <c r="C303" s="2">
        <v>44500</v>
      </c>
      <c r="D303" s="2">
        <v>44504</v>
      </c>
      <c r="E303" t="s">
        <v>19</v>
      </c>
      <c r="F303" t="s">
        <v>22</v>
      </c>
      <c r="G303" t="s">
        <v>25</v>
      </c>
      <c r="H303" t="s">
        <v>32</v>
      </c>
      <c r="I303" t="s">
        <v>36</v>
      </c>
      <c r="J303" t="s">
        <v>42</v>
      </c>
      <c r="K303" t="s">
        <v>46</v>
      </c>
      <c r="L303" t="s">
        <v>53</v>
      </c>
      <c r="M303">
        <v>10356</v>
      </c>
      <c r="N303">
        <v>0.27</v>
      </c>
      <c r="O303">
        <v>7485</v>
      </c>
      <c r="P303">
        <v>16</v>
      </c>
      <c r="Q303" t="s">
        <v>55</v>
      </c>
      <c r="R303" t="s">
        <v>61</v>
      </c>
    </row>
    <row r="304" spans="1:18">
      <c r="A304">
        <v>10303</v>
      </c>
      <c r="B304" s="2">
        <v>44499</v>
      </c>
      <c r="C304" s="2">
        <v>44501</v>
      </c>
      <c r="D304" s="2">
        <v>44505</v>
      </c>
      <c r="E304" t="s">
        <v>20</v>
      </c>
      <c r="F304" t="s">
        <v>22</v>
      </c>
      <c r="G304" t="s">
        <v>27</v>
      </c>
      <c r="H304" t="s">
        <v>31</v>
      </c>
      <c r="I304" t="s">
        <v>36</v>
      </c>
      <c r="J304" t="s">
        <v>38</v>
      </c>
      <c r="K304" t="s">
        <v>50</v>
      </c>
      <c r="L304" t="s">
        <v>52</v>
      </c>
      <c r="M304">
        <v>26977</v>
      </c>
      <c r="N304">
        <v>0.21</v>
      </c>
      <c r="O304">
        <v>9877</v>
      </c>
      <c r="P304">
        <v>16</v>
      </c>
      <c r="Q304" t="s">
        <v>58</v>
      </c>
      <c r="R304" t="s">
        <v>62</v>
      </c>
    </row>
    <row r="305" spans="1:18">
      <c r="A305">
        <v>10304</v>
      </c>
      <c r="B305" s="2">
        <v>44500</v>
      </c>
      <c r="C305" s="2">
        <v>44502</v>
      </c>
      <c r="D305" s="2">
        <v>44506</v>
      </c>
      <c r="E305" t="s">
        <v>21</v>
      </c>
      <c r="F305" t="s">
        <v>22</v>
      </c>
      <c r="G305" t="s">
        <v>28</v>
      </c>
      <c r="H305" t="s">
        <v>30</v>
      </c>
      <c r="I305" t="s">
        <v>36</v>
      </c>
      <c r="J305" t="s">
        <v>39</v>
      </c>
      <c r="K305" t="s">
        <v>47</v>
      </c>
      <c r="L305" t="s">
        <v>52</v>
      </c>
      <c r="M305">
        <v>54071</v>
      </c>
      <c r="N305">
        <v>0.03</v>
      </c>
      <c r="O305">
        <v>7753</v>
      </c>
      <c r="P305">
        <v>15</v>
      </c>
      <c r="Q305" t="s">
        <v>58</v>
      </c>
      <c r="R305" t="s">
        <v>60</v>
      </c>
    </row>
    <row r="306" spans="1:18">
      <c r="A306">
        <v>10305</v>
      </c>
      <c r="B306" s="2">
        <v>44501</v>
      </c>
      <c r="C306" s="2">
        <v>44503</v>
      </c>
      <c r="D306" s="2">
        <v>44507</v>
      </c>
      <c r="E306" t="s">
        <v>19</v>
      </c>
      <c r="F306" t="s">
        <v>22</v>
      </c>
      <c r="G306" t="s">
        <v>25</v>
      </c>
      <c r="H306" t="s">
        <v>30</v>
      </c>
      <c r="I306" t="s">
        <v>34</v>
      </c>
      <c r="J306" t="s">
        <v>41</v>
      </c>
      <c r="K306" t="s">
        <v>49</v>
      </c>
      <c r="L306" t="s">
        <v>53</v>
      </c>
      <c r="M306">
        <v>48018</v>
      </c>
      <c r="N306">
        <v>0.24</v>
      </c>
      <c r="O306">
        <v>11878</v>
      </c>
      <c r="P306">
        <v>4</v>
      </c>
      <c r="Q306" t="s">
        <v>56</v>
      </c>
      <c r="R306" t="s">
        <v>62</v>
      </c>
    </row>
    <row r="307" spans="1:18">
      <c r="A307">
        <v>10306</v>
      </c>
      <c r="B307" s="2">
        <v>44502</v>
      </c>
      <c r="C307" s="2">
        <v>44504</v>
      </c>
      <c r="D307" s="2">
        <v>44508</v>
      </c>
      <c r="E307" t="s">
        <v>21</v>
      </c>
      <c r="F307" t="s">
        <v>22</v>
      </c>
      <c r="G307" t="s">
        <v>28</v>
      </c>
      <c r="H307" t="s">
        <v>29</v>
      </c>
      <c r="I307" t="s">
        <v>34</v>
      </c>
      <c r="J307" t="s">
        <v>40</v>
      </c>
      <c r="K307" t="s">
        <v>47</v>
      </c>
      <c r="L307" t="s">
        <v>53</v>
      </c>
      <c r="M307">
        <v>67876</v>
      </c>
      <c r="N307">
        <v>0.19</v>
      </c>
      <c r="O307">
        <v>19020</v>
      </c>
      <c r="P307">
        <v>15</v>
      </c>
      <c r="Q307" t="s">
        <v>57</v>
      </c>
      <c r="R307" t="s">
        <v>61</v>
      </c>
    </row>
    <row r="308" spans="1:18">
      <c r="A308">
        <v>10307</v>
      </c>
      <c r="B308" s="2">
        <v>44503</v>
      </c>
      <c r="C308" s="2">
        <v>44505</v>
      </c>
      <c r="D308" s="2">
        <v>44509</v>
      </c>
      <c r="E308" t="s">
        <v>19</v>
      </c>
      <c r="F308" t="s">
        <v>22</v>
      </c>
      <c r="G308" t="s">
        <v>28</v>
      </c>
      <c r="H308" t="s">
        <v>33</v>
      </c>
      <c r="I308" t="s">
        <v>34</v>
      </c>
      <c r="J308" t="s">
        <v>37</v>
      </c>
      <c r="K308" t="s">
        <v>45</v>
      </c>
      <c r="L308" t="s">
        <v>51</v>
      </c>
      <c r="M308">
        <v>52746</v>
      </c>
      <c r="N308">
        <v>0.25</v>
      </c>
      <c r="O308">
        <v>19520</v>
      </c>
      <c r="P308">
        <v>8</v>
      </c>
      <c r="Q308" t="s">
        <v>58</v>
      </c>
      <c r="R308" t="s">
        <v>60</v>
      </c>
    </row>
    <row r="309" spans="1:18">
      <c r="A309">
        <v>10308</v>
      </c>
      <c r="B309" s="2">
        <v>44504</v>
      </c>
      <c r="C309" s="2">
        <v>44506</v>
      </c>
      <c r="D309" s="2">
        <v>44510</v>
      </c>
      <c r="E309" t="s">
        <v>18</v>
      </c>
      <c r="F309" t="s">
        <v>22</v>
      </c>
      <c r="G309" t="s">
        <v>24</v>
      </c>
      <c r="H309" t="s">
        <v>25</v>
      </c>
      <c r="I309" t="s">
        <v>35</v>
      </c>
      <c r="J309" t="s">
        <v>43</v>
      </c>
      <c r="K309" t="s">
        <v>48</v>
      </c>
      <c r="L309" t="s">
        <v>53</v>
      </c>
      <c r="M309">
        <v>70577</v>
      </c>
      <c r="N309">
        <v>0.38</v>
      </c>
      <c r="O309">
        <v>4842</v>
      </c>
      <c r="P309">
        <v>18</v>
      </c>
      <c r="Q309" t="s">
        <v>54</v>
      </c>
      <c r="R309" t="s">
        <v>59</v>
      </c>
    </row>
    <row r="310" spans="1:18">
      <c r="A310">
        <v>10309</v>
      </c>
      <c r="B310" s="2">
        <v>44505</v>
      </c>
      <c r="C310" s="2">
        <v>44507</v>
      </c>
      <c r="D310" s="2">
        <v>44511</v>
      </c>
      <c r="E310" t="s">
        <v>18</v>
      </c>
      <c r="F310" t="s">
        <v>22</v>
      </c>
      <c r="G310" t="s">
        <v>28</v>
      </c>
      <c r="H310" t="s">
        <v>29</v>
      </c>
      <c r="I310" t="s">
        <v>35</v>
      </c>
      <c r="J310" t="s">
        <v>38</v>
      </c>
      <c r="K310" t="s">
        <v>47</v>
      </c>
      <c r="L310" t="s">
        <v>51</v>
      </c>
      <c r="M310">
        <v>59839</v>
      </c>
      <c r="N310">
        <v>0.01</v>
      </c>
      <c r="O310">
        <v>-249</v>
      </c>
      <c r="P310">
        <v>18</v>
      </c>
      <c r="Q310" t="s">
        <v>54</v>
      </c>
      <c r="R310" t="s">
        <v>62</v>
      </c>
    </row>
    <row r="311" spans="1:18">
      <c r="A311">
        <v>10310</v>
      </c>
      <c r="B311" s="2">
        <v>44506</v>
      </c>
      <c r="C311" s="2">
        <v>44508</v>
      </c>
      <c r="D311" s="2">
        <v>44512</v>
      </c>
      <c r="E311" t="s">
        <v>20</v>
      </c>
      <c r="F311" t="s">
        <v>22</v>
      </c>
      <c r="G311" t="s">
        <v>26</v>
      </c>
      <c r="H311" t="s">
        <v>25</v>
      </c>
      <c r="I311" t="s">
        <v>35</v>
      </c>
      <c r="J311" t="s">
        <v>42</v>
      </c>
      <c r="K311" t="s">
        <v>49</v>
      </c>
      <c r="L311" t="s">
        <v>52</v>
      </c>
      <c r="M311">
        <v>44795</v>
      </c>
      <c r="N311">
        <v>0.08</v>
      </c>
      <c r="O311">
        <v>8909</v>
      </c>
      <c r="P311">
        <v>18</v>
      </c>
      <c r="Q311" t="s">
        <v>55</v>
      </c>
      <c r="R311" t="s">
        <v>62</v>
      </c>
    </row>
    <row r="312" spans="1:18">
      <c r="A312">
        <v>10311</v>
      </c>
      <c r="B312" s="2">
        <v>44507</v>
      </c>
      <c r="C312" s="2">
        <v>44509</v>
      </c>
      <c r="D312" s="2">
        <v>44513</v>
      </c>
      <c r="E312" t="s">
        <v>20</v>
      </c>
      <c r="F312" t="s">
        <v>22</v>
      </c>
      <c r="G312" t="s">
        <v>26</v>
      </c>
      <c r="H312" t="s">
        <v>30</v>
      </c>
      <c r="I312" t="s">
        <v>34</v>
      </c>
      <c r="J312" t="s">
        <v>40</v>
      </c>
      <c r="K312" t="s">
        <v>50</v>
      </c>
      <c r="L312" t="s">
        <v>51</v>
      </c>
      <c r="M312">
        <v>59085</v>
      </c>
      <c r="N312">
        <v>7.0000000000000007E-2</v>
      </c>
      <c r="O312">
        <v>11837</v>
      </c>
      <c r="P312">
        <v>3</v>
      </c>
      <c r="Q312" t="s">
        <v>56</v>
      </c>
      <c r="R312" t="s">
        <v>60</v>
      </c>
    </row>
    <row r="313" spans="1:18">
      <c r="A313">
        <v>10312</v>
      </c>
      <c r="B313" s="2">
        <v>44508</v>
      </c>
      <c r="C313" s="2">
        <v>44510</v>
      </c>
      <c r="D313" s="2">
        <v>44514</v>
      </c>
      <c r="E313" t="s">
        <v>19</v>
      </c>
      <c r="F313" t="s">
        <v>22</v>
      </c>
      <c r="G313" t="s">
        <v>23</v>
      </c>
      <c r="H313" t="s">
        <v>30</v>
      </c>
      <c r="I313" t="s">
        <v>36</v>
      </c>
      <c r="J313" t="s">
        <v>41</v>
      </c>
      <c r="K313" t="s">
        <v>50</v>
      </c>
      <c r="L313" t="s">
        <v>52</v>
      </c>
      <c r="M313">
        <v>10295</v>
      </c>
      <c r="N313">
        <v>0.38</v>
      </c>
      <c r="O313">
        <v>16420</v>
      </c>
      <c r="P313">
        <v>2</v>
      </c>
      <c r="Q313" t="s">
        <v>57</v>
      </c>
      <c r="R313" t="s">
        <v>59</v>
      </c>
    </row>
    <row r="314" spans="1:18">
      <c r="A314">
        <v>10313</v>
      </c>
      <c r="B314" s="2">
        <v>44509</v>
      </c>
      <c r="C314" s="2">
        <v>44511</v>
      </c>
      <c r="D314" s="2">
        <v>44515</v>
      </c>
      <c r="E314" t="s">
        <v>20</v>
      </c>
      <c r="F314" t="s">
        <v>22</v>
      </c>
      <c r="G314" t="s">
        <v>23</v>
      </c>
      <c r="H314" t="s">
        <v>30</v>
      </c>
      <c r="I314" t="s">
        <v>35</v>
      </c>
      <c r="J314" t="s">
        <v>38</v>
      </c>
      <c r="K314" t="s">
        <v>48</v>
      </c>
      <c r="L314" t="s">
        <v>52</v>
      </c>
      <c r="M314">
        <v>12656</v>
      </c>
      <c r="N314">
        <v>0.35</v>
      </c>
      <c r="O314">
        <v>2220</v>
      </c>
      <c r="P314">
        <v>10</v>
      </c>
      <c r="Q314" t="s">
        <v>54</v>
      </c>
      <c r="R314" t="s">
        <v>59</v>
      </c>
    </row>
    <row r="315" spans="1:18">
      <c r="A315">
        <v>10314</v>
      </c>
      <c r="B315" s="2">
        <v>44510</v>
      </c>
      <c r="C315" s="2">
        <v>44512</v>
      </c>
      <c r="D315" s="2">
        <v>44516</v>
      </c>
      <c r="E315" t="s">
        <v>18</v>
      </c>
      <c r="F315" t="s">
        <v>22</v>
      </c>
      <c r="G315" t="s">
        <v>27</v>
      </c>
      <c r="H315" t="s">
        <v>31</v>
      </c>
      <c r="I315" t="s">
        <v>34</v>
      </c>
      <c r="J315" t="s">
        <v>40</v>
      </c>
      <c r="K315" t="s">
        <v>46</v>
      </c>
      <c r="L315" t="s">
        <v>52</v>
      </c>
      <c r="M315">
        <v>48556</v>
      </c>
      <c r="N315">
        <v>0.25</v>
      </c>
      <c r="O315">
        <v>10624</v>
      </c>
      <c r="P315">
        <v>24</v>
      </c>
      <c r="Q315" t="s">
        <v>55</v>
      </c>
      <c r="R315" t="s">
        <v>60</v>
      </c>
    </row>
    <row r="316" spans="1:18">
      <c r="A316">
        <v>10315</v>
      </c>
      <c r="B316" s="2">
        <v>44511</v>
      </c>
      <c r="C316" s="2">
        <v>44513</v>
      </c>
      <c r="D316" s="2">
        <v>44517</v>
      </c>
      <c r="E316" t="s">
        <v>21</v>
      </c>
      <c r="F316" t="s">
        <v>22</v>
      </c>
      <c r="G316" t="s">
        <v>25</v>
      </c>
      <c r="H316" t="s">
        <v>30</v>
      </c>
      <c r="I316" t="s">
        <v>36</v>
      </c>
      <c r="J316" t="s">
        <v>41</v>
      </c>
      <c r="K316" t="s">
        <v>50</v>
      </c>
      <c r="L316" t="s">
        <v>52</v>
      </c>
      <c r="M316">
        <v>16147</v>
      </c>
      <c r="N316">
        <v>0.26</v>
      </c>
      <c r="O316">
        <v>9386</v>
      </c>
      <c r="P316">
        <v>11</v>
      </c>
      <c r="Q316" t="s">
        <v>58</v>
      </c>
      <c r="R316" t="s">
        <v>59</v>
      </c>
    </row>
    <row r="317" spans="1:18">
      <c r="A317">
        <v>10316</v>
      </c>
      <c r="B317" s="2">
        <v>44512</v>
      </c>
      <c r="C317" s="2">
        <v>44514</v>
      </c>
      <c r="D317" s="2">
        <v>44518</v>
      </c>
      <c r="E317" t="s">
        <v>19</v>
      </c>
      <c r="F317" t="s">
        <v>22</v>
      </c>
      <c r="G317" t="s">
        <v>26</v>
      </c>
      <c r="H317" t="s">
        <v>29</v>
      </c>
      <c r="I317" t="s">
        <v>34</v>
      </c>
      <c r="J317" t="s">
        <v>43</v>
      </c>
      <c r="K317" t="s">
        <v>44</v>
      </c>
      <c r="L317" t="s">
        <v>51</v>
      </c>
      <c r="M317">
        <v>6554</v>
      </c>
      <c r="N317">
        <v>0.12</v>
      </c>
      <c r="O317">
        <v>13570</v>
      </c>
      <c r="P317">
        <v>22</v>
      </c>
      <c r="Q317" t="s">
        <v>58</v>
      </c>
      <c r="R317" t="s">
        <v>61</v>
      </c>
    </row>
    <row r="318" spans="1:18">
      <c r="A318">
        <v>10317</v>
      </c>
      <c r="B318" s="2">
        <v>44513</v>
      </c>
      <c r="C318" s="2">
        <v>44515</v>
      </c>
      <c r="D318" s="2">
        <v>44519</v>
      </c>
      <c r="E318" t="s">
        <v>19</v>
      </c>
      <c r="F318" t="s">
        <v>22</v>
      </c>
      <c r="G318" t="s">
        <v>26</v>
      </c>
      <c r="H318" t="s">
        <v>29</v>
      </c>
      <c r="I318" t="s">
        <v>34</v>
      </c>
      <c r="J318" t="s">
        <v>41</v>
      </c>
      <c r="K318" t="s">
        <v>50</v>
      </c>
      <c r="L318" t="s">
        <v>51</v>
      </c>
      <c r="M318">
        <v>32206</v>
      </c>
      <c r="N318">
        <v>0.28000000000000003</v>
      </c>
      <c r="O318">
        <v>15497</v>
      </c>
      <c r="P318">
        <v>10</v>
      </c>
      <c r="Q318" t="s">
        <v>56</v>
      </c>
      <c r="R318" t="s">
        <v>62</v>
      </c>
    </row>
    <row r="319" spans="1:18">
      <c r="A319">
        <v>10318</v>
      </c>
      <c r="B319" s="2">
        <v>44514</v>
      </c>
      <c r="C319" s="2">
        <v>44516</v>
      </c>
      <c r="D319" s="2">
        <v>44520</v>
      </c>
      <c r="E319" t="s">
        <v>19</v>
      </c>
      <c r="F319" t="s">
        <v>22</v>
      </c>
      <c r="G319" t="s">
        <v>23</v>
      </c>
      <c r="H319" t="s">
        <v>33</v>
      </c>
      <c r="I319" t="s">
        <v>36</v>
      </c>
      <c r="J319" t="s">
        <v>37</v>
      </c>
      <c r="K319" t="s">
        <v>46</v>
      </c>
      <c r="L319" t="s">
        <v>53</v>
      </c>
      <c r="M319">
        <v>30533</v>
      </c>
      <c r="N319">
        <v>0.31</v>
      </c>
      <c r="O319">
        <v>13122</v>
      </c>
      <c r="P319">
        <v>18</v>
      </c>
      <c r="Q319" t="s">
        <v>54</v>
      </c>
      <c r="R319" t="s">
        <v>60</v>
      </c>
    </row>
    <row r="320" spans="1:18">
      <c r="A320">
        <v>10319</v>
      </c>
      <c r="B320" s="2">
        <v>44515</v>
      </c>
      <c r="C320" s="2">
        <v>44517</v>
      </c>
      <c r="D320" s="2">
        <v>44521</v>
      </c>
      <c r="E320" t="s">
        <v>20</v>
      </c>
      <c r="F320" t="s">
        <v>22</v>
      </c>
      <c r="G320" t="s">
        <v>25</v>
      </c>
      <c r="H320" t="s">
        <v>33</v>
      </c>
      <c r="I320" t="s">
        <v>35</v>
      </c>
      <c r="J320" t="s">
        <v>42</v>
      </c>
      <c r="K320" t="s">
        <v>49</v>
      </c>
      <c r="L320" t="s">
        <v>53</v>
      </c>
      <c r="M320">
        <v>23293</v>
      </c>
      <c r="N320">
        <v>0.17</v>
      </c>
      <c r="O320">
        <v>9738</v>
      </c>
      <c r="P320">
        <v>22</v>
      </c>
      <c r="Q320" t="s">
        <v>57</v>
      </c>
      <c r="R320" t="s">
        <v>60</v>
      </c>
    </row>
    <row r="321" spans="1:18">
      <c r="A321">
        <v>10320</v>
      </c>
      <c r="B321" s="2">
        <v>44516</v>
      </c>
      <c r="C321" s="2">
        <v>44518</v>
      </c>
      <c r="D321" s="2">
        <v>44522</v>
      </c>
      <c r="E321" t="s">
        <v>19</v>
      </c>
      <c r="F321" t="s">
        <v>22</v>
      </c>
      <c r="G321" t="s">
        <v>26</v>
      </c>
      <c r="H321" t="s">
        <v>30</v>
      </c>
      <c r="I321" t="s">
        <v>34</v>
      </c>
      <c r="J321" t="s">
        <v>43</v>
      </c>
      <c r="K321" t="s">
        <v>45</v>
      </c>
      <c r="L321" t="s">
        <v>53</v>
      </c>
      <c r="M321">
        <v>71969</v>
      </c>
      <c r="N321">
        <v>0.02</v>
      </c>
      <c r="O321">
        <v>-671</v>
      </c>
      <c r="P321">
        <v>23</v>
      </c>
      <c r="Q321" t="s">
        <v>58</v>
      </c>
      <c r="R321" t="s">
        <v>61</v>
      </c>
    </row>
    <row r="322" spans="1:18">
      <c r="A322">
        <v>10321</v>
      </c>
      <c r="B322" s="2">
        <v>44517</v>
      </c>
      <c r="C322" s="2">
        <v>44519</v>
      </c>
      <c r="D322" s="2">
        <v>44523</v>
      </c>
      <c r="E322" t="s">
        <v>18</v>
      </c>
      <c r="F322" t="s">
        <v>22</v>
      </c>
      <c r="G322" t="s">
        <v>25</v>
      </c>
      <c r="H322" t="s">
        <v>29</v>
      </c>
      <c r="I322" t="s">
        <v>36</v>
      </c>
      <c r="J322" t="s">
        <v>38</v>
      </c>
      <c r="K322" t="s">
        <v>50</v>
      </c>
      <c r="L322" t="s">
        <v>51</v>
      </c>
      <c r="M322">
        <v>61172</v>
      </c>
      <c r="N322">
        <v>0.19</v>
      </c>
      <c r="O322">
        <v>8840</v>
      </c>
      <c r="P322">
        <v>13</v>
      </c>
      <c r="Q322" t="s">
        <v>57</v>
      </c>
      <c r="R322" t="s">
        <v>61</v>
      </c>
    </row>
    <row r="323" spans="1:18">
      <c r="A323">
        <v>10322</v>
      </c>
      <c r="B323" s="2">
        <v>44518</v>
      </c>
      <c r="C323" s="2">
        <v>44520</v>
      </c>
      <c r="D323" s="2">
        <v>44524</v>
      </c>
      <c r="E323" t="s">
        <v>20</v>
      </c>
      <c r="F323" t="s">
        <v>22</v>
      </c>
      <c r="G323" t="s">
        <v>25</v>
      </c>
      <c r="H323" t="s">
        <v>29</v>
      </c>
      <c r="I323" t="s">
        <v>35</v>
      </c>
      <c r="J323" t="s">
        <v>43</v>
      </c>
      <c r="K323" t="s">
        <v>48</v>
      </c>
      <c r="L323" t="s">
        <v>52</v>
      </c>
      <c r="M323">
        <v>21259</v>
      </c>
      <c r="N323">
        <v>0.36</v>
      </c>
      <c r="O323">
        <v>19836</v>
      </c>
      <c r="P323">
        <v>17</v>
      </c>
      <c r="Q323" t="s">
        <v>57</v>
      </c>
      <c r="R323" t="s">
        <v>60</v>
      </c>
    </row>
    <row r="324" spans="1:18">
      <c r="A324">
        <v>10323</v>
      </c>
      <c r="B324" s="2">
        <v>44519</v>
      </c>
      <c r="C324" s="2">
        <v>44521</v>
      </c>
      <c r="D324" s="2">
        <v>44525</v>
      </c>
      <c r="E324" t="s">
        <v>20</v>
      </c>
      <c r="F324" t="s">
        <v>22</v>
      </c>
      <c r="G324" t="s">
        <v>25</v>
      </c>
      <c r="H324" t="s">
        <v>25</v>
      </c>
      <c r="I324" t="s">
        <v>36</v>
      </c>
      <c r="J324" t="s">
        <v>38</v>
      </c>
      <c r="K324" t="s">
        <v>47</v>
      </c>
      <c r="L324" t="s">
        <v>53</v>
      </c>
      <c r="M324">
        <v>18284</v>
      </c>
      <c r="N324">
        <v>0.33</v>
      </c>
      <c r="O324">
        <v>12085</v>
      </c>
      <c r="P324">
        <v>10</v>
      </c>
      <c r="Q324" t="s">
        <v>58</v>
      </c>
      <c r="R324" t="s">
        <v>60</v>
      </c>
    </row>
    <row r="325" spans="1:18">
      <c r="A325">
        <v>10324</v>
      </c>
      <c r="B325" s="2">
        <v>44520</v>
      </c>
      <c r="C325" s="2">
        <v>44522</v>
      </c>
      <c r="D325" s="2">
        <v>44526</v>
      </c>
      <c r="E325" t="s">
        <v>20</v>
      </c>
      <c r="F325" t="s">
        <v>22</v>
      </c>
      <c r="G325" t="s">
        <v>27</v>
      </c>
      <c r="H325" t="s">
        <v>30</v>
      </c>
      <c r="I325" t="s">
        <v>35</v>
      </c>
      <c r="J325" t="s">
        <v>41</v>
      </c>
      <c r="K325" t="s">
        <v>50</v>
      </c>
      <c r="L325" t="s">
        <v>51</v>
      </c>
      <c r="M325">
        <v>34933</v>
      </c>
      <c r="N325">
        <v>0.28999999999999998</v>
      </c>
      <c r="O325">
        <v>11608</v>
      </c>
      <c r="P325">
        <v>19</v>
      </c>
      <c r="Q325" t="s">
        <v>58</v>
      </c>
      <c r="R325" t="s">
        <v>61</v>
      </c>
    </row>
    <row r="326" spans="1:18">
      <c r="A326">
        <v>10325</v>
      </c>
      <c r="B326" s="2">
        <v>44521</v>
      </c>
      <c r="C326" s="2">
        <v>44523</v>
      </c>
      <c r="D326" s="2">
        <v>44527</v>
      </c>
      <c r="E326" t="s">
        <v>21</v>
      </c>
      <c r="F326" t="s">
        <v>22</v>
      </c>
      <c r="G326" t="s">
        <v>25</v>
      </c>
      <c r="H326" t="s">
        <v>30</v>
      </c>
      <c r="I326" t="s">
        <v>34</v>
      </c>
      <c r="J326" t="s">
        <v>42</v>
      </c>
      <c r="K326" t="s">
        <v>46</v>
      </c>
      <c r="L326" t="s">
        <v>51</v>
      </c>
      <c r="M326">
        <v>3951</v>
      </c>
      <c r="N326">
        <v>0.06</v>
      </c>
      <c r="O326">
        <v>1015</v>
      </c>
      <c r="P326">
        <v>15</v>
      </c>
      <c r="Q326" t="s">
        <v>56</v>
      </c>
      <c r="R326" t="s">
        <v>61</v>
      </c>
    </row>
    <row r="327" spans="1:18">
      <c r="A327">
        <v>10326</v>
      </c>
      <c r="B327" s="2">
        <v>44522</v>
      </c>
      <c r="C327" s="2">
        <v>44524</v>
      </c>
      <c r="D327" s="2">
        <v>44528</v>
      </c>
      <c r="E327" t="s">
        <v>21</v>
      </c>
      <c r="F327" t="s">
        <v>22</v>
      </c>
      <c r="G327" t="s">
        <v>27</v>
      </c>
      <c r="H327" t="s">
        <v>30</v>
      </c>
      <c r="I327" t="s">
        <v>35</v>
      </c>
      <c r="J327" t="s">
        <v>40</v>
      </c>
      <c r="K327" t="s">
        <v>47</v>
      </c>
      <c r="L327" t="s">
        <v>52</v>
      </c>
      <c r="M327">
        <v>19873</v>
      </c>
      <c r="N327">
        <v>0.28000000000000003</v>
      </c>
      <c r="O327">
        <v>-158</v>
      </c>
      <c r="P327">
        <v>20</v>
      </c>
      <c r="Q327" t="s">
        <v>57</v>
      </c>
      <c r="R327" t="s">
        <v>60</v>
      </c>
    </row>
    <row r="328" spans="1:18">
      <c r="A328">
        <v>10327</v>
      </c>
      <c r="B328" s="2">
        <v>44523</v>
      </c>
      <c r="C328" s="2">
        <v>44525</v>
      </c>
      <c r="D328" s="2">
        <v>44529</v>
      </c>
      <c r="E328" t="s">
        <v>19</v>
      </c>
      <c r="F328" t="s">
        <v>22</v>
      </c>
      <c r="G328" t="s">
        <v>26</v>
      </c>
      <c r="H328" t="s">
        <v>31</v>
      </c>
      <c r="I328" t="s">
        <v>36</v>
      </c>
      <c r="J328" t="s">
        <v>40</v>
      </c>
      <c r="K328" t="s">
        <v>49</v>
      </c>
      <c r="L328" t="s">
        <v>53</v>
      </c>
      <c r="M328">
        <v>68060</v>
      </c>
      <c r="N328">
        <v>0.12</v>
      </c>
      <c r="O328">
        <v>9933</v>
      </c>
      <c r="P328">
        <v>19</v>
      </c>
      <c r="Q328" t="s">
        <v>56</v>
      </c>
      <c r="R328" t="s">
        <v>61</v>
      </c>
    </row>
    <row r="329" spans="1:18">
      <c r="A329">
        <v>10328</v>
      </c>
      <c r="B329" s="2">
        <v>44524</v>
      </c>
      <c r="C329" s="2">
        <v>44526</v>
      </c>
      <c r="D329" s="2">
        <v>44530</v>
      </c>
      <c r="E329" t="s">
        <v>19</v>
      </c>
      <c r="F329" t="s">
        <v>22</v>
      </c>
      <c r="G329" t="s">
        <v>25</v>
      </c>
      <c r="H329" t="s">
        <v>25</v>
      </c>
      <c r="I329" t="s">
        <v>35</v>
      </c>
      <c r="J329" t="s">
        <v>38</v>
      </c>
      <c r="K329" t="s">
        <v>48</v>
      </c>
      <c r="L329" t="s">
        <v>52</v>
      </c>
      <c r="M329">
        <v>29888</v>
      </c>
      <c r="N329">
        <v>0.2</v>
      </c>
      <c r="O329">
        <v>457</v>
      </c>
      <c r="P329">
        <v>5</v>
      </c>
      <c r="Q329" t="s">
        <v>57</v>
      </c>
      <c r="R329" t="s">
        <v>59</v>
      </c>
    </row>
    <row r="330" spans="1:18">
      <c r="A330">
        <v>10329</v>
      </c>
      <c r="B330" s="2">
        <v>44525</v>
      </c>
      <c r="C330" s="2">
        <v>44527</v>
      </c>
      <c r="D330" s="2">
        <v>44531</v>
      </c>
      <c r="E330" t="s">
        <v>18</v>
      </c>
      <c r="F330" t="s">
        <v>22</v>
      </c>
      <c r="G330" t="s">
        <v>28</v>
      </c>
      <c r="H330" t="s">
        <v>30</v>
      </c>
      <c r="I330" t="s">
        <v>35</v>
      </c>
      <c r="J330" t="s">
        <v>41</v>
      </c>
      <c r="K330" t="s">
        <v>45</v>
      </c>
      <c r="L330" t="s">
        <v>51</v>
      </c>
      <c r="M330">
        <v>43368</v>
      </c>
      <c r="N330">
        <v>0.03</v>
      </c>
      <c r="O330">
        <v>16314</v>
      </c>
      <c r="P330">
        <v>12</v>
      </c>
      <c r="Q330" t="s">
        <v>58</v>
      </c>
      <c r="R330" t="s">
        <v>62</v>
      </c>
    </row>
    <row r="331" spans="1:18">
      <c r="A331">
        <v>10330</v>
      </c>
      <c r="B331" s="2">
        <v>44526</v>
      </c>
      <c r="C331" s="2">
        <v>44528</v>
      </c>
      <c r="D331" s="2">
        <v>44532</v>
      </c>
      <c r="E331" t="s">
        <v>18</v>
      </c>
      <c r="F331" t="s">
        <v>22</v>
      </c>
      <c r="G331" t="s">
        <v>25</v>
      </c>
      <c r="H331" t="s">
        <v>31</v>
      </c>
      <c r="I331" t="s">
        <v>34</v>
      </c>
      <c r="J331" t="s">
        <v>40</v>
      </c>
      <c r="K331" t="s">
        <v>47</v>
      </c>
      <c r="L331" t="s">
        <v>53</v>
      </c>
      <c r="M331">
        <v>56659</v>
      </c>
      <c r="N331">
        <v>0.06</v>
      </c>
      <c r="O331">
        <v>10850</v>
      </c>
      <c r="P331">
        <v>18</v>
      </c>
      <c r="Q331" t="s">
        <v>57</v>
      </c>
      <c r="R331" t="s">
        <v>62</v>
      </c>
    </row>
    <row r="332" spans="1:18">
      <c r="A332">
        <v>10331</v>
      </c>
      <c r="B332" s="2">
        <v>44527</v>
      </c>
      <c r="C332" s="2">
        <v>44529</v>
      </c>
      <c r="D332" s="2">
        <v>44533</v>
      </c>
      <c r="E332" t="s">
        <v>19</v>
      </c>
      <c r="F332" t="s">
        <v>22</v>
      </c>
      <c r="G332" t="s">
        <v>26</v>
      </c>
      <c r="H332" t="s">
        <v>31</v>
      </c>
      <c r="I332" t="s">
        <v>35</v>
      </c>
      <c r="J332" t="s">
        <v>42</v>
      </c>
      <c r="K332" t="s">
        <v>45</v>
      </c>
      <c r="L332" t="s">
        <v>53</v>
      </c>
      <c r="M332">
        <v>7912</v>
      </c>
      <c r="N332">
        <v>0.01</v>
      </c>
      <c r="O332">
        <v>-1030</v>
      </c>
      <c r="P332">
        <v>6</v>
      </c>
      <c r="Q332" t="s">
        <v>58</v>
      </c>
      <c r="R332" t="s">
        <v>62</v>
      </c>
    </row>
    <row r="333" spans="1:18">
      <c r="A333">
        <v>10332</v>
      </c>
      <c r="B333" s="2">
        <v>44528</v>
      </c>
      <c r="C333" s="2">
        <v>44530</v>
      </c>
      <c r="D333" s="2">
        <v>44534</v>
      </c>
      <c r="E333" t="s">
        <v>18</v>
      </c>
      <c r="F333" t="s">
        <v>22</v>
      </c>
      <c r="G333" t="s">
        <v>27</v>
      </c>
      <c r="H333" t="s">
        <v>30</v>
      </c>
      <c r="I333" t="s">
        <v>36</v>
      </c>
      <c r="J333" t="s">
        <v>40</v>
      </c>
      <c r="K333" t="s">
        <v>50</v>
      </c>
      <c r="L333" t="s">
        <v>52</v>
      </c>
      <c r="M333">
        <v>40782</v>
      </c>
      <c r="N333">
        <v>0.1</v>
      </c>
      <c r="O333">
        <v>4213</v>
      </c>
      <c r="P333">
        <v>16</v>
      </c>
      <c r="Q333" t="s">
        <v>55</v>
      </c>
      <c r="R333" t="s">
        <v>59</v>
      </c>
    </row>
    <row r="334" spans="1:18">
      <c r="A334">
        <v>10333</v>
      </c>
      <c r="B334" s="2">
        <v>44529</v>
      </c>
      <c r="C334" s="2">
        <v>44531</v>
      </c>
      <c r="D334" s="2">
        <v>44535</v>
      </c>
      <c r="E334" t="s">
        <v>21</v>
      </c>
      <c r="F334" t="s">
        <v>22</v>
      </c>
      <c r="G334" t="s">
        <v>25</v>
      </c>
      <c r="H334" t="s">
        <v>29</v>
      </c>
      <c r="I334" t="s">
        <v>35</v>
      </c>
      <c r="J334" t="s">
        <v>41</v>
      </c>
      <c r="K334" t="s">
        <v>46</v>
      </c>
      <c r="L334" t="s">
        <v>53</v>
      </c>
      <c r="M334">
        <v>62413</v>
      </c>
      <c r="N334">
        <v>0.17</v>
      </c>
      <c r="O334">
        <v>-32</v>
      </c>
      <c r="P334">
        <v>17</v>
      </c>
      <c r="Q334" t="s">
        <v>55</v>
      </c>
      <c r="R334" t="s">
        <v>62</v>
      </c>
    </row>
    <row r="335" spans="1:18">
      <c r="A335">
        <v>10334</v>
      </c>
      <c r="B335" s="2">
        <v>44530</v>
      </c>
      <c r="C335" s="2">
        <v>44532</v>
      </c>
      <c r="D335" s="2">
        <v>44536</v>
      </c>
      <c r="E335" t="s">
        <v>21</v>
      </c>
      <c r="F335" t="s">
        <v>22</v>
      </c>
      <c r="G335" t="s">
        <v>25</v>
      </c>
      <c r="H335" t="s">
        <v>25</v>
      </c>
      <c r="I335" t="s">
        <v>34</v>
      </c>
      <c r="J335" t="s">
        <v>41</v>
      </c>
      <c r="K335" t="s">
        <v>45</v>
      </c>
      <c r="L335" t="s">
        <v>51</v>
      </c>
      <c r="M335">
        <v>38224</v>
      </c>
      <c r="N335">
        <v>0.02</v>
      </c>
      <c r="O335">
        <v>11053</v>
      </c>
      <c r="P335">
        <v>19</v>
      </c>
      <c r="Q335" t="s">
        <v>58</v>
      </c>
      <c r="R335" t="s">
        <v>60</v>
      </c>
    </row>
    <row r="336" spans="1:18">
      <c r="A336">
        <v>10335</v>
      </c>
      <c r="B336" s="2">
        <v>44531</v>
      </c>
      <c r="C336" s="2">
        <v>44533</v>
      </c>
      <c r="D336" s="2">
        <v>44537</v>
      </c>
      <c r="E336" t="s">
        <v>19</v>
      </c>
      <c r="F336" t="s">
        <v>22</v>
      </c>
      <c r="G336" t="s">
        <v>27</v>
      </c>
      <c r="H336" t="s">
        <v>32</v>
      </c>
      <c r="I336" t="s">
        <v>34</v>
      </c>
      <c r="J336" t="s">
        <v>43</v>
      </c>
      <c r="K336" t="s">
        <v>50</v>
      </c>
      <c r="L336" t="s">
        <v>52</v>
      </c>
      <c r="M336">
        <v>63690</v>
      </c>
      <c r="N336">
        <v>0.35</v>
      </c>
      <c r="O336">
        <v>8962</v>
      </c>
      <c r="P336">
        <v>12</v>
      </c>
      <c r="Q336" t="s">
        <v>55</v>
      </c>
      <c r="R336" t="s">
        <v>61</v>
      </c>
    </row>
    <row r="337" spans="1:18">
      <c r="A337">
        <v>10336</v>
      </c>
      <c r="B337" s="2">
        <v>44532</v>
      </c>
      <c r="C337" s="2">
        <v>44534</v>
      </c>
      <c r="D337" s="2">
        <v>44538</v>
      </c>
      <c r="E337" t="s">
        <v>21</v>
      </c>
      <c r="F337" t="s">
        <v>22</v>
      </c>
      <c r="G337" t="s">
        <v>25</v>
      </c>
      <c r="H337" t="s">
        <v>31</v>
      </c>
      <c r="I337" t="s">
        <v>36</v>
      </c>
      <c r="J337" t="s">
        <v>38</v>
      </c>
      <c r="K337" t="s">
        <v>50</v>
      </c>
      <c r="L337" t="s">
        <v>51</v>
      </c>
      <c r="M337">
        <v>22432</v>
      </c>
      <c r="N337">
        <v>7.0000000000000007E-2</v>
      </c>
      <c r="O337">
        <v>11165</v>
      </c>
      <c r="P337">
        <v>13</v>
      </c>
      <c r="Q337" t="s">
        <v>55</v>
      </c>
      <c r="R337" t="s">
        <v>60</v>
      </c>
    </row>
    <row r="338" spans="1:18">
      <c r="A338">
        <v>10337</v>
      </c>
      <c r="B338" s="2">
        <v>44533</v>
      </c>
      <c r="C338" s="2">
        <v>44535</v>
      </c>
      <c r="D338" s="2">
        <v>44539</v>
      </c>
      <c r="E338" t="s">
        <v>18</v>
      </c>
      <c r="F338" t="s">
        <v>22</v>
      </c>
      <c r="G338" t="s">
        <v>26</v>
      </c>
      <c r="H338" t="s">
        <v>32</v>
      </c>
      <c r="I338" t="s">
        <v>35</v>
      </c>
      <c r="J338" t="s">
        <v>42</v>
      </c>
      <c r="K338" t="s">
        <v>50</v>
      </c>
      <c r="L338" t="s">
        <v>53</v>
      </c>
      <c r="M338">
        <v>42419</v>
      </c>
      <c r="N338">
        <v>0.26</v>
      </c>
      <c r="O338">
        <v>9457</v>
      </c>
      <c r="P338">
        <v>20</v>
      </c>
      <c r="Q338" t="s">
        <v>55</v>
      </c>
      <c r="R338" t="s">
        <v>59</v>
      </c>
    </row>
    <row r="339" spans="1:18">
      <c r="A339">
        <v>10338</v>
      </c>
      <c r="B339" s="2">
        <v>44534</v>
      </c>
      <c r="C339" s="2">
        <v>44536</v>
      </c>
      <c r="D339" s="2">
        <v>44540</v>
      </c>
      <c r="E339" t="s">
        <v>21</v>
      </c>
      <c r="F339" t="s">
        <v>22</v>
      </c>
      <c r="G339" t="s">
        <v>28</v>
      </c>
      <c r="H339" t="s">
        <v>31</v>
      </c>
      <c r="I339" t="s">
        <v>34</v>
      </c>
      <c r="J339" t="s">
        <v>40</v>
      </c>
      <c r="K339" t="s">
        <v>50</v>
      </c>
      <c r="L339" t="s">
        <v>53</v>
      </c>
      <c r="M339">
        <v>70422</v>
      </c>
      <c r="N339">
        <v>0.15</v>
      </c>
      <c r="O339">
        <v>-762</v>
      </c>
      <c r="P339">
        <v>11</v>
      </c>
      <c r="Q339" t="s">
        <v>58</v>
      </c>
      <c r="R339" t="s">
        <v>62</v>
      </c>
    </row>
    <row r="340" spans="1:18">
      <c r="A340">
        <v>10339</v>
      </c>
      <c r="B340" s="2">
        <v>44535</v>
      </c>
      <c r="C340" s="2">
        <v>44537</v>
      </c>
      <c r="D340" s="2">
        <v>44541</v>
      </c>
      <c r="E340" t="s">
        <v>21</v>
      </c>
      <c r="F340" t="s">
        <v>22</v>
      </c>
      <c r="G340" t="s">
        <v>23</v>
      </c>
      <c r="H340" t="s">
        <v>31</v>
      </c>
      <c r="I340" t="s">
        <v>34</v>
      </c>
      <c r="J340" t="s">
        <v>37</v>
      </c>
      <c r="K340" t="s">
        <v>47</v>
      </c>
      <c r="L340" t="s">
        <v>53</v>
      </c>
      <c r="M340">
        <v>58263</v>
      </c>
      <c r="N340">
        <v>0.25</v>
      </c>
      <c r="O340">
        <v>-881</v>
      </c>
      <c r="P340">
        <v>12</v>
      </c>
      <c r="Q340" t="s">
        <v>58</v>
      </c>
      <c r="R340" t="s">
        <v>62</v>
      </c>
    </row>
    <row r="341" spans="1:18">
      <c r="A341">
        <v>10340</v>
      </c>
      <c r="B341" s="2">
        <v>44536</v>
      </c>
      <c r="C341" s="2">
        <v>44538</v>
      </c>
      <c r="D341" s="2">
        <v>44542</v>
      </c>
      <c r="E341" t="s">
        <v>20</v>
      </c>
      <c r="F341" t="s">
        <v>22</v>
      </c>
      <c r="G341" t="s">
        <v>23</v>
      </c>
      <c r="H341" t="s">
        <v>29</v>
      </c>
      <c r="I341" t="s">
        <v>35</v>
      </c>
      <c r="J341" t="s">
        <v>39</v>
      </c>
      <c r="K341" t="s">
        <v>50</v>
      </c>
      <c r="L341" t="s">
        <v>53</v>
      </c>
      <c r="M341">
        <v>11584</v>
      </c>
      <c r="N341">
        <v>0.01</v>
      </c>
      <c r="O341">
        <v>6242</v>
      </c>
      <c r="P341">
        <v>4</v>
      </c>
      <c r="Q341" t="s">
        <v>57</v>
      </c>
      <c r="R341" t="s">
        <v>59</v>
      </c>
    </row>
    <row r="342" spans="1:18">
      <c r="A342">
        <v>10341</v>
      </c>
      <c r="B342" s="2">
        <v>44537</v>
      </c>
      <c r="C342" s="2">
        <v>44539</v>
      </c>
      <c r="D342" s="2">
        <v>44543</v>
      </c>
      <c r="E342" t="s">
        <v>18</v>
      </c>
      <c r="F342" t="s">
        <v>22</v>
      </c>
      <c r="G342" t="s">
        <v>24</v>
      </c>
      <c r="H342" t="s">
        <v>33</v>
      </c>
      <c r="I342" t="s">
        <v>36</v>
      </c>
      <c r="J342" t="s">
        <v>40</v>
      </c>
      <c r="K342" t="s">
        <v>48</v>
      </c>
      <c r="L342" t="s">
        <v>51</v>
      </c>
      <c r="M342">
        <v>5664</v>
      </c>
      <c r="N342">
        <v>0.04</v>
      </c>
      <c r="O342">
        <v>12982</v>
      </c>
      <c r="P342">
        <v>2</v>
      </c>
      <c r="Q342" t="s">
        <v>54</v>
      </c>
      <c r="R342" t="s">
        <v>62</v>
      </c>
    </row>
    <row r="343" spans="1:18">
      <c r="A343">
        <v>10342</v>
      </c>
      <c r="B343" s="2">
        <v>44538</v>
      </c>
      <c r="C343" s="2">
        <v>44540</v>
      </c>
      <c r="D343" s="2">
        <v>44544</v>
      </c>
      <c r="E343" t="s">
        <v>20</v>
      </c>
      <c r="F343" t="s">
        <v>22</v>
      </c>
      <c r="G343" t="s">
        <v>25</v>
      </c>
      <c r="H343" t="s">
        <v>33</v>
      </c>
      <c r="I343" t="s">
        <v>35</v>
      </c>
      <c r="J343" t="s">
        <v>37</v>
      </c>
      <c r="K343" t="s">
        <v>45</v>
      </c>
      <c r="L343" t="s">
        <v>52</v>
      </c>
      <c r="M343">
        <v>31653</v>
      </c>
      <c r="N343">
        <v>0.3</v>
      </c>
      <c r="O343">
        <v>993</v>
      </c>
      <c r="P343">
        <v>22</v>
      </c>
      <c r="Q343" t="s">
        <v>57</v>
      </c>
      <c r="R343" t="s">
        <v>59</v>
      </c>
    </row>
    <row r="344" spans="1:18">
      <c r="A344">
        <v>10343</v>
      </c>
      <c r="B344" s="2">
        <v>44539</v>
      </c>
      <c r="C344" s="2">
        <v>44541</v>
      </c>
      <c r="D344" s="2">
        <v>44545</v>
      </c>
      <c r="E344" t="s">
        <v>20</v>
      </c>
      <c r="F344" t="s">
        <v>22</v>
      </c>
      <c r="G344" t="s">
        <v>24</v>
      </c>
      <c r="H344" t="s">
        <v>25</v>
      </c>
      <c r="I344" t="s">
        <v>35</v>
      </c>
      <c r="J344" t="s">
        <v>39</v>
      </c>
      <c r="K344" t="s">
        <v>50</v>
      </c>
      <c r="L344" t="s">
        <v>53</v>
      </c>
      <c r="M344">
        <v>36230</v>
      </c>
      <c r="N344">
        <v>0.05</v>
      </c>
      <c r="O344">
        <v>2978</v>
      </c>
      <c r="P344">
        <v>8</v>
      </c>
      <c r="Q344" t="s">
        <v>57</v>
      </c>
      <c r="R344" t="s">
        <v>62</v>
      </c>
    </row>
    <row r="345" spans="1:18">
      <c r="A345">
        <v>10344</v>
      </c>
      <c r="B345" s="2">
        <v>44540</v>
      </c>
      <c r="C345" s="2">
        <v>44542</v>
      </c>
      <c r="D345" s="2">
        <v>44546</v>
      </c>
      <c r="E345" t="s">
        <v>19</v>
      </c>
      <c r="F345" t="s">
        <v>22</v>
      </c>
      <c r="G345" t="s">
        <v>28</v>
      </c>
      <c r="H345" t="s">
        <v>33</v>
      </c>
      <c r="I345" t="s">
        <v>36</v>
      </c>
      <c r="J345" t="s">
        <v>39</v>
      </c>
      <c r="K345" t="s">
        <v>47</v>
      </c>
      <c r="L345" t="s">
        <v>51</v>
      </c>
      <c r="M345">
        <v>74511</v>
      </c>
      <c r="N345">
        <v>0.18</v>
      </c>
      <c r="O345">
        <v>13476</v>
      </c>
      <c r="P345">
        <v>3</v>
      </c>
      <c r="Q345" t="s">
        <v>57</v>
      </c>
      <c r="R345" t="s">
        <v>60</v>
      </c>
    </row>
    <row r="346" spans="1:18">
      <c r="A346">
        <v>10345</v>
      </c>
      <c r="B346" s="2">
        <v>44541</v>
      </c>
      <c r="C346" s="2">
        <v>44543</v>
      </c>
      <c r="D346" s="2">
        <v>44547</v>
      </c>
      <c r="E346" t="s">
        <v>18</v>
      </c>
      <c r="F346" t="s">
        <v>22</v>
      </c>
      <c r="G346" t="s">
        <v>24</v>
      </c>
      <c r="H346" t="s">
        <v>31</v>
      </c>
      <c r="I346" t="s">
        <v>35</v>
      </c>
      <c r="J346" t="s">
        <v>43</v>
      </c>
      <c r="K346" t="s">
        <v>48</v>
      </c>
      <c r="L346" t="s">
        <v>51</v>
      </c>
      <c r="M346">
        <v>68731</v>
      </c>
      <c r="N346">
        <v>0.18</v>
      </c>
      <c r="O346">
        <v>17930</v>
      </c>
      <c r="P346">
        <v>8</v>
      </c>
      <c r="Q346" t="s">
        <v>56</v>
      </c>
      <c r="R346" t="s">
        <v>62</v>
      </c>
    </row>
    <row r="347" spans="1:18">
      <c r="A347">
        <v>10346</v>
      </c>
      <c r="B347" s="2">
        <v>44542</v>
      </c>
      <c r="C347" s="2">
        <v>44544</v>
      </c>
      <c r="D347" s="2">
        <v>44548</v>
      </c>
      <c r="E347" t="s">
        <v>18</v>
      </c>
      <c r="F347" t="s">
        <v>22</v>
      </c>
      <c r="G347" t="s">
        <v>26</v>
      </c>
      <c r="H347" t="s">
        <v>29</v>
      </c>
      <c r="I347" t="s">
        <v>34</v>
      </c>
      <c r="J347" t="s">
        <v>41</v>
      </c>
      <c r="K347" t="s">
        <v>46</v>
      </c>
      <c r="L347" t="s">
        <v>53</v>
      </c>
      <c r="M347">
        <v>25410</v>
      </c>
      <c r="N347">
        <v>0.32</v>
      </c>
      <c r="O347">
        <v>13203</v>
      </c>
      <c r="P347">
        <v>1</v>
      </c>
      <c r="Q347" t="s">
        <v>57</v>
      </c>
      <c r="R347" t="s">
        <v>59</v>
      </c>
    </row>
    <row r="348" spans="1:18">
      <c r="A348">
        <v>10347</v>
      </c>
      <c r="B348" s="2">
        <v>44543</v>
      </c>
      <c r="C348" s="2">
        <v>44545</v>
      </c>
      <c r="D348" s="2">
        <v>44549</v>
      </c>
      <c r="E348" t="s">
        <v>20</v>
      </c>
      <c r="F348" t="s">
        <v>22</v>
      </c>
      <c r="G348" t="s">
        <v>25</v>
      </c>
      <c r="H348" t="s">
        <v>30</v>
      </c>
      <c r="I348" t="s">
        <v>35</v>
      </c>
      <c r="J348" t="s">
        <v>41</v>
      </c>
      <c r="K348" t="s">
        <v>50</v>
      </c>
      <c r="L348" t="s">
        <v>52</v>
      </c>
      <c r="M348">
        <v>51542</v>
      </c>
      <c r="N348">
        <v>0.05</v>
      </c>
      <c r="O348">
        <v>4371</v>
      </c>
      <c r="P348">
        <v>2</v>
      </c>
      <c r="Q348" t="s">
        <v>55</v>
      </c>
      <c r="R348" t="s">
        <v>61</v>
      </c>
    </row>
    <row r="349" spans="1:18">
      <c r="A349">
        <v>10348</v>
      </c>
      <c r="B349" s="2">
        <v>44544</v>
      </c>
      <c r="C349" s="2">
        <v>44546</v>
      </c>
      <c r="D349" s="2">
        <v>44550</v>
      </c>
      <c r="E349" t="s">
        <v>21</v>
      </c>
      <c r="F349" t="s">
        <v>22</v>
      </c>
      <c r="G349" t="s">
        <v>26</v>
      </c>
      <c r="H349" t="s">
        <v>31</v>
      </c>
      <c r="I349" t="s">
        <v>35</v>
      </c>
      <c r="J349" t="s">
        <v>39</v>
      </c>
      <c r="K349" t="s">
        <v>47</v>
      </c>
      <c r="L349" t="s">
        <v>51</v>
      </c>
      <c r="M349">
        <v>45231</v>
      </c>
      <c r="N349">
        <v>0.18</v>
      </c>
      <c r="O349">
        <v>7124</v>
      </c>
      <c r="P349">
        <v>8</v>
      </c>
      <c r="Q349" t="s">
        <v>55</v>
      </c>
      <c r="R349" t="s">
        <v>61</v>
      </c>
    </row>
    <row r="350" spans="1:18">
      <c r="A350">
        <v>10349</v>
      </c>
      <c r="B350" s="2">
        <v>44545</v>
      </c>
      <c r="C350" s="2">
        <v>44547</v>
      </c>
      <c r="D350" s="2">
        <v>44551</v>
      </c>
      <c r="E350" t="s">
        <v>19</v>
      </c>
      <c r="F350" t="s">
        <v>22</v>
      </c>
      <c r="G350" t="s">
        <v>23</v>
      </c>
      <c r="H350" t="s">
        <v>30</v>
      </c>
      <c r="I350" t="s">
        <v>36</v>
      </c>
      <c r="J350" t="s">
        <v>39</v>
      </c>
      <c r="K350" t="s">
        <v>46</v>
      </c>
      <c r="L350" t="s">
        <v>53</v>
      </c>
      <c r="M350">
        <v>1253</v>
      </c>
      <c r="N350">
        <v>0.03</v>
      </c>
      <c r="O350">
        <v>7818</v>
      </c>
      <c r="P350">
        <v>10</v>
      </c>
      <c r="Q350" t="s">
        <v>56</v>
      </c>
      <c r="R350" t="s">
        <v>60</v>
      </c>
    </row>
    <row r="351" spans="1:18">
      <c r="A351">
        <v>10350</v>
      </c>
      <c r="B351" s="2">
        <v>44546</v>
      </c>
      <c r="C351" s="2">
        <v>44548</v>
      </c>
      <c r="D351" s="2">
        <v>44552</v>
      </c>
      <c r="E351" t="s">
        <v>20</v>
      </c>
      <c r="F351" t="s">
        <v>22</v>
      </c>
      <c r="G351" t="s">
        <v>24</v>
      </c>
      <c r="H351" t="s">
        <v>29</v>
      </c>
      <c r="I351" t="s">
        <v>35</v>
      </c>
      <c r="J351" t="s">
        <v>40</v>
      </c>
      <c r="K351" t="s">
        <v>50</v>
      </c>
      <c r="L351" t="s">
        <v>51</v>
      </c>
      <c r="M351">
        <v>47543</v>
      </c>
      <c r="N351">
        <v>7.0000000000000007E-2</v>
      </c>
      <c r="O351">
        <v>4118</v>
      </c>
      <c r="P351">
        <v>1</v>
      </c>
      <c r="Q351" t="s">
        <v>56</v>
      </c>
      <c r="R351" t="s">
        <v>59</v>
      </c>
    </row>
    <row r="352" spans="1:18">
      <c r="A352">
        <v>10351</v>
      </c>
      <c r="B352" s="2">
        <v>44547</v>
      </c>
      <c r="C352" s="2">
        <v>44549</v>
      </c>
      <c r="D352" s="2">
        <v>44553</v>
      </c>
      <c r="E352" t="s">
        <v>18</v>
      </c>
      <c r="F352" t="s">
        <v>22</v>
      </c>
      <c r="G352" t="s">
        <v>27</v>
      </c>
      <c r="H352" t="s">
        <v>33</v>
      </c>
      <c r="I352" t="s">
        <v>35</v>
      </c>
      <c r="J352" t="s">
        <v>43</v>
      </c>
      <c r="K352" t="s">
        <v>50</v>
      </c>
      <c r="L352" t="s">
        <v>53</v>
      </c>
      <c r="M352">
        <v>20799</v>
      </c>
      <c r="N352">
        <v>0.25</v>
      </c>
      <c r="O352">
        <v>7801</v>
      </c>
      <c r="P352">
        <v>4</v>
      </c>
      <c r="Q352" t="s">
        <v>54</v>
      </c>
      <c r="R352" t="s">
        <v>62</v>
      </c>
    </row>
    <row r="353" spans="1:18">
      <c r="A353">
        <v>10352</v>
      </c>
      <c r="B353" s="2">
        <v>44548</v>
      </c>
      <c r="C353" s="2">
        <v>44550</v>
      </c>
      <c r="D353" s="2">
        <v>44554</v>
      </c>
      <c r="E353" t="s">
        <v>18</v>
      </c>
      <c r="F353" t="s">
        <v>22</v>
      </c>
      <c r="G353" t="s">
        <v>26</v>
      </c>
      <c r="H353" t="s">
        <v>31</v>
      </c>
      <c r="I353" t="s">
        <v>35</v>
      </c>
      <c r="J353" t="s">
        <v>41</v>
      </c>
      <c r="K353" t="s">
        <v>50</v>
      </c>
      <c r="L353" t="s">
        <v>51</v>
      </c>
      <c r="M353">
        <v>54575</v>
      </c>
      <c r="N353">
        <v>0.28999999999999998</v>
      </c>
      <c r="O353">
        <v>7059</v>
      </c>
      <c r="P353">
        <v>4</v>
      </c>
      <c r="Q353" t="s">
        <v>54</v>
      </c>
      <c r="R353" t="s">
        <v>62</v>
      </c>
    </row>
    <row r="354" spans="1:18">
      <c r="A354">
        <v>10353</v>
      </c>
      <c r="B354" s="2">
        <v>44549</v>
      </c>
      <c r="C354" s="2">
        <v>44551</v>
      </c>
      <c r="D354" s="2">
        <v>44555</v>
      </c>
      <c r="E354" t="s">
        <v>19</v>
      </c>
      <c r="F354" t="s">
        <v>22</v>
      </c>
      <c r="G354" t="s">
        <v>27</v>
      </c>
      <c r="H354" t="s">
        <v>30</v>
      </c>
      <c r="I354" t="s">
        <v>36</v>
      </c>
      <c r="J354" t="s">
        <v>39</v>
      </c>
      <c r="K354" t="s">
        <v>45</v>
      </c>
      <c r="L354" t="s">
        <v>51</v>
      </c>
      <c r="M354">
        <v>69057</v>
      </c>
      <c r="N354">
        <v>0.34</v>
      </c>
      <c r="O354">
        <v>13239</v>
      </c>
      <c r="P354">
        <v>3</v>
      </c>
      <c r="Q354" t="s">
        <v>58</v>
      </c>
      <c r="R354" t="s">
        <v>59</v>
      </c>
    </row>
    <row r="355" spans="1:18">
      <c r="A355">
        <v>10354</v>
      </c>
      <c r="B355" s="2">
        <v>44550</v>
      </c>
      <c r="C355" s="2">
        <v>44552</v>
      </c>
      <c r="D355" s="2">
        <v>44556</v>
      </c>
      <c r="E355" t="s">
        <v>21</v>
      </c>
      <c r="F355" t="s">
        <v>22</v>
      </c>
      <c r="G355" t="s">
        <v>24</v>
      </c>
      <c r="H355" t="s">
        <v>31</v>
      </c>
      <c r="I355" t="s">
        <v>36</v>
      </c>
      <c r="J355" t="s">
        <v>40</v>
      </c>
      <c r="K355" t="s">
        <v>49</v>
      </c>
      <c r="L355" t="s">
        <v>53</v>
      </c>
      <c r="M355">
        <v>63697</v>
      </c>
      <c r="N355">
        <v>0.09</v>
      </c>
      <c r="O355">
        <v>6152</v>
      </c>
      <c r="P355">
        <v>7</v>
      </c>
      <c r="Q355" t="s">
        <v>54</v>
      </c>
      <c r="R355" t="s">
        <v>62</v>
      </c>
    </row>
    <row r="356" spans="1:18">
      <c r="A356">
        <v>10355</v>
      </c>
      <c r="B356" s="2">
        <v>44551</v>
      </c>
      <c r="C356" s="2">
        <v>44553</v>
      </c>
      <c r="D356" s="2">
        <v>44557</v>
      </c>
      <c r="E356" t="s">
        <v>18</v>
      </c>
      <c r="F356" t="s">
        <v>22</v>
      </c>
      <c r="G356" t="s">
        <v>27</v>
      </c>
      <c r="H356" t="s">
        <v>31</v>
      </c>
      <c r="I356" t="s">
        <v>34</v>
      </c>
      <c r="J356" t="s">
        <v>38</v>
      </c>
      <c r="K356" t="s">
        <v>49</v>
      </c>
      <c r="L356" t="s">
        <v>52</v>
      </c>
      <c r="M356">
        <v>976</v>
      </c>
      <c r="N356">
        <v>0.01</v>
      </c>
      <c r="O356">
        <v>-920</v>
      </c>
      <c r="P356">
        <v>15</v>
      </c>
      <c r="Q356" t="s">
        <v>56</v>
      </c>
      <c r="R356" t="s">
        <v>59</v>
      </c>
    </row>
    <row r="357" spans="1:18">
      <c r="A357">
        <v>10356</v>
      </c>
      <c r="B357" s="2">
        <v>44552</v>
      </c>
      <c r="C357" s="2">
        <v>44554</v>
      </c>
      <c r="D357" s="2">
        <v>44558</v>
      </c>
      <c r="E357" t="s">
        <v>20</v>
      </c>
      <c r="F357" t="s">
        <v>22</v>
      </c>
      <c r="G357" t="s">
        <v>23</v>
      </c>
      <c r="H357" t="s">
        <v>25</v>
      </c>
      <c r="I357" t="s">
        <v>36</v>
      </c>
      <c r="J357" t="s">
        <v>37</v>
      </c>
      <c r="K357" t="s">
        <v>44</v>
      </c>
      <c r="L357" t="s">
        <v>51</v>
      </c>
      <c r="M357">
        <v>39754</v>
      </c>
      <c r="N357">
        <v>0.21</v>
      </c>
      <c r="O357">
        <v>4866</v>
      </c>
      <c r="P357">
        <v>5</v>
      </c>
      <c r="Q357" t="s">
        <v>54</v>
      </c>
      <c r="R357" t="s">
        <v>60</v>
      </c>
    </row>
    <row r="358" spans="1:18">
      <c r="A358">
        <v>10357</v>
      </c>
      <c r="B358" s="2">
        <v>44553</v>
      </c>
      <c r="C358" s="2">
        <v>44555</v>
      </c>
      <c r="D358" s="2">
        <v>44559</v>
      </c>
      <c r="E358" t="s">
        <v>18</v>
      </c>
      <c r="F358" t="s">
        <v>22</v>
      </c>
      <c r="G358" t="s">
        <v>28</v>
      </c>
      <c r="H358" t="s">
        <v>32</v>
      </c>
      <c r="I358" t="s">
        <v>34</v>
      </c>
      <c r="J358" t="s">
        <v>39</v>
      </c>
      <c r="K358" t="s">
        <v>45</v>
      </c>
      <c r="L358" t="s">
        <v>53</v>
      </c>
      <c r="M358">
        <v>19852</v>
      </c>
      <c r="N358">
        <v>0.33</v>
      </c>
      <c r="O358">
        <v>6997</v>
      </c>
      <c r="P358">
        <v>19</v>
      </c>
      <c r="Q358" t="s">
        <v>55</v>
      </c>
      <c r="R358" t="s">
        <v>59</v>
      </c>
    </row>
    <row r="359" spans="1:18">
      <c r="A359">
        <v>10358</v>
      </c>
      <c r="B359" s="2">
        <v>44554</v>
      </c>
      <c r="C359" s="2">
        <v>44556</v>
      </c>
      <c r="D359" s="2">
        <v>44560</v>
      </c>
      <c r="E359" t="s">
        <v>20</v>
      </c>
      <c r="F359" t="s">
        <v>22</v>
      </c>
      <c r="G359" t="s">
        <v>28</v>
      </c>
      <c r="H359" t="s">
        <v>25</v>
      </c>
      <c r="I359" t="s">
        <v>34</v>
      </c>
      <c r="J359" t="s">
        <v>40</v>
      </c>
      <c r="K359" t="s">
        <v>49</v>
      </c>
      <c r="L359" t="s">
        <v>53</v>
      </c>
      <c r="M359">
        <v>73529</v>
      </c>
      <c r="N359">
        <v>0.19</v>
      </c>
      <c r="O359">
        <v>16319</v>
      </c>
      <c r="P359">
        <v>2</v>
      </c>
      <c r="Q359" t="s">
        <v>56</v>
      </c>
      <c r="R359" t="s">
        <v>60</v>
      </c>
    </row>
    <row r="360" spans="1:18">
      <c r="A360">
        <v>10359</v>
      </c>
      <c r="B360" s="2">
        <v>44555</v>
      </c>
      <c r="C360" s="2">
        <v>44557</v>
      </c>
      <c r="D360" s="2">
        <v>44561</v>
      </c>
      <c r="E360" t="s">
        <v>20</v>
      </c>
      <c r="F360" t="s">
        <v>22</v>
      </c>
      <c r="G360" t="s">
        <v>25</v>
      </c>
      <c r="H360" t="s">
        <v>30</v>
      </c>
      <c r="I360" t="s">
        <v>36</v>
      </c>
      <c r="J360" t="s">
        <v>37</v>
      </c>
      <c r="K360" t="s">
        <v>46</v>
      </c>
      <c r="L360" t="s">
        <v>51</v>
      </c>
      <c r="M360">
        <v>31007</v>
      </c>
      <c r="N360">
        <v>0.01</v>
      </c>
      <c r="O360">
        <v>9778</v>
      </c>
      <c r="P360">
        <v>5</v>
      </c>
      <c r="Q360" t="s">
        <v>55</v>
      </c>
      <c r="R360" t="s">
        <v>60</v>
      </c>
    </row>
    <row r="361" spans="1:18">
      <c r="A361">
        <v>10360</v>
      </c>
      <c r="B361" s="2">
        <v>44556</v>
      </c>
      <c r="C361" s="2">
        <v>44558</v>
      </c>
      <c r="D361" s="2">
        <v>44562</v>
      </c>
      <c r="E361" t="s">
        <v>21</v>
      </c>
      <c r="F361" t="s">
        <v>22</v>
      </c>
      <c r="G361" t="s">
        <v>25</v>
      </c>
      <c r="H361" t="s">
        <v>33</v>
      </c>
      <c r="I361" t="s">
        <v>36</v>
      </c>
      <c r="J361" t="s">
        <v>37</v>
      </c>
      <c r="K361" t="s">
        <v>48</v>
      </c>
      <c r="L361" t="s">
        <v>52</v>
      </c>
      <c r="M361">
        <v>19591</v>
      </c>
      <c r="N361">
        <v>0.3</v>
      </c>
      <c r="O361">
        <v>-646</v>
      </c>
      <c r="P361">
        <v>22</v>
      </c>
      <c r="Q361" t="s">
        <v>57</v>
      </c>
      <c r="R361" t="s">
        <v>60</v>
      </c>
    </row>
    <row r="362" spans="1:18">
      <c r="A362">
        <v>10361</v>
      </c>
      <c r="B362" s="2">
        <v>44557</v>
      </c>
      <c r="C362" s="2">
        <v>44559</v>
      </c>
      <c r="D362" s="2">
        <v>44563</v>
      </c>
      <c r="E362" t="s">
        <v>21</v>
      </c>
      <c r="F362" t="s">
        <v>22</v>
      </c>
      <c r="G362" t="s">
        <v>26</v>
      </c>
      <c r="H362" t="s">
        <v>33</v>
      </c>
      <c r="I362" t="s">
        <v>35</v>
      </c>
      <c r="J362" t="s">
        <v>37</v>
      </c>
      <c r="K362" t="s">
        <v>49</v>
      </c>
      <c r="L362" t="s">
        <v>52</v>
      </c>
      <c r="M362">
        <v>33659</v>
      </c>
      <c r="N362">
        <v>0.33</v>
      </c>
      <c r="O362">
        <v>18077</v>
      </c>
      <c r="P362">
        <v>9</v>
      </c>
      <c r="Q362" t="s">
        <v>54</v>
      </c>
      <c r="R362" t="s">
        <v>61</v>
      </c>
    </row>
    <row r="363" spans="1:18">
      <c r="A363">
        <v>10362</v>
      </c>
      <c r="B363" s="2">
        <v>44558</v>
      </c>
      <c r="C363" s="2">
        <v>44560</v>
      </c>
      <c r="D363" s="2">
        <v>44564</v>
      </c>
      <c r="E363" t="s">
        <v>19</v>
      </c>
      <c r="F363" t="s">
        <v>22</v>
      </c>
      <c r="G363" t="s">
        <v>26</v>
      </c>
      <c r="H363" t="s">
        <v>29</v>
      </c>
      <c r="I363" t="s">
        <v>36</v>
      </c>
      <c r="J363" t="s">
        <v>43</v>
      </c>
      <c r="K363" t="s">
        <v>47</v>
      </c>
      <c r="L363" t="s">
        <v>53</v>
      </c>
      <c r="M363">
        <v>20362</v>
      </c>
      <c r="N363">
        <v>0.23</v>
      </c>
      <c r="O363">
        <v>2601</v>
      </c>
      <c r="P363">
        <v>23</v>
      </c>
      <c r="Q363" t="s">
        <v>56</v>
      </c>
      <c r="R363" t="s">
        <v>62</v>
      </c>
    </row>
    <row r="364" spans="1:18">
      <c r="A364">
        <v>10363</v>
      </c>
      <c r="B364" s="2">
        <v>44559</v>
      </c>
      <c r="C364" s="2">
        <v>44561</v>
      </c>
      <c r="D364" s="2">
        <v>44565</v>
      </c>
      <c r="E364" t="s">
        <v>18</v>
      </c>
      <c r="F364" t="s">
        <v>22</v>
      </c>
      <c r="G364" t="s">
        <v>24</v>
      </c>
      <c r="H364" t="s">
        <v>31</v>
      </c>
      <c r="I364" t="s">
        <v>36</v>
      </c>
      <c r="J364" t="s">
        <v>37</v>
      </c>
      <c r="K364" t="s">
        <v>47</v>
      </c>
      <c r="L364" t="s">
        <v>53</v>
      </c>
      <c r="M364">
        <v>59353</v>
      </c>
      <c r="N364">
        <v>7.0000000000000007E-2</v>
      </c>
      <c r="O364">
        <v>3442</v>
      </c>
      <c r="P364">
        <v>10</v>
      </c>
      <c r="Q364" t="s">
        <v>55</v>
      </c>
      <c r="R364" t="s">
        <v>59</v>
      </c>
    </row>
    <row r="365" spans="1:18">
      <c r="A365">
        <v>10364</v>
      </c>
      <c r="B365" s="2">
        <v>44560</v>
      </c>
      <c r="C365" s="2">
        <v>44562</v>
      </c>
      <c r="D365" s="2">
        <v>44566</v>
      </c>
      <c r="E365" t="s">
        <v>19</v>
      </c>
      <c r="F365" t="s">
        <v>22</v>
      </c>
      <c r="G365" t="s">
        <v>26</v>
      </c>
      <c r="H365" t="s">
        <v>29</v>
      </c>
      <c r="I365" t="s">
        <v>36</v>
      </c>
      <c r="J365" t="s">
        <v>39</v>
      </c>
      <c r="K365" t="s">
        <v>45</v>
      </c>
      <c r="L365" t="s">
        <v>53</v>
      </c>
      <c r="M365">
        <v>69519</v>
      </c>
      <c r="N365">
        <v>0.3</v>
      </c>
      <c r="O365">
        <v>14522</v>
      </c>
      <c r="P365">
        <v>15</v>
      </c>
      <c r="Q365" t="s">
        <v>55</v>
      </c>
      <c r="R365" t="s">
        <v>61</v>
      </c>
    </row>
    <row r="366" spans="1:18">
      <c r="A366">
        <v>10365</v>
      </c>
      <c r="B366" s="2">
        <v>44561</v>
      </c>
      <c r="C366" s="2">
        <v>44563</v>
      </c>
      <c r="D366" s="2">
        <v>44567</v>
      </c>
      <c r="E366" t="s">
        <v>19</v>
      </c>
      <c r="F366" t="s">
        <v>22</v>
      </c>
      <c r="G366" t="s">
        <v>26</v>
      </c>
      <c r="H366" t="s">
        <v>31</v>
      </c>
      <c r="I366" t="s">
        <v>36</v>
      </c>
      <c r="J366" t="s">
        <v>37</v>
      </c>
      <c r="K366" t="s">
        <v>45</v>
      </c>
      <c r="L366" t="s">
        <v>53</v>
      </c>
      <c r="M366">
        <v>54165</v>
      </c>
      <c r="N366">
        <v>0.06</v>
      </c>
      <c r="O366">
        <v>10368</v>
      </c>
      <c r="P366">
        <v>7</v>
      </c>
      <c r="Q366" t="s">
        <v>56</v>
      </c>
      <c r="R366" t="s">
        <v>59</v>
      </c>
    </row>
    <row r="367" spans="1:18">
      <c r="A367">
        <v>10366</v>
      </c>
      <c r="B367" s="2">
        <v>44562</v>
      </c>
      <c r="C367" s="2">
        <v>44564</v>
      </c>
      <c r="D367" s="2">
        <v>44568</v>
      </c>
      <c r="E367" t="s">
        <v>20</v>
      </c>
      <c r="F367" t="s">
        <v>22</v>
      </c>
      <c r="G367" t="s">
        <v>25</v>
      </c>
      <c r="H367" t="s">
        <v>33</v>
      </c>
      <c r="I367" t="s">
        <v>34</v>
      </c>
      <c r="J367" t="s">
        <v>37</v>
      </c>
      <c r="K367" t="s">
        <v>46</v>
      </c>
      <c r="L367" t="s">
        <v>53</v>
      </c>
      <c r="M367">
        <v>52547</v>
      </c>
      <c r="N367">
        <v>0.17</v>
      </c>
      <c r="O367">
        <v>5024</v>
      </c>
      <c r="P367">
        <v>6</v>
      </c>
      <c r="Q367" t="s">
        <v>57</v>
      </c>
      <c r="R367" t="s">
        <v>60</v>
      </c>
    </row>
    <row r="368" spans="1:18">
      <c r="A368">
        <v>10367</v>
      </c>
      <c r="B368" s="2">
        <v>44563</v>
      </c>
      <c r="C368" s="2">
        <v>44565</v>
      </c>
      <c r="D368" s="2">
        <v>44569</v>
      </c>
      <c r="E368" t="s">
        <v>21</v>
      </c>
      <c r="F368" t="s">
        <v>22</v>
      </c>
      <c r="G368" t="s">
        <v>26</v>
      </c>
      <c r="H368" t="s">
        <v>33</v>
      </c>
      <c r="I368" t="s">
        <v>34</v>
      </c>
      <c r="J368" t="s">
        <v>38</v>
      </c>
      <c r="K368" t="s">
        <v>46</v>
      </c>
      <c r="L368" t="s">
        <v>52</v>
      </c>
      <c r="M368">
        <v>46812</v>
      </c>
      <c r="N368">
        <v>7.0000000000000007E-2</v>
      </c>
      <c r="O368">
        <v>11246</v>
      </c>
      <c r="P368">
        <v>16</v>
      </c>
      <c r="Q368" t="s">
        <v>58</v>
      </c>
      <c r="R368" t="s">
        <v>62</v>
      </c>
    </row>
    <row r="369" spans="1:18">
      <c r="A369">
        <v>10368</v>
      </c>
      <c r="B369" s="2">
        <v>44564</v>
      </c>
      <c r="C369" s="2">
        <v>44566</v>
      </c>
      <c r="D369" s="2">
        <v>44570</v>
      </c>
      <c r="E369" t="s">
        <v>21</v>
      </c>
      <c r="F369" t="s">
        <v>22</v>
      </c>
      <c r="G369" t="s">
        <v>25</v>
      </c>
      <c r="H369" t="s">
        <v>33</v>
      </c>
      <c r="I369" t="s">
        <v>35</v>
      </c>
      <c r="J369" t="s">
        <v>43</v>
      </c>
      <c r="K369" t="s">
        <v>46</v>
      </c>
      <c r="L369" t="s">
        <v>53</v>
      </c>
      <c r="M369">
        <v>63152</v>
      </c>
      <c r="N369">
        <v>0.19</v>
      </c>
      <c r="O369">
        <v>13021</v>
      </c>
      <c r="P369">
        <v>20</v>
      </c>
      <c r="Q369" t="s">
        <v>57</v>
      </c>
      <c r="R369" t="s">
        <v>60</v>
      </c>
    </row>
    <row r="370" spans="1:18">
      <c r="A370">
        <v>10369</v>
      </c>
      <c r="B370" s="2">
        <v>44565</v>
      </c>
      <c r="C370" s="2">
        <v>44567</v>
      </c>
      <c r="D370" s="2">
        <v>44571</v>
      </c>
      <c r="E370" t="s">
        <v>19</v>
      </c>
      <c r="F370" t="s">
        <v>22</v>
      </c>
      <c r="G370" t="s">
        <v>26</v>
      </c>
      <c r="H370" t="s">
        <v>30</v>
      </c>
      <c r="I370" t="s">
        <v>36</v>
      </c>
      <c r="J370" t="s">
        <v>43</v>
      </c>
      <c r="K370" t="s">
        <v>47</v>
      </c>
      <c r="L370" t="s">
        <v>53</v>
      </c>
      <c r="M370">
        <v>33881</v>
      </c>
      <c r="N370">
        <v>0.19</v>
      </c>
      <c r="O370">
        <v>4168</v>
      </c>
      <c r="P370">
        <v>2</v>
      </c>
      <c r="Q370" t="s">
        <v>54</v>
      </c>
      <c r="R370" t="s">
        <v>60</v>
      </c>
    </row>
    <row r="371" spans="1:18">
      <c r="A371">
        <v>10370</v>
      </c>
      <c r="B371" s="2">
        <v>44566</v>
      </c>
      <c r="C371" s="2">
        <v>44568</v>
      </c>
      <c r="D371" s="2">
        <v>44572</v>
      </c>
      <c r="E371" t="s">
        <v>19</v>
      </c>
      <c r="F371" t="s">
        <v>22</v>
      </c>
      <c r="G371" t="s">
        <v>23</v>
      </c>
      <c r="H371" t="s">
        <v>31</v>
      </c>
      <c r="I371" t="s">
        <v>34</v>
      </c>
      <c r="J371" t="s">
        <v>38</v>
      </c>
      <c r="K371" t="s">
        <v>49</v>
      </c>
      <c r="L371" t="s">
        <v>53</v>
      </c>
      <c r="M371">
        <v>45060</v>
      </c>
      <c r="N371">
        <v>0.05</v>
      </c>
      <c r="O371">
        <v>14282</v>
      </c>
      <c r="P371">
        <v>9</v>
      </c>
      <c r="Q371" t="s">
        <v>57</v>
      </c>
      <c r="R371" t="s">
        <v>60</v>
      </c>
    </row>
    <row r="372" spans="1:18">
      <c r="A372">
        <v>10371</v>
      </c>
      <c r="B372" s="2">
        <v>44567</v>
      </c>
      <c r="C372" s="2">
        <v>44569</v>
      </c>
      <c r="D372" s="2">
        <v>44573</v>
      </c>
      <c r="E372" t="s">
        <v>18</v>
      </c>
      <c r="F372" t="s">
        <v>22</v>
      </c>
      <c r="G372" t="s">
        <v>26</v>
      </c>
      <c r="H372" t="s">
        <v>30</v>
      </c>
      <c r="I372" t="s">
        <v>35</v>
      </c>
      <c r="J372" t="s">
        <v>39</v>
      </c>
      <c r="K372" t="s">
        <v>48</v>
      </c>
      <c r="L372" t="s">
        <v>53</v>
      </c>
      <c r="M372">
        <v>36655</v>
      </c>
      <c r="N372">
        <v>0.14000000000000001</v>
      </c>
      <c r="O372">
        <v>10038</v>
      </c>
      <c r="P372">
        <v>21</v>
      </c>
      <c r="Q372" t="s">
        <v>58</v>
      </c>
      <c r="R372" t="s">
        <v>60</v>
      </c>
    </row>
    <row r="373" spans="1:18">
      <c r="A373">
        <v>10372</v>
      </c>
      <c r="B373" s="2">
        <v>44568</v>
      </c>
      <c r="C373" s="2">
        <v>44570</v>
      </c>
      <c r="D373" s="2">
        <v>44574</v>
      </c>
      <c r="E373" t="s">
        <v>20</v>
      </c>
      <c r="F373" t="s">
        <v>22</v>
      </c>
      <c r="G373" t="s">
        <v>26</v>
      </c>
      <c r="H373" t="s">
        <v>30</v>
      </c>
      <c r="I373" t="s">
        <v>35</v>
      </c>
      <c r="J373" t="s">
        <v>41</v>
      </c>
      <c r="K373" t="s">
        <v>49</v>
      </c>
      <c r="L373" t="s">
        <v>52</v>
      </c>
      <c r="M373">
        <v>54476</v>
      </c>
      <c r="N373">
        <v>0.27</v>
      </c>
      <c r="O373">
        <v>3215</v>
      </c>
      <c r="P373">
        <v>21</v>
      </c>
      <c r="Q373" t="s">
        <v>56</v>
      </c>
      <c r="R373" t="s">
        <v>61</v>
      </c>
    </row>
    <row r="374" spans="1:18">
      <c r="A374">
        <v>10373</v>
      </c>
      <c r="B374" s="2">
        <v>44569</v>
      </c>
      <c r="C374" s="2">
        <v>44571</v>
      </c>
      <c r="D374" s="2">
        <v>44575</v>
      </c>
      <c r="E374" t="s">
        <v>19</v>
      </c>
      <c r="F374" t="s">
        <v>22</v>
      </c>
      <c r="G374" t="s">
        <v>25</v>
      </c>
      <c r="H374" t="s">
        <v>32</v>
      </c>
      <c r="I374" t="s">
        <v>34</v>
      </c>
      <c r="J374" t="s">
        <v>39</v>
      </c>
      <c r="K374" t="s">
        <v>44</v>
      </c>
      <c r="L374" t="s">
        <v>53</v>
      </c>
      <c r="M374">
        <v>62418</v>
      </c>
      <c r="N374">
        <v>0.2</v>
      </c>
      <c r="O374">
        <v>12350</v>
      </c>
      <c r="P374">
        <v>16</v>
      </c>
      <c r="Q374" t="s">
        <v>57</v>
      </c>
      <c r="R374" t="s">
        <v>61</v>
      </c>
    </row>
    <row r="375" spans="1:18">
      <c r="A375">
        <v>10374</v>
      </c>
      <c r="B375" s="2">
        <v>44570</v>
      </c>
      <c r="C375" s="2">
        <v>44572</v>
      </c>
      <c r="D375" s="2">
        <v>44576</v>
      </c>
      <c r="E375" t="s">
        <v>19</v>
      </c>
      <c r="F375" t="s">
        <v>22</v>
      </c>
      <c r="G375" t="s">
        <v>24</v>
      </c>
      <c r="H375" t="s">
        <v>33</v>
      </c>
      <c r="I375" t="s">
        <v>34</v>
      </c>
      <c r="J375" t="s">
        <v>40</v>
      </c>
      <c r="K375" t="s">
        <v>47</v>
      </c>
      <c r="L375" t="s">
        <v>53</v>
      </c>
      <c r="M375">
        <v>14573</v>
      </c>
      <c r="N375">
        <v>0.39</v>
      </c>
      <c r="O375">
        <v>5026</v>
      </c>
      <c r="P375">
        <v>17</v>
      </c>
      <c r="Q375" t="s">
        <v>54</v>
      </c>
      <c r="R375" t="s">
        <v>60</v>
      </c>
    </row>
    <row r="376" spans="1:18">
      <c r="A376">
        <v>10375</v>
      </c>
      <c r="B376" s="2">
        <v>44571</v>
      </c>
      <c r="C376" s="2">
        <v>44573</v>
      </c>
      <c r="D376" s="2">
        <v>44577</v>
      </c>
      <c r="E376" t="s">
        <v>21</v>
      </c>
      <c r="F376" t="s">
        <v>22</v>
      </c>
      <c r="G376" t="s">
        <v>25</v>
      </c>
      <c r="H376" t="s">
        <v>31</v>
      </c>
      <c r="I376" t="s">
        <v>35</v>
      </c>
      <c r="J376" t="s">
        <v>42</v>
      </c>
      <c r="K376" t="s">
        <v>44</v>
      </c>
      <c r="L376" t="s">
        <v>53</v>
      </c>
      <c r="M376">
        <v>17254</v>
      </c>
      <c r="N376">
        <v>0.06</v>
      </c>
      <c r="O376">
        <v>19756</v>
      </c>
      <c r="P376">
        <v>18</v>
      </c>
      <c r="Q376" t="s">
        <v>56</v>
      </c>
      <c r="R376" t="s">
        <v>59</v>
      </c>
    </row>
    <row r="377" spans="1:18">
      <c r="A377">
        <v>10376</v>
      </c>
      <c r="B377" s="2">
        <v>44572</v>
      </c>
      <c r="C377" s="2">
        <v>44574</v>
      </c>
      <c r="D377" s="2">
        <v>44578</v>
      </c>
      <c r="E377" t="s">
        <v>20</v>
      </c>
      <c r="F377" t="s">
        <v>22</v>
      </c>
      <c r="G377" t="s">
        <v>25</v>
      </c>
      <c r="H377" t="s">
        <v>31</v>
      </c>
      <c r="I377" t="s">
        <v>35</v>
      </c>
      <c r="J377" t="s">
        <v>37</v>
      </c>
      <c r="K377" t="s">
        <v>48</v>
      </c>
      <c r="L377" t="s">
        <v>53</v>
      </c>
      <c r="M377">
        <v>16589</v>
      </c>
      <c r="N377">
        <v>0.35</v>
      </c>
      <c r="O377">
        <v>4301</v>
      </c>
      <c r="P377">
        <v>6</v>
      </c>
      <c r="Q377" t="s">
        <v>54</v>
      </c>
      <c r="R377" t="s">
        <v>62</v>
      </c>
    </row>
    <row r="378" spans="1:18">
      <c r="A378">
        <v>10377</v>
      </c>
      <c r="B378" s="2">
        <v>44573</v>
      </c>
      <c r="C378" s="2">
        <v>44575</v>
      </c>
      <c r="D378" s="2">
        <v>44579</v>
      </c>
      <c r="E378" t="s">
        <v>18</v>
      </c>
      <c r="F378" t="s">
        <v>22</v>
      </c>
      <c r="G378" t="s">
        <v>27</v>
      </c>
      <c r="H378" t="s">
        <v>30</v>
      </c>
      <c r="I378" t="s">
        <v>35</v>
      </c>
      <c r="J378" t="s">
        <v>38</v>
      </c>
      <c r="K378" t="s">
        <v>49</v>
      </c>
      <c r="L378" t="s">
        <v>52</v>
      </c>
      <c r="M378">
        <v>23893</v>
      </c>
      <c r="N378">
        <v>0.31</v>
      </c>
      <c r="O378">
        <v>4014</v>
      </c>
      <c r="P378">
        <v>12</v>
      </c>
      <c r="Q378" t="s">
        <v>58</v>
      </c>
      <c r="R378" t="s">
        <v>61</v>
      </c>
    </row>
    <row r="379" spans="1:18">
      <c r="A379">
        <v>10378</v>
      </c>
      <c r="B379" s="2">
        <v>44574</v>
      </c>
      <c r="C379" s="2">
        <v>44576</v>
      </c>
      <c r="D379" s="2">
        <v>44580</v>
      </c>
      <c r="E379" t="s">
        <v>21</v>
      </c>
      <c r="F379" t="s">
        <v>22</v>
      </c>
      <c r="G379" t="s">
        <v>28</v>
      </c>
      <c r="H379" t="s">
        <v>30</v>
      </c>
      <c r="I379" t="s">
        <v>36</v>
      </c>
      <c r="J379" t="s">
        <v>43</v>
      </c>
      <c r="K379" t="s">
        <v>49</v>
      </c>
      <c r="L379" t="s">
        <v>53</v>
      </c>
      <c r="M379">
        <v>40054</v>
      </c>
      <c r="N379">
        <v>0.37</v>
      </c>
      <c r="O379">
        <v>19670</v>
      </c>
      <c r="P379">
        <v>15</v>
      </c>
      <c r="Q379" t="s">
        <v>58</v>
      </c>
      <c r="R379" t="s">
        <v>59</v>
      </c>
    </row>
    <row r="380" spans="1:18">
      <c r="A380">
        <v>10379</v>
      </c>
      <c r="B380" s="2">
        <v>44575</v>
      </c>
      <c r="C380" s="2">
        <v>44577</v>
      </c>
      <c r="D380" s="2">
        <v>44581</v>
      </c>
      <c r="E380" t="s">
        <v>19</v>
      </c>
      <c r="F380" t="s">
        <v>22</v>
      </c>
      <c r="G380" t="s">
        <v>25</v>
      </c>
      <c r="H380" t="s">
        <v>32</v>
      </c>
      <c r="I380" t="s">
        <v>35</v>
      </c>
      <c r="J380" t="s">
        <v>38</v>
      </c>
      <c r="K380" t="s">
        <v>44</v>
      </c>
      <c r="L380" t="s">
        <v>53</v>
      </c>
      <c r="M380">
        <v>70161</v>
      </c>
      <c r="N380">
        <v>0.31</v>
      </c>
      <c r="O380">
        <v>11266</v>
      </c>
      <c r="P380">
        <v>11</v>
      </c>
      <c r="Q380" t="s">
        <v>56</v>
      </c>
      <c r="R380" t="s">
        <v>59</v>
      </c>
    </row>
    <row r="381" spans="1:18">
      <c r="A381">
        <v>10380</v>
      </c>
      <c r="B381" s="2">
        <v>44576</v>
      </c>
      <c r="C381" s="2">
        <v>44578</v>
      </c>
      <c r="D381" s="2">
        <v>44582</v>
      </c>
      <c r="E381" t="s">
        <v>20</v>
      </c>
      <c r="F381" t="s">
        <v>22</v>
      </c>
      <c r="G381" t="s">
        <v>24</v>
      </c>
      <c r="H381" t="s">
        <v>32</v>
      </c>
      <c r="I381" t="s">
        <v>35</v>
      </c>
      <c r="J381" t="s">
        <v>41</v>
      </c>
      <c r="K381" t="s">
        <v>48</v>
      </c>
      <c r="L381" t="s">
        <v>53</v>
      </c>
      <c r="M381">
        <v>32240</v>
      </c>
      <c r="N381">
        <v>0.28000000000000003</v>
      </c>
      <c r="O381">
        <v>19138</v>
      </c>
      <c r="P381">
        <v>18</v>
      </c>
      <c r="Q381" t="s">
        <v>55</v>
      </c>
      <c r="R381" t="s">
        <v>61</v>
      </c>
    </row>
    <row r="382" spans="1:18">
      <c r="A382">
        <v>10381</v>
      </c>
      <c r="B382" s="2">
        <v>44577</v>
      </c>
      <c r="C382" s="2">
        <v>44579</v>
      </c>
      <c r="D382" s="2">
        <v>44583</v>
      </c>
      <c r="E382" t="s">
        <v>21</v>
      </c>
      <c r="F382" t="s">
        <v>22</v>
      </c>
      <c r="G382" t="s">
        <v>23</v>
      </c>
      <c r="H382" t="s">
        <v>33</v>
      </c>
      <c r="I382" t="s">
        <v>34</v>
      </c>
      <c r="J382" t="s">
        <v>41</v>
      </c>
      <c r="K382" t="s">
        <v>50</v>
      </c>
      <c r="L382" t="s">
        <v>52</v>
      </c>
      <c r="M382">
        <v>74469</v>
      </c>
      <c r="N382">
        <v>0.33</v>
      </c>
      <c r="O382">
        <v>17234</v>
      </c>
      <c r="P382">
        <v>8</v>
      </c>
      <c r="Q382" t="s">
        <v>56</v>
      </c>
      <c r="R382" t="s">
        <v>61</v>
      </c>
    </row>
    <row r="383" spans="1:18">
      <c r="A383">
        <v>10382</v>
      </c>
      <c r="B383" s="2">
        <v>44578</v>
      </c>
      <c r="C383" s="2">
        <v>44580</v>
      </c>
      <c r="D383" s="2">
        <v>44584</v>
      </c>
      <c r="E383" t="s">
        <v>19</v>
      </c>
      <c r="F383" t="s">
        <v>22</v>
      </c>
      <c r="G383" t="s">
        <v>26</v>
      </c>
      <c r="H383" t="s">
        <v>33</v>
      </c>
      <c r="I383" t="s">
        <v>35</v>
      </c>
      <c r="J383" t="s">
        <v>41</v>
      </c>
      <c r="K383" t="s">
        <v>45</v>
      </c>
      <c r="L383" t="s">
        <v>52</v>
      </c>
      <c r="M383">
        <v>43663</v>
      </c>
      <c r="N383">
        <v>0.34</v>
      </c>
      <c r="O383">
        <v>14510</v>
      </c>
      <c r="P383">
        <v>12</v>
      </c>
      <c r="Q383" t="s">
        <v>55</v>
      </c>
      <c r="R383" t="s">
        <v>61</v>
      </c>
    </row>
    <row r="384" spans="1:18">
      <c r="A384">
        <v>10383</v>
      </c>
      <c r="B384" s="2">
        <v>44579</v>
      </c>
      <c r="C384" s="2">
        <v>44581</v>
      </c>
      <c r="D384" s="2">
        <v>44585</v>
      </c>
      <c r="E384" t="s">
        <v>19</v>
      </c>
      <c r="F384" t="s">
        <v>22</v>
      </c>
      <c r="G384" t="s">
        <v>28</v>
      </c>
      <c r="H384" t="s">
        <v>25</v>
      </c>
      <c r="I384" t="s">
        <v>34</v>
      </c>
      <c r="J384" t="s">
        <v>38</v>
      </c>
      <c r="K384" t="s">
        <v>45</v>
      </c>
      <c r="L384" t="s">
        <v>53</v>
      </c>
      <c r="M384">
        <v>66977</v>
      </c>
      <c r="N384">
        <v>0.12</v>
      </c>
      <c r="O384">
        <v>6432</v>
      </c>
      <c r="P384">
        <v>4</v>
      </c>
      <c r="Q384" t="s">
        <v>58</v>
      </c>
      <c r="R384" t="s">
        <v>62</v>
      </c>
    </row>
    <row r="385" spans="1:18">
      <c r="A385">
        <v>10384</v>
      </c>
      <c r="B385" s="2">
        <v>44580</v>
      </c>
      <c r="C385" s="2">
        <v>44582</v>
      </c>
      <c r="D385" s="2">
        <v>44586</v>
      </c>
      <c r="E385" t="s">
        <v>19</v>
      </c>
      <c r="F385" t="s">
        <v>22</v>
      </c>
      <c r="G385" t="s">
        <v>28</v>
      </c>
      <c r="H385" t="s">
        <v>31</v>
      </c>
      <c r="I385" t="s">
        <v>36</v>
      </c>
      <c r="J385" t="s">
        <v>42</v>
      </c>
      <c r="K385" t="s">
        <v>49</v>
      </c>
      <c r="L385" t="s">
        <v>53</v>
      </c>
      <c r="M385">
        <v>6742</v>
      </c>
      <c r="N385">
        <v>0.23</v>
      </c>
      <c r="O385">
        <v>14171</v>
      </c>
      <c r="P385">
        <v>9</v>
      </c>
      <c r="Q385" t="s">
        <v>55</v>
      </c>
      <c r="R385" t="s">
        <v>60</v>
      </c>
    </row>
    <row r="386" spans="1:18">
      <c r="A386">
        <v>10385</v>
      </c>
      <c r="B386" s="2">
        <v>44581</v>
      </c>
      <c r="C386" s="2">
        <v>44583</v>
      </c>
      <c r="D386" s="2">
        <v>44587</v>
      </c>
      <c r="E386" t="s">
        <v>18</v>
      </c>
      <c r="F386" t="s">
        <v>22</v>
      </c>
      <c r="G386" t="s">
        <v>23</v>
      </c>
      <c r="H386" t="s">
        <v>25</v>
      </c>
      <c r="I386" t="s">
        <v>36</v>
      </c>
      <c r="J386" t="s">
        <v>39</v>
      </c>
      <c r="K386" t="s">
        <v>49</v>
      </c>
      <c r="L386" t="s">
        <v>51</v>
      </c>
      <c r="M386">
        <v>64243</v>
      </c>
      <c r="N386">
        <v>0.22</v>
      </c>
      <c r="O386">
        <v>3122</v>
      </c>
      <c r="P386">
        <v>12</v>
      </c>
      <c r="Q386" t="s">
        <v>55</v>
      </c>
      <c r="R386" t="s">
        <v>60</v>
      </c>
    </row>
    <row r="387" spans="1:18">
      <c r="A387">
        <v>10386</v>
      </c>
      <c r="B387" s="2">
        <v>44582</v>
      </c>
      <c r="C387" s="2">
        <v>44584</v>
      </c>
      <c r="D387" s="2">
        <v>44588</v>
      </c>
      <c r="E387" t="s">
        <v>19</v>
      </c>
      <c r="F387" t="s">
        <v>22</v>
      </c>
      <c r="G387" t="s">
        <v>28</v>
      </c>
      <c r="H387" t="s">
        <v>32</v>
      </c>
      <c r="I387" t="s">
        <v>36</v>
      </c>
      <c r="J387" t="s">
        <v>38</v>
      </c>
      <c r="K387" t="s">
        <v>47</v>
      </c>
      <c r="L387" t="s">
        <v>51</v>
      </c>
      <c r="M387">
        <v>35357</v>
      </c>
      <c r="N387">
        <v>0.11</v>
      </c>
      <c r="O387">
        <v>8573</v>
      </c>
      <c r="P387">
        <v>6</v>
      </c>
      <c r="Q387" t="s">
        <v>56</v>
      </c>
      <c r="R387" t="s">
        <v>60</v>
      </c>
    </row>
    <row r="388" spans="1:18">
      <c r="A388">
        <v>10387</v>
      </c>
      <c r="B388" s="2">
        <v>44583</v>
      </c>
      <c r="C388" s="2">
        <v>44585</v>
      </c>
      <c r="D388" s="2">
        <v>44589</v>
      </c>
      <c r="E388" t="s">
        <v>18</v>
      </c>
      <c r="F388" t="s">
        <v>22</v>
      </c>
      <c r="G388" t="s">
        <v>27</v>
      </c>
      <c r="H388" t="s">
        <v>31</v>
      </c>
      <c r="I388" t="s">
        <v>36</v>
      </c>
      <c r="J388" t="s">
        <v>37</v>
      </c>
      <c r="K388" t="s">
        <v>47</v>
      </c>
      <c r="L388" t="s">
        <v>53</v>
      </c>
      <c r="M388">
        <v>63694</v>
      </c>
      <c r="N388">
        <v>0.04</v>
      </c>
      <c r="O388">
        <v>10539</v>
      </c>
      <c r="P388">
        <v>10</v>
      </c>
      <c r="Q388" t="s">
        <v>56</v>
      </c>
      <c r="R388" t="s">
        <v>62</v>
      </c>
    </row>
    <row r="389" spans="1:18">
      <c r="A389">
        <v>10388</v>
      </c>
      <c r="B389" s="2">
        <v>44584</v>
      </c>
      <c r="C389" s="2">
        <v>44586</v>
      </c>
      <c r="D389" s="2">
        <v>44590</v>
      </c>
      <c r="E389" t="s">
        <v>20</v>
      </c>
      <c r="F389" t="s">
        <v>22</v>
      </c>
      <c r="G389" t="s">
        <v>23</v>
      </c>
      <c r="H389" t="s">
        <v>30</v>
      </c>
      <c r="I389" t="s">
        <v>36</v>
      </c>
      <c r="J389" t="s">
        <v>41</v>
      </c>
      <c r="K389" t="s">
        <v>45</v>
      </c>
      <c r="L389" t="s">
        <v>52</v>
      </c>
      <c r="M389">
        <v>16277</v>
      </c>
      <c r="N389">
        <v>0.38</v>
      </c>
      <c r="O389">
        <v>14543</v>
      </c>
      <c r="P389">
        <v>5</v>
      </c>
      <c r="Q389" t="s">
        <v>55</v>
      </c>
      <c r="R389" t="s">
        <v>61</v>
      </c>
    </row>
    <row r="390" spans="1:18">
      <c r="A390">
        <v>10389</v>
      </c>
      <c r="B390" s="2">
        <v>44585</v>
      </c>
      <c r="C390" s="2">
        <v>44587</v>
      </c>
      <c r="D390" s="2">
        <v>44591</v>
      </c>
      <c r="E390" t="s">
        <v>21</v>
      </c>
      <c r="F390" t="s">
        <v>22</v>
      </c>
      <c r="G390" t="s">
        <v>23</v>
      </c>
      <c r="H390" t="s">
        <v>32</v>
      </c>
      <c r="I390" t="s">
        <v>34</v>
      </c>
      <c r="J390" t="s">
        <v>42</v>
      </c>
      <c r="K390" t="s">
        <v>47</v>
      </c>
      <c r="L390" t="s">
        <v>52</v>
      </c>
      <c r="M390">
        <v>34449</v>
      </c>
      <c r="N390">
        <v>0.08</v>
      </c>
      <c r="O390">
        <v>4993</v>
      </c>
      <c r="P390">
        <v>7</v>
      </c>
      <c r="Q390" t="s">
        <v>58</v>
      </c>
      <c r="R390" t="s">
        <v>61</v>
      </c>
    </row>
    <row r="391" spans="1:18">
      <c r="A391">
        <v>10390</v>
      </c>
      <c r="B391" s="2">
        <v>44586</v>
      </c>
      <c r="C391" s="2">
        <v>44588</v>
      </c>
      <c r="D391" s="2">
        <v>44592</v>
      </c>
      <c r="E391" t="s">
        <v>19</v>
      </c>
      <c r="F391" t="s">
        <v>22</v>
      </c>
      <c r="G391" t="s">
        <v>26</v>
      </c>
      <c r="H391" t="s">
        <v>31</v>
      </c>
      <c r="I391" t="s">
        <v>34</v>
      </c>
      <c r="J391" t="s">
        <v>37</v>
      </c>
      <c r="K391" t="s">
        <v>48</v>
      </c>
      <c r="L391" t="s">
        <v>52</v>
      </c>
      <c r="M391">
        <v>72360</v>
      </c>
      <c r="N391">
        <v>0.36</v>
      </c>
      <c r="O391">
        <v>10507</v>
      </c>
      <c r="P391">
        <v>19</v>
      </c>
      <c r="Q391" t="s">
        <v>58</v>
      </c>
      <c r="R391" t="s">
        <v>59</v>
      </c>
    </row>
    <row r="392" spans="1:18">
      <c r="A392">
        <v>10391</v>
      </c>
      <c r="B392" s="2">
        <v>44587</v>
      </c>
      <c r="C392" s="2">
        <v>44589</v>
      </c>
      <c r="D392" s="2">
        <v>44593</v>
      </c>
      <c r="E392" t="s">
        <v>20</v>
      </c>
      <c r="F392" t="s">
        <v>22</v>
      </c>
      <c r="G392" t="s">
        <v>23</v>
      </c>
      <c r="H392" t="s">
        <v>25</v>
      </c>
      <c r="I392" t="s">
        <v>35</v>
      </c>
      <c r="J392" t="s">
        <v>37</v>
      </c>
      <c r="K392" t="s">
        <v>46</v>
      </c>
      <c r="L392" t="s">
        <v>52</v>
      </c>
      <c r="M392">
        <v>31414</v>
      </c>
      <c r="N392">
        <v>0</v>
      </c>
      <c r="O392">
        <v>6599</v>
      </c>
      <c r="P392">
        <v>14</v>
      </c>
      <c r="Q392" t="s">
        <v>58</v>
      </c>
      <c r="R392" t="s">
        <v>59</v>
      </c>
    </row>
    <row r="393" spans="1:18">
      <c r="A393">
        <v>10392</v>
      </c>
      <c r="B393" s="2">
        <v>44588</v>
      </c>
      <c r="C393" s="2">
        <v>44590</v>
      </c>
      <c r="D393" s="2">
        <v>44594</v>
      </c>
      <c r="E393" t="s">
        <v>21</v>
      </c>
      <c r="F393" t="s">
        <v>22</v>
      </c>
      <c r="G393" t="s">
        <v>23</v>
      </c>
      <c r="H393" t="s">
        <v>31</v>
      </c>
      <c r="I393" t="s">
        <v>35</v>
      </c>
      <c r="J393" t="s">
        <v>39</v>
      </c>
      <c r="K393" t="s">
        <v>47</v>
      </c>
      <c r="L393" t="s">
        <v>51</v>
      </c>
      <c r="M393">
        <v>24867</v>
      </c>
      <c r="N393">
        <v>0.11</v>
      </c>
      <c r="O393">
        <v>3122</v>
      </c>
      <c r="P393">
        <v>20</v>
      </c>
      <c r="Q393" t="s">
        <v>57</v>
      </c>
      <c r="R393" t="s">
        <v>59</v>
      </c>
    </row>
    <row r="394" spans="1:18">
      <c r="A394">
        <v>10393</v>
      </c>
      <c r="B394" s="2">
        <v>44589</v>
      </c>
      <c r="C394" s="2">
        <v>44591</v>
      </c>
      <c r="D394" s="2">
        <v>44595</v>
      </c>
      <c r="E394" t="s">
        <v>20</v>
      </c>
      <c r="F394" t="s">
        <v>22</v>
      </c>
      <c r="G394" t="s">
        <v>24</v>
      </c>
      <c r="H394" t="s">
        <v>25</v>
      </c>
      <c r="I394" t="s">
        <v>35</v>
      </c>
      <c r="J394" t="s">
        <v>38</v>
      </c>
      <c r="K394" t="s">
        <v>45</v>
      </c>
      <c r="L394" t="s">
        <v>51</v>
      </c>
      <c r="M394">
        <v>21389</v>
      </c>
      <c r="N394">
        <v>0.15</v>
      </c>
      <c r="O394">
        <v>14136</v>
      </c>
      <c r="P394">
        <v>14</v>
      </c>
      <c r="Q394" t="s">
        <v>55</v>
      </c>
      <c r="R394" t="s">
        <v>62</v>
      </c>
    </row>
    <row r="395" spans="1:18">
      <c r="A395">
        <v>10394</v>
      </c>
      <c r="B395" s="2">
        <v>44590</v>
      </c>
      <c r="C395" s="2">
        <v>44592</v>
      </c>
      <c r="D395" s="2">
        <v>44596</v>
      </c>
      <c r="E395" t="s">
        <v>21</v>
      </c>
      <c r="F395" t="s">
        <v>22</v>
      </c>
      <c r="G395" t="s">
        <v>26</v>
      </c>
      <c r="H395" t="s">
        <v>32</v>
      </c>
      <c r="I395" t="s">
        <v>35</v>
      </c>
      <c r="J395" t="s">
        <v>43</v>
      </c>
      <c r="K395" t="s">
        <v>50</v>
      </c>
      <c r="L395" t="s">
        <v>53</v>
      </c>
      <c r="M395">
        <v>63614</v>
      </c>
      <c r="N395">
        <v>0.23</v>
      </c>
      <c r="O395">
        <v>573</v>
      </c>
      <c r="P395">
        <v>23</v>
      </c>
      <c r="Q395" t="s">
        <v>55</v>
      </c>
      <c r="R395" t="s">
        <v>59</v>
      </c>
    </row>
    <row r="396" spans="1:18">
      <c r="A396">
        <v>10395</v>
      </c>
      <c r="B396" s="2">
        <v>44591</v>
      </c>
      <c r="C396" s="2">
        <v>44593</v>
      </c>
      <c r="D396" s="2">
        <v>44597</v>
      </c>
      <c r="E396" t="s">
        <v>21</v>
      </c>
      <c r="F396" t="s">
        <v>22</v>
      </c>
      <c r="G396" t="s">
        <v>28</v>
      </c>
      <c r="H396" t="s">
        <v>32</v>
      </c>
      <c r="I396" t="s">
        <v>36</v>
      </c>
      <c r="J396" t="s">
        <v>37</v>
      </c>
      <c r="K396" t="s">
        <v>50</v>
      </c>
      <c r="L396" t="s">
        <v>52</v>
      </c>
      <c r="M396">
        <v>74031</v>
      </c>
      <c r="N396">
        <v>0.17</v>
      </c>
      <c r="O396">
        <v>1204</v>
      </c>
      <c r="P396">
        <v>8</v>
      </c>
      <c r="Q396" t="s">
        <v>55</v>
      </c>
      <c r="R396" t="s">
        <v>60</v>
      </c>
    </row>
    <row r="397" spans="1:18">
      <c r="A397">
        <v>10396</v>
      </c>
      <c r="B397" s="2">
        <v>44592</v>
      </c>
      <c r="C397" s="2">
        <v>44594</v>
      </c>
      <c r="D397" s="2">
        <v>44598</v>
      </c>
      <c r="E397" t="s">
        <v>20</v>
      </c>
      <c r="F397" t="s">
        <v>22</v>
      </c>
      <c r="G397" t="s">
        <v>26</v>
      </c>
      <c r="H397" t="s">
        <v>30</v>
      </c>
      <c r="I397" t="s">
        <v>36</v>
      </c>
      <c r="J397" t="s">
        <v>39</v>
      </c>
      <c r="K397" t="s">
        <v>45</v>
      </c>
      <c r="L397" t="s">
        <v>53</v>
      </c>
      <c r="M397">
        <v>66775</v>
      </c>
      <c r="N397">
        <v>0.05</v>
      </c>
      <c r="O397">
        <v>281</v>
      </c>
      <c r="P397">
        <v>16</v>
      </c>
      <c r="Q397" t="s">
        <v>56</v>
      </c>
      <c r="R397" t="s">
        <v>59</v>
      </c>
    </row>
    <row r="398" spans="1:18">
      <c r="A398">
        <v>10397</v>
      </c>
      <c r="B398" s="2">
        <v>44593</v>
      </c>
      <c r="C398" s="2">
        <v>44595</v>
      </c>
      <c r="D398" s="2">
        <v>44599</v>
      </c>
      <c r="E398" t="s">
        <v>18</v>
      </c>
      <c r="F398" t="s">
        <v>22</v>
      </c>
      <c r="G398" t="s">
        <v>27</v>
      </c>
      <c r="H398" t="s">
        <v>32</v>
      </c>
      <c r="I398" t="s">
        <v>36</v>
      </c>
      <c r="J398" t="s">
        <v>41</v>
      </c>
      <c r="K398" t="s">
        <v>45</v>
      </c>
      <c r="L398" t="s">
        <v>52</v>
      </c>
      <c r="M398">
        <v>48486</v>
      </c>
      <c r="N398">
        <v>0.2</v>
      </c>
      <c r="O398">
        <v>3625</v>
      </c>
      <c r="P398">
        <v>24</v>
      </c>
      <c r="Q398" t="s">
        <v>57</v>
      </c>
      <c r="R398" t="s">
        <v>61</v>
      </c>
    </row>
    <row r="399" spans="1:18">
      <c r="A399">
        <v>10398</v>
      </c>
      <c r="B399" s="2">
        <v>44594</v>
      </c>
      <c r="C399" s="2">
        <v>44596</v>
      </c>
      <c r="D399" s="2">
        <v>44600</v>
      </c>
      <c r="E399" t="s">
        <v>18</v>
      </c>
      <c r="F399" t="s">
        <v>22</v>
      </c>
      <c r="G399" t="s">
        <v>24</v>
      </c>
      <c r="H399" t="s">
        <v>33</v>
      </c>
      <c r="I399" t="s">
        <v>36</v>
      </c>
      <c r="J399" t="s">
        <v>39</v>
      </c>
      <c r="K399" t="s">
        <v>44</v>
      </c>
      <c r="L399" t="s">
        <v>52</v>
      </c>
      <c r="M399">
        <v>66062</v>
      </c>
      <c r="N399">
        <v>0.31</v>
      </c>
      <c r="O399">
        <v>7542</v>
      </c>
      <c r="P399">
        <v>21</v>
      </c>
      <c r="Q399" t="s">
        <v>55</v>
      </c>
      <c r="R399" t="s">
        <v>60</v>
      </c>
    </row>
    <row r="400" spans="1:18">
      <c r="A400">
        <v>10399</v>
      </c>
      <c r="B400" s="2">
        <v>44595</v>
      </c>
      <c r="C400" s="2">
        <v>44597</v>
      </c>
      <c r="D400" s="2">
        <v>44601</v>
      </c>
      <c r="E400" t="s">
        <v>20</v>
      </c>
      <c r="F400" t="s">
        <v>22</v>
      </c>
      <c r="G400" t="s">
        <v>24</v>
      </c>
      <c r="H400" t="s">
        <v>30</v>
      </c>
      <c r="I400" t="s">
        <v>36</v>
      </c>
      <c r="J400" t="s">
        <v>39</v>
      </c>
      <c r="K400" t="s">
        <v>49</v>
      </c>
      <c r="L400" t="s">
        <v>52</v>
      </c>
      <c r="M400">
        <v>22074</v>
      </c>
      <c r="N400">
        <v>0.16</v>
      </c>
      <c r="O400">
        <v>16118</v>
      </c>
      <c r="P400">
        <v>5</v>
      </c>
      <c r="Q400" t="s">
        <v>56</v>
      </c>
      <c r="R400" t="s">
        <v>60</v>
      </c>
    </row>
    <row r="401" spans="1:18">
      <c r="A401">
        <v>10400</v>
      </c>
      <c r="B401" s="2">
        <v>44596</v>
      </c>
      <c r="C401" s="2">
        <v>44598</v>
      </c>
      <c r="D401" s="2">
        <v>44602</v>
      </c>
      <c r="E401" t="s">
        <v>20</v>
      </c>
      <c r="F401" t="s">
        <v>22</v>
      </c>
      <c r="G401" t="s">
        <v>26</v>
      </c>
      <c r="H401" t="s">
        <v>30</v>
      </c>
      <c r="I401" t="s">
        <v>35</v>
      </c>
      <c r="J401" t="s">
        <v>37</v>
      </c>
      <c r="K401" t="s">
        <v>48</v>
      </c>
      <c r="L401" t="s">
        <v>53</v>
      </c>
      <c r="M401">
        <v>5845</v>
      </c>
      <c r="N401">
        <v>0.06</v>
      </c>
      <c r="O401">
        <v>9702</v>
      </c>
      <c r="P401">
        <v>11</v>
      </c>
      <c r="Q401" t="s">
        <v>58</v>
      </c>
      <c r="R401" t="s">
        <v>60</v>
      </c>
    </row>
    <row r="402" spans="1:18">
      <c r="A402">
        <v>10401</v>
      </c>
      <c r="B402" s="2">
        <v>44597</v>
      </c>
      <c r="C402" s="2">
        <v>44599</v>
      </c>
      <c r="D402" s="2">
        <v>44603</v>
      </c>
      <c r="E402" t="s">
        <v>21</v>
      </c>
      <c r="F402" t="s">
        <v>22</v>
      </c>
      <c r="G402" t="s">
        <v>26</v>
      </c>
      <c r="H402" t="s">
        <v>31</v>
      </c>
      <c r="I402" t="s">
        <v>36</v>
      </c>
      <c r="J402" t="s">
        <v>42</v>
      </c>
      <c r="K402" t="s">
        <v>50</v>
      </c>
      <c r="L402" t="s">
        <v>51</v>
      </c>
      <c r="M402">
        <v>41885</v>
      </c>
      <c r="N402">
        <v>0.26</v>
      </c>
      <c r="O402">
        <v>9207</v>
      </c>
      <c r="P402">
        <v>8</v>
      </c>
      <c r="Q402" t="s">
        <v>56</v>
      </c>
      <c r="R402" t="s">
        <v>61</v>
      </c>
    </row>
    <row r="403" spans="1:18">
      <c r="A403">
        <v>10402</v>
      </c>
      <c r="B403" s="2">
        <v>44598</v>
      </c>
      <c r="C403" s="2">
        <v>44600</v>
      </c>
      <c r="D403" s="2">
        <v>44604</v>
      </c>
      <c r="E403" t="s">
        <v>18</v>
      </c>
      <c r="F403" t="s">
        <v>22</v>
      </c>
      <c r="G403" t="s">
        <v>26</v>
      </c>
      <c r="H403" t="s">
        <v>32</v>
      </c>
      <c r="I403" t="s">
        <v>35</v>
      </c>
      <c r="J403" t="s">
        <v>38</v>
      </c>
      <c r="K403" t="s">
        <v>49</v>
      </c>
      <c r="L403" t="s">
        <v>53</v>
      </c>
      <c r="M403">
        <v>4041</v>
      </c>
      <c r="N403">
        <v>0.21</v>
      </c>
      <c r="O403">
        <v>5472</v>
      </c>
      <c r="P403">
        <v>20</v>
      </c>
      <c r="Q403" t="s">
        <v>56</v>
      </c>
      <c r="R403" t="s">
        <v>59</v>
      </c>
    </row>
    <row r="404" spans="1:18">
      <c r="A404">
        <v>10403</v>
      </c>
      <c r="B404" s="2">
        <v>44599</v>
      </c>
      <c r="C404" s="2">
        <v>44601</v>
      </c>
      <c r="D404" s="2">
        <v>44605</v>
      </c>
      <c r="E404" t="s">
        <v>20</v>
      </c>
      <c r="F404" t="s">
        <v>22</v>
      </c>
      <c r="G404" t="s">
        <v>23</v>
      </c>
      <c r="H404" t="s">
        <v>31</v>
      </c>
      <c r="I404" t="s">
        <v>34</v>
      </c>
      <c r="J404" t="s">
        <v>38</v>
      </c>
      <c r="K404" t="s">
        <v>50</v>
      </c>
      <c r="L404" t="s">
        <v>52</v>
      </c>
      <c r="M404">
        <v>17692</v>
      </c>
      <c r="N404">
        <v>0.13</v>
      </c>
      <c r="O404">
        <v>1609</v>
      </c>
      <c r="P404">
        <v>20</v>
      </c>
      <c r="Q404" t="s">
        <v>58</v>
      </c>
      <c r="R404" t="s">
        <v>59</v>
      </c>
    </row>
    <row r="405" spans="1:18">
      <c r="A405">
        <v>10404</v>
      </c>
      <c r="B405" s="2">
        <v>44600</v>
      </c>
      <c r="C405" s="2">
        <v>44602</v>
      </c>
      <c r="D405" s="2">
        <v>44606</v>
      </c>
      <c r="E405" t="s">
        <v>19</v>
      </c>
      <c r="F405" t="s">
        <v>22</v>
      </c>
      <c r="G405" t="s">
        <v>23</v>
      </c>
      <c r="H405" t="s">
        <v>25</v>
      </c>
      <c r="I405" t="s">
        <v>36</v>
      </c>
      <c r="J405" t="s">
        <v>38</v>
      </c>
      <c r="K405" t="s">
        <v>49</v>
      </c>
      <c r="L405" t="s">
        <v>53</v>
      </c>
      <c r="M405">
        <v>6183</v>
      </c>
      <c r="N405">
        <v>0.38</v>
      </c>
      <c r="O405">
        <v>13145</v>
      </c>
      <c r="P405">
        <v>18</v>
      </c>
      <c r="Q405" t="s">
        <v>57</v>
      </c>
      <c r="R405" t="s">
        <v>61</v>
      </c>
    </row>
    <row r="406" spans="1:18">
      <c r="A406">
        <v>10405</v>
      </c>
      <c r="B406" s="2">
        <v>44601</v>
      </c>
      <c r="C406" s="2">
        <v>44603</v>
      </c>
      <c r="D406" s="2">
        <v>44607</v>
      </c>
      <c r="E406" t="s">
        <v>21</v>
      </c>
      <c r="F406" t="s">
        <v>22</v>
      </c>
      <c r="G406" t="s">
        <v>28</v>
      </c>
      <c r="H406" t="s">
        <v>33</v>
      </c>
      <c r="I406" t="s">
        <v>36</v>
      </c>
      <c r="J406" t="s">
        <v>43</v>
      </c>
      <c r="K406" t="s">
        <v>49</v>
      </c>
      <c r="L406" t="s">
        <v>52</v>
      </c>
      <c r="M406">
        <v>10458</v>
      </c>
      <c r="N406">
        <v>0.06</v>
      </c>
      <c r="O406">
        <v>12835</v>
      </c>
      <c r="P406">
        <v>4</v>
      </c>
      <c r="Q406" t="s">
        <v>58</v>
      </c>
      <c r="R406" t="s">
        <v>62</v>
      </c>
    </row>
    <row r="407" spans="1:18">
      <c r="A407">
        <v>10406</v>
      </c>
      <c r="B407" s="2">
        <v>44602</v>
      </c>
      <c r="C407" s="2">
        <v>44604</v>
      </c>
      <c r="D407" s="2">
        <v>44608</v>
      </c>
      <c r="E407" t="s">
        <v>21</v>
      </c>
      <c r="F407" t="s">
        <v>22</v>
      </c>
      <c r="G407" t="s">
        <v>25</v>
      </c>
      <c r="H407" t="s">
        <v>29</v>
      </c>
      <c r="I407" t="s">
        <v>36</v>
      </c>
      <c r="J407" t="s">
        <v>42</v>
      </c>
      <c r="K407" t="s">
        <v>49</v>
      </c>
      <c r="L407" t="s">
        <v>53</v>
      </c>
      <c r="M407">
        <v>13637</v>
      </c>
      <c r="N407">
        <v>0.32</v>
      </c>
      <c r="O407">
        <v>5385</v>
      </c>
      <c r="P407">
        <v>12</v>
      </c>
      <c r="Q407" t="s">
        <v>57</v>
      </c>
      <c r="R407" t="s">
        <v>61</v>
      </c>
    </row>
    <row r="408" spans="1:18">
      <c r="A408">
        <v>10407</v>
      </c>
      <c r="B408" s="2">
        <v>44603</v>
      </c>
      <c r="C408" s="2">
        <v>44605</v>
      </c>
      <c r="D408" s="2">
        <v>44609</v>
      </c>
      <c r="E408" t="s">
        <v>21</v>
      </c>
      <c r="F408" t="s">
        <v>22</v>
      </c>
      <c r="G408" t="s">
        <v>24</v>
      </c>
      <c r="H408" t="s">
        <v>32</v>
      </c>
      <c r="I408" t="s">
        <v>35</v>
      </c>
      <c r="J408" t="s">
        <v>39</v>
      </c>
      <c r="K408" t="s">
        <v>49</v>
      </c>
      <c r="L408" t="s">
        <v>53</v>
      </c>
      <c r="M408">
        <v>35295</v>
      </c>
      <c r="N408">
        <v>0.24</v>
      </c>
      <c r="O408">
        <v>10700</v>
      </c>
      <c r="P408">
        <v>20</v>
      </c>
      <c r="Q408" t="s">
        <v>57</v>
      </c>
      <c r="R408" t="s">
        <v>61</v>
      </c>
    </row>
    <row r="409" spans="1:18">
      <c r="A409">
        <v>10408</v>
      </c>
      <c r="B409" s="2">
        <v>44604</v>
      </c>
      <c r="C409" s="2">
        <v>44606</v>
      </c>
      <c r="D409" s="2">
        <v>44610</v>
      </c>
      <c r="E409" t="s">
        <v>19</v>
      </c>
      <c r="F409" t="s">
        <v>22</v>
      </c>
      <c r="G409" t="s">
        <v>27</v>
      </c>
      <c r="H409" t="s">
        <v>33</v>
      </c>
      <c r="I409" t="s">
        <v>35</v>
      </c>
      <c r="J409" t="s">
        <v>43</v>
      </c>
      <c r="K409" t="s">
        <v>45</v>
      </c>
      <c r="L409" t="s">
        <v>52</v>
      </c>
      <c r="M409">
        <v>6801</v>
      </c>
      <c r="N409">
        <v>0.25</v>
      </c>
      <c r="O409">
        <v>7135</v>
      </c>
      <c r="P409">
        <v>3</v>
      </c>
      <c r="Q409" t="s">
        <v>58</v>
      </c>
      <c r="R409" t="s">
        <v>61</v>
      </c>
    </row>
    <row r="410" spans="1:18">
      <c r="A410">
        <v>10409</v>
      </c>
      <c r="B410" s="2">
        <v>44605</v>
      </c>
      <c r="C410" s="2">
        <v>44607</v>
      </c>
      <c r="D410" s="2">
        <v>44611</v>
      </c>
      <c r="E410" t="s">
        <v>21</v>
      </c>
      <c r="F410" t="s">
        <v>22</v>
      </c>
      <c r="G410" t="s">
        <v>24</v>
      </c>
      <c r="H410" t="s">
        <v>30</v>
      </c>
      <c r="I410" t="s">
        <v>35</v>
      </c>
      <c r="J410" t="s">
        <v>43</v>
      </c>
      <c r="K410" t="s">
        <v>49</v>
      </c>
      <c r="L410" t="s">
        <v>53</v>
      </c>
      <c r="M410">
        <v>34467</v>
      </c>
      <c r="N410">
        <v>0.12</v>
      </c>
      <c r="O410">
        <v>4925</v>
      </c>
      <c r="P410">
        <v>1</v>
      </c>
      <c r="Q410" t="s">
        <v>57</v>
      </c>
      <c r="R410" t="s">
        <v>60</v>
      </c>
    </row>
    <row r="411" spans="1:18">
      <c r="A411">
        <v>10410</v>
      </c>
      <c r="B411" s="2">
        <v>44606</v>
      </c>
      <c r="C411" s="2">
        <v>44608</v>
      </c>
      <c r="D411" s="2">
        <v>44612</v>
      </c>
      <c r="E411" t="s">
        <v>21</v>
      </c>
      <c r="F411" t="s">
        <v>22</v>
      </c>
      <c r="G411" t="s">
        <v>23</v>
      </c>
      <c r="H411" t="s">
        <v>33</v>
      </c>
      <c r="I411" t="s">
        <v>35</v>
      </c>
      <c r="J411" t="s">
        <v>40</v>
      </c>
      <c r="K411" t="s">
        <v>50</v>
      </c>
      <c r="L411" t="s">
        <v>51</v>
      </c>
      <c r="M411">
        <v>10235</v>
      </c>
      <c r="N411">
        <v>0.18</v>
      </c>
      <c r="O411">
        <v>11607</v>
      </c>
      <c r="P411">
        <v>1</v>
      </c>
      <c r="Q411" t="s">
        <v>58</v>
      </c>
      <c r="R411" t="s">
        <v>62</v>
      </c>
    </row>
    <row r="412" spans="1:18">
      <c r="A412">
        <v>10411</v>
      </c>
      <c r="B412" s="2">
        <v>44607</v>
      </c>
      <c r="C412" s="2">
        <v>44609</v>
      </c>
      <c r="D412" s="2">
        <v>44613</v>
      </c>
      <c r="E412" t="s">
        <v>20</v>
      </c>
      <c r="F412" t="s">
        <v>22</v>
      </c>
      <c r="G412" t="s">
        <v>26</v>
      </c>
      <c r="H412" t="s">
        <v>31</v>
      </c>
      <c r="I412" t="s">
        <v>36</v>
      </c>
      <c r="J412" t="s">
        <v>42</v>
      </c>
      <c r="K412" t="s">
        <v>49</v>
      </c>
      <c r="L412" t="s">
        <v>52</v>
      </c>
      <c r="M412">
        <v>26373</v>
      </c>
      <c r="N412">
        <v>0.14000000000000001</v>
      </c>
      <c r="O412">
        <v>19135</v>
      </c>
      <c r="P412">
        <v>10</v>
      </c>
      <c r="Q412" t="s">
        <v>56</v>
      </c>
      <c r="R412" t="s">
        <v>59</v>
      </c>
    </row>
    <row r="413" spans="1:18">
      <c r="A413">
        <v>10412</v>
      </c>
      <c r="B413" s="2">
        <v>44608</v>
      </c>
      <c r="C413" s="2">
        <v>44610</v>
      </c>
      <c r="D413" s="2">
        <v>44614</v>
      </c>
      <c r="E413" t="s">
        <v>21</v>
      </c>
      <c r="F413" t="s">
        <v>22</v>
      </c>
      <c r="G413" t="s">
        <v>23</v>
      </c>
      <c r="H413" t="s">
        <v>30</v>
      </c>
      <c r="I413" t="s">
        <v>34</v>
      </c>
      <c r="J413" t="s">
        <v>42</v>
      </c>
      <c r="K413" t="s">
        <v>48</v>
      </c>
      <c r="L413" t="s">
        <v>51</v>
      </c>
      <c r="M413">
        <v>32422</v>
      </c>
      <c r="N413">
        <v>0.03</v>
      </c>
      <c r="O413">
        <v>1655</v>
      </c>
      <c r="P413">
        <v>7</v>
      </c>
      <c r="Q413" t="s">
        <v>54</v>
      </c>
      <c r="R413" t="s">
        <v>62</v>
      </c>
    </row>
    <row r="414" spans="1:18">
      <c r="A414">
        <v>10413</v>
      </c>
      <c r="B414" s="2">
        <v>44609</v>
      </c>
      <c r="C414" s="2">
        <v>44611</v>
      </c>
      <c r="D414" s="2">
        <v>44615</v>
      </c>
      <c r="E414" t="s">
        <v>19</v>
      </c>
      <c r="F414" t="s">
        <v>22</v>
      </c>
      <c r="G414" t="s">
        <v>25</v>
      </c>
      <c r="H414" t="s">
        <v>25</v>
      </c>
      <c r="I414" t="s">
        <v>35</v>
      </c>
      <c r="J414" t="s">
        <v>41</v>
      </c>
      <c r="K414" t="s">
        <v>45</v>
      </c>
      <c r="L414" t="s">
        <v>51</v>
      </c>
      <c r="M414">
        <v>61008</v>
      </c>
      <c r="N414">
        <v>0.33</v>
      </c>
      <c r="O414">
        <v>12053</v>
      </c>
      <c r="P414">
        <v>8</v>
      </c>
      <c r="Q414" t="s">
        <v>58</v>
      </c>
      <c r="R414" t="s">
        <v>59</v>
      </c>
    </row>
    <row r="415" spans="1:18">
      <c r="A415">
        <v>10414</v>
      </c>
      <c r="B415" s="2">
        <v>44610</v>
      </c>
      <c r="C415" s="2">
        <v>44612</v>
      </c>
      <c r="D415" s="2">
        <v>44616</v>
      </c>
      <c r="E415" t="s">
        <v>21</v>
      </c>
      <c r="F415" t="s">
        <v>22</v>
      </c>
      <c r="G415" t="s">
        <v>27</v>
      </c>
      <c r="H415" t="s">
        <v>33</v>
      </c>
      <c r="I415" t="s">
        <v>34</v>
      </c>
      <c r="J415" t="s">
        <v>42</v>
      </c>
      <c r="K415" t="s">
        <v>48</v>
      </c>
      <c r="L415" t="s">
        <v>53</v>
      </c>
      <c r="M415">
        <v>39676</v>
      </c>
      <c r="N415">
        <v>0.36</v>
      </c>
      <c r="O415">
        <v>-885</v>
      </c>
      <c r="P415">
        <v>3</v>
      </c>
      <c r="Q415" t="s">
        <v>57</v>
      </c>
      <c r="R415" t="s">
        <v>61</v>
      </c>
    </row>
    <row r="416" spans="1:18">
      <c r="A416">
        <v>10415</v>
      </c>
      <c r="B416" s="2">
        <v>44611</v>
      </c>
      <c r="C416" s="2">
        <v>44613</v>
      </c>
      <c r="D416" s="2">
        <v>44617</v>
      </c>
      <c r="E416" t="s">
        <v>19</v>
      </c>
      <c r="F416" t="s">
        <v>22</v>
      </c>
      <c r="G416" t="s">
        <v>24</v>
      </c>
      <c r="H416" t="s">
        <v>32</v>
      </c>
      <c r="I416" t="s">
        <v>36</v>
      </c>
      <c r="J416" t="s">
        <v>42</v>
      </c>
      <c r="K416" t="s">
        <v>47</v>
      </c>
      <c r="L416" t="s">
        <v>51</v>
      </c>
      <c r="M416">
        <v>17615</v>
      </c>
      <c r="N416">
        <v>0.19</v>
      </c>
      <c r="O416">
        <v>10489</v>
      </c>
      <c r="P416">
        <v>8</v>
      </c>
      <c r="Q416" t="s">
        <v>55</v>
      </c>
      <c r="R416" t="s">
        <v>61</v>
      </c>
    </row>
    <row r="417" spans="1:18">
      <c r="A417">
        <v>10416</v>
      </c>
      <c r="B417" s="2">
        <v>44612</v>
      </c>
      <c r="C417" s="2">
        <v>44614</v>
      </c>
      <c r="D417" s="2">
        <v>44618</v>
      </c>
      <c r="E417" t="s">
        <v>20</v>
      </c>
      <c r="F417" t="s">
        <v>22</v>
      </c>
      <c r="G417" t="s">
        <v>24</v>
      </c>
      <c r="H417" t="s">
        <v>32</v>
      </c>
      <c r="I417" t="s">
        <v>35</v>
      </c>
      <c r="J417" t="s">
        <v>39</v>
      </c>
      <c r="K417" t="s">
        <v>45</v>
      </c>
      <c r="L417" t="s">
        <v>53</v>
      </c>
      <c r="M417">
        <v>8254</v>
      </c>
      <c r="N417">
        <v>0.09</v>
      </c>
      <c r="O417">
        <v>3945</v>
      </c>
      <c r="P417">
        <v>6</v>
      </c>
      <c r="Q417" t="s">
        <v>54</v>
      </c>
      <c r="R417" t="s">
        <v>59</v>
      </c>
    </row>
    <row r="418" spans="1:18">
      <c r="A418">
        <v>10417</v>
      </c>
      <c r="B418" s="2">
        <v>44613</v>
      </c>
      <c r="C418" s="2">
        <v>44615</v>
      </c>
      <c r="D418" s="2">
        <v>44619</v>
      </c>
      <c r="E418" t="s">
        <v>18</v>
      </c>
      <c r="F418" t="s">
        <v>22</v>
      </c>
      <c r="G418" t="s">
        <v>25</v>
      </c>
      <c r="H418" t="s">
        <v>32</v>
      </c>
      <c r="I418" t="s">
        <v>34</v>
      </c>
      <c r="J418" t="s">
        <v>37</v>
      </c>
      <c r="K418" t="s">
        <v>46</v>
      </c>
      <c r="L418" t="s">
        <v>52</v>
      </c>
      <c r="M418">
        <v>19222</v>
      </c>
      <c r="N418">
        <v>0.15</v>
      </c>
      <c r="O418">
        <v>15721</v>
      </c>
      <c r="P418">
        <v>3</v>
      </c>
      <c r="Q418" t="s">
        <v>56</v>
      </c>
      <c r="R418" t="s">
        <v>61</v>
      </c>
    </row>
    <row r="419" spans="1:18">
      <c r="A419">
        <v>10418</v>
      </c>
      <c r="B419" s="2">
        <v>44614</v>
      </c>
      <c r="C419" s="2">
        <v>44616</v>
      </c>
      <c r="D419" s="2">
        <v>44620</v>
      </c>
      <c r="E419" t="s">
        <v>18</v>
      </c>
      <c r="F419" t="s">
        <v>22</v>
      </c>
      <c r="G419" t="s">
        <v>23</v>
      </c>
      <c r="H419" t="s">
        <v>29</v>
      </c>
      <c r="I419" t="s">
        <v>36</v>
      </c>
      <c r="J419" t="s">
        <v>39</v>
      </c>
      <c r="K419" t="s">
        <v>49</v>
      </c>
      <c r="L419" t="s">
        <v>51</v>
      </c>
      <c r="M419">
        <v>27543</v>
      </c>
      <c r="N419">
        <v>0.12</v>
      </c>
      <c r="O419">
        <v>12282</v>
      </c>
      <c r="P419">
        <v>9</v>
      </c>
      <c r="Q419" t="s">
        <v>58</v>
      </c>
      <c r="R419" t="s">
        <v>61</v>
      </c>
    </row>
    <row r="420" spans="1:18">
      <c r="A420">
        <v>10419</v>
      </c>
      <c r="B420" s="2">
        <v>44615</v>
      </c>
      <c r="C420" s="2">
        <v>44617</v>
      </c>
      <c r="D420" s="2">
        <v>44621</v>
      </c>
      <c r="E420" t="s">
        <v>18</v>
      </c>
      <c r="F420" t="s">
        <v>22</v>
      </c>
      <c r="G420" t="s">
        <v>28</v>
      </c>
      <c r="H420" t="s">
        <v>30</v>
      </c>
      <c r="I420" t="s">
        <v>36</v>
      </c>
      <c r="J420" t="s">
        <v>41</v>
      </c>
      <c r="K420" t="s">
        <v>47</v>
      </c>
      <c r="L420" t="s">
        <v>53</v>
      </c>
      <c r="M420">
        <v>56685</v>
      </c>
      <c r="N420">
        <v>0.28000000000000003</v>
      </c>
      <c r="O420">
        <v>19351</v>
      </c>
      <c r="P420">
        <v>9</v>
      </c>
      <c r="Q420" t="s">
        <v>56</v>
      </c>
      <c r="R420" t="s">
        <v>60</v>
      </c>
    </row>
    <row r="421" spans="1:18">
      <c r="A421">
        <v>10420</v>
      </c>
      <c r="B421" s="2">
        <v>44616</v>
      </c>
      <c r="C421" s="2">
        <v>44618</v>
      </c>
      <c r="D421" s="2">
        <v>44622</v>
      </c>
      <c r="E421" t="s">
        <v>19</v>
      </c>
      <c r="F421" t="s">
        <v>22</v>
      </c>
      <c r="G421" t="s">
        <v>27</v>
      </c>
      <c r="H421" t="s">
        <v>25</v>
      </c>
      <c r="I421" t="s">
        <v>35</v>
      </c>
      <c r="J421" t="s">
        <v>40</v>
      </c>
      <c r="K421" t="s">
        <v>49</v>
      </c>
      <c r="L421" t="s">
        <v>53</v>
      </c>
      <c r="M421">
        <v>67842</v>
      </c>
      <c r="N421">
        <v>0.35</v>
      </c>
      <c r="O421">
        <v>670</v>
      </c>
      <c r="P421">
        <v>21</v>
      </c>
      <c r="Q421" t="s">
        <v>54</v>
      </c>
      <c r="R421" t="s">
        <v>60</v>
      </c>
    </row>
    <row r="422" spans="1:18">
      <c r="A422">
        <v>10421</v>
      </c>
      <c r="B422" s="2">
        <v>44617</v>
      </c>
      <c r="C422" s="2">
        <v>44619</v>
      </c>
      <c r="D422" s="2">
        <v>44623</v>
      </c>
      <c r="E422" t="s">
        <v>21</v>
      </c>
      <c r="F422" t="s">
        <v>22</v>
      </c>
      <c r="G422" t="s">
        <v>27</v>
      </c>
      <c r="H422" t="s">
        <v>33</v>
      </c>
      <c r="I422" t="s">
        <v>36</v>
      </c>
      <c r="J422" t="s">
        <v>42</v>
      </c>
      <c r="K422" t="s">
        <v>47</v>
      </c>
      <c r="L422" t="s">
        <v>53</v>
      </c>
      <c r="M422">
        <v>58541</v>
      </c>
      <c r="N422">
        <v>0.22</v>
      </c>
      <c r="O422">
        <v>5009</v>
      </c>
      <c r="P422">
        <v>11</v>
      </c>
      <c r="Q422" t="s">
        <v>57</v>
      </c>
      <c r="R422" t="s">
        <v>59</v>
      </c>
    </row>
    <row r="423" spans="1:18">
      <c r="A423">
        <v>10422</v>
      </c>
      <c r="B423" s="2">
        <v>44618</v>
      </c>
      <c r="C423" s="2">
        <v>44620</v>
      </c>
      <c r="D423" s="2">
        <v>44624</v>
      </c>
      <c r="E423" t="s">
        <v>19</v>
      </c>
      <c r="F423" t="s">
        <v>22</v>
      </c>
      <c r="G423" t="s">
        <v>25</v>
      </c>
      <c r="H423" t="s">
        <v>30</v>
      </c>
      <c r="I423" t="s">
        <v>34</v>
      </c>
      <c r="J423" t="s">
        <v>38</v>
      </c>
      <c r="K423" t="s">
        <v>50</v>
      </c>
      <c r="L423" t="s">
        <v>52</v>
      </c>
      <c r="M423">
        <v>38438</v>
      </c>
      <c r="N423">
        <v>0.4</v>
      </c>
      <c r="O423">
        <v>11141</v>
      </c>
      <c r="P423">
        <v>2</v>
      </c>
      <c r="Q423" t="s">
        <v>56</v>
      </c>
      <c r="R423" t="s">
        <v>62</v>
      </c>
    </row>
    <row r="424" spans="1:18">
      <c r="A424">
        <v>10423</v>
      </c>
      <c r="B424" s="2">
        <v>44619</v>
      </c>
      <c r="C424" s="2">
        <v>44621</v>
      </c>
      <c r="D424" s="2">
        <v>44625</v>
      </c>
      <c r="E424" t="s">
        <v>20</v>
      </c>
      <c r="F424" t="s">
        <v>22</v>
      </c>
      <c r="G424" t="s">
        <v>27</v>
      </c>
      <c r="H424" t="s">
        <v>25</v>
      </c>
      <c r="I424" t="s">
        <v>36</v>
      </c>
      <c r="J424" t="s">
        <v>42</v>
      </c>
      <c r="K424" t="s">
        <v>49</v>
      </c>
      <c r="L424" t="s">
        <v>51</v>
      </c>
      <c r="M424">
        <v>63222</v>
      </c>
      <c r="N424">
        <v>0.14000000000000001</v>
      </c>
      <c r="O424">
        <v>4027</v>
      </c>
      <c r="P424">
        <v>5</v>
      </c>
      <c r="Q424" t="s">
        <v>54</v>
      </c>
      <c r="R424" t="s">
        <v>62</v>
      </c>
    </row>
    <row r="425" spans="1:18">
      <c r="A425">
        <v>10424</v>
      </c>
      <c r="B425" s="2">
        <v>44620</v>
      </c>
      <c r="C425" s="2">
        <v>44622</v>
      </c>
      <c r="D425" s="2">
        <v>44626</v>
      </c>
      <c r="E425" t="s">
        <v>19</v>
      </c>
      <c r="F425" t="s">
        <v>22</v>
      </c>
      <c r="G425" t="s">
        <v>26</v>
      </c>
      <c r="H425" t="s">
        <v>32</v>
      </c>
      <c r="I425" t="s">
        <v>36</v>
      </c>
      <c r="J425" t="s">
        <v>43</v>
      </c>
      <c r="K425" t="s">
        <v>47</v>
      </c>
      <c r="L425" t="s">
        <v>52</v>
      </c>
      <c r="M425">
        <v>4505</v>
      </c>
      <c r="N425">
        <v>0.11</v>
      </c>
      <c r="O425">
        <v>15734</v>
      </c>
      <c r="P425">
        <v>16</v>
      </c>
      <c r="Q425" t="s">
        <v>57</v>
      </c>
      <c r="R425" t="s">
        <v>60</v>
      </c>
    </row>
    <row r="426" spans="1:18">
      <c r="A426">
        <v>10425</v>
      </c>
      <c r="B426" s="2">
        <v>44621</v>
      </c>
      <c r="C426" s="2">
        <v>44623</v>
      </c>
      <c r="D426" s="2">
        <v>44627</v>
      </c>
      <c r="E426" t="s">
        <v>20</v>
      </c>
      <c r="F426" t="s">
        <v>22</v>
      </c>
      <c r="G426" t="s">
        <v>23</v>
      </c>
      <c r="H426" t="s">
        <v>30</v>
      </c>
      <c r="I426" t="s">
        <v>35</v>
      </c>
      <c r="J426" t="s">
        <v>40</v>
      </c>
      <c r="K426" t="s">
        <v>50</v>
      </c>
      <c r="L426" t="s">
        <v>53</v>
      </c>
      <c r="M426">
        <v>54628</v>
      </c>
      <c r="N426">
        <v>0.3</v>
      </c>
      <c r="O426">
        <v>6304</v>
      </c>
      <c r="P426">
        <v>15</v>
      </c>
      <c r="Q426" t="s">
        <v>54</v>
      </c>
      <c r="R426" t="s">
        <v>62</v>
      </c>
    </row>
    <row r="427" spans="1:18">
      <c r="A427">
        <v>10426</v>
      </c>
      <c r="B427" s="2">
        <v>44622</v>
      </c>
      <c r="C427" s="2">
        <v>44624</v>
      </c>
      <c r="D427" s="2">
        <v>44628</v>
      </c>
      <c r="E427" t="s">
        <v>20</v>
      </c>
      <c r="F427" t="s">
        <v>22</v>
      </c>
      <c r="G427" t="s">
        <v>25</v>
      </c>
      <c r="H427" t="s">
        <v>32</v>
      </c>
      <c r="I427" t="s">
        <v>36</v>
      </c>
      <c r="J427" t="s">
        <v>40</v>
      </c>
      <c r="K427" t="s">
        <v>50</v>
      </c>
      <c r="L427" t="s">
        <v>51</v>
      </c>
      <c r="M427">
        <v>49180</v>
      </c>
      <c r="N427">
        <v>0.13</v>
      </c>
      <c r="O427">
        <v>18589</v>
      </c>
      <c r="P427">
        <v>6</v>
      </c>
      <c r="Q427" t="s">
        <v>57</v>
      </c>
      <c r="R427" t="s">
        <v>60</v>
      </c>
    </row>
    <row r="428" spans="1:18">
      <c r="A428">
        <v>10427</v>
      </c>
      <c r="B428" s="2">
        <v>44623</v>
      </c>
      <c r="C428" s="2">
        <v>44625</v>
      </c>
      <c r="D428" s="2">
        <v>44629</v>
      </c>
      <c r="E428" t="s">
        <v>19</v>
      </c>
      <c r="F428" t="s">
        <v>22</v>
      </c>
      <c r="G428" t="s">
        <v>23</v>
      </c>
      <c r="H428" t="s">
        <v>25</v>
      </c>
      <c r="I428" t="s">
        <v>34</v>
      </c>
      <c r="J428" t="s">
        <v>39</v>
      </c>
      <c r="K428" t="s">
        <v>44</v>
      </c>
      <c r="L428" t="s">
        <v>53</v>
      </c>
      <c r="M428">
        <v>32581</v>
      </c>
      <c r="N428">
        <v>0.14000000000000001</v>
      </c>
      <c r="O428">
        <v>10584</v>
      </c>
      <c r="P428">
        <v>14</v>
      </c>
      <c r="Q428" t="s">
        <v>54</v>
      </c>
      <c r="R428" t="s">
        <v>61</v>
      </c>
    </row>
    <row r="429" spans="1:18">
      <c r="A429">
        <v>10428</v>
      </c>
      <c r="B429" s="2">
        <v>44624</v>
      </c>
      <c r="C429" s="2">
        <v>44626</v>
      </c>
      <c r="D429" s="2">
        <v>44630</v>
      </c>
      <c r="E429" t="s">
        <v>18</v>
      </c>
      <c r="F429" t="s">
        <v>22</v>
      </c>
      <c r="G429" t="s">
        <v>27</v>
      </c>
      <c r="H429" t="s">
        <v>25</v>
      </c>
      <c r="I429" t="s">
        <v>36</v>
      </c>
      <c r="J429" t="s">
        <v>37</v>
      </c>
      <c r="K429" t="s">
        <v>48</v>
      </c>
      <c r="L429" t="s">
        <v>52</v>
      </c>
      <c r="M429">
        <v>2999</v>
      </c>
      <c r="N429">
        <v>0.02</v>
      </c>
      <c r="O429">
        <v>14885</v>
      </c>
      <c r="P429">
        <v>6</v>
      </c>
      <c r="Q429" t="s">
        <v>56</v>
      </c>
      <c r="R429" t="s">
        <v>60</v>
      </c>
    </row>
    <row r="430" spans="1:18">
      <c r="A430">
        <v>10429</v>
      </c>
      <c r="B430" s="2">
        <v>44625</v>
      </c>
      <c r="C430" s="2">
        <v>44627</v>
      </c>
      <c r="D430" s="2">
        <v>44631</v>
      </c>
      <c r="E430" t="s">
        <v>18</v>
      </c>
      <c r="F430" t="s">
        <v>22</v>
      </c>
      <c r="G430" t="s">
        <v>23</v>
      </c>
      <c r="H430" t="s">
        <v>25</v>
      </c>
      <c r="I430" t="s">
        <v>35</v>
      </c>
      <c r="J430" t="s">
        <v>43</v>
      </c>
      <c r="K430" t="s">
        <v>49</v>
      </c>
      <c r="L430" t="s">
        <v>51</v>
      </c>
      <c r="M430">
        <v>47050</v>
      </c>
      <c r="N430">
        <v>0.22</v>
      </c>
      <c r="O430">
        <v>11484</v>
      </c>
      <c r="P430">
        <v>15</v>
      </c>
      <c r="Q430" t="s">
        <v>57</v>
      </c>
      <c r="R430" t="s">
        <v>59</v>
      </c>
    </row>
    <row r="431" spans="1:18">
      <c r="A431">
        <v>10430</v>
      </c>
      <c r="B431" s="2">
        <v>44626</v>
      </c>
      <c r="C431" s="2">
        <v>44628</v>
      </c>
      <c r="D431" s="2">
        <v>44632</v>
      </c>
      <c r="E431" t="s">
        <v>21</v>
      </c>
      <c r="F431" t="s">
        <v>22</v>
      </c>
      <c r="G431" t="s">
        <v>25</v>
      </c>
      <c r="H431" t="s">
        <v>32</v>
      </c>
      <c r="I431" t="s">
        <v>36</v>
      </c>
      <c r="J431" t="s">
        <v>42</v>
      </c>
      <c r="K431" t="s">
        <v>50</v>
      </c>
      <c r="L431" t="s">
        <v>51</v>
      </c>
      <c r="M431">
        <v>31357</v>
      </c>
      <c r="N431">
        <v>0.32</v>
      </c>
      <c r="O431">
        <v>11913</v>
      </c>
      <c r="P431">
        <v>19</v>
      </c>
      <c r="Q431" t="s">
        <v>55</v>
      </c>
      <c r="R431" t="s">
        <v>62</v>
      </c>
    </row>
    <row r="432" spans="1:18">
      <c r="A432">
        <v>10431</v>
      </c>
      <c r="B432" s="2">
        <v>44627</v>
      </c>
      <c r="C432" s="2">
        <v>44629</v>
      </c>
      <c r="D432" s="2">
        <v>44633</v>
      </c>
      <c r="E432" t="s">
        <v>21</v>
      </c>
      <c r="F432" t="s">
        <v>22</v>
      </c>
      <c r="G432" t="s">
        <v>25</v>
      </c>
      <c r="H432" t="s">
        <v>30</v>
      </c>
      <c r="I432" t="s">
        <v>35</v>
      </c>
      <c r="J432" t="s">
        <v>39</v>
      </c>
      <c r="K432" t="s">
        <v>46</v>
      </c>
      <c r="L432" t="s">
        <v>51</v>
      </c>
      <c r="M432">
        <v>6541</v>
      </c>
      <c r="N432">
        <v>0.18</v>
      </c>
      <c r="O432">
        <v>-253</v>
      </c>
      <c r="P432">
        <v>20</v>
      </c>
      <c r="Q432" t="s">
        <v>54</v>
      </c>
      <c r="R432" t="s">
        <v>61</v>
      </c>
    </row>
    <row r="433" spans="1:18">
      <c r="A433">
        <v>10432</v>
      </c>
      <c r="B433" s="2">
        <v>44628</v>
      </c>
      <c r="C433" s="2">
        <v>44630</v>
      </c>
      <c r="D433" s="2">
        <v>44634</v>
      </c>
      <c r="E433" t="s">
        <v>21</v>
      </c>
      <c r="F433" t="s">
        <v>22</v>
      </c>
      <c r="G433" t="s">
        <v>23</v>
      </c>
      <c r="H433" t="s">
        <v>30</v>
      </c>
      <c r="I433" t="s">
        <v>36</v>
      </c>
      <c r="J433" t="s">
        <v>42</v>
      </c>
      <c r="K433" t="s">
        <v>50</v>
      </c>
      <c r="L433" t="s">
        <v>52</v>
      </c>
      <c r="M433">
        <v>2416</v>
      </c>
      <c r="N433">
        <v>0.22</v>
      </c>
      <c r="O433">
        <v>10730</v>
      </c>
      <c r="P433">
        <v>3</v>
      </c>
      <c r="Q433" t="s">
        <v>55</v>
      </c>
      <c r="R433" t="s">
        <v>62</v>
      </c>
    </row>
    <row r="434" spans="1:18">
      <c r="A434">
        <v>10433</v>
      </c>
      <c r="B434" s="2">
        <v>44629</v>
      </c>
      <c r="C434" s="2">
        <v>44631</v>
      </c>
      <c r="D434" s="2">
        <v>44635</v>
      </c>
      <c r="E434" t="s">
        <v>21</v>
      </c>
      <c r="F434" t="s">
        <v>22</v>
      </c>
      <c r="G434" t="s">
        <v>26</v>
      </c>
      <c r="H434" t="s">
        <v>30</v>
      </c>
      <c r="I434" t="s">
        <v>34</v>
      </c>
      <c r="J434" t="s">
        <v>41</v>
      </c>
      <c r="K434" t="s">
        <v>48</v>
      </c>
      <c r="L434" t="s">
        <v>51</v>
      </c>
      <c r="M434">
        <v>3633</v>
      </c>
      <c r="N434">
        <v>0.28999999999999998</v>
      </c>
      <c r="O434">
        <v>12947</v>
      </c>
      <c r="P434">
        <v>2</v>
      </c>
      <c r="Q434" t="s">
        <v>56</v>
      </c>
      <c r="R434" t="s">
        <v>60</v>
      </c>
    </row>
    <row r="435" spans="1:18">
      <c r="A435">
        <v>10434</v>
      </c>
      <c r="B435" s="2">
        <v>44630</v>
      </c>
      <c r="C435" s="2">
        <v>44632</v>
      </c>
      <c r="D435" s="2">
        <v>44636</v>
      </c>
      <c r="E435" t="s">
        <v>20</v>
      </c>
      <c r="F435" t="s">
        <v>22</v>
      </c>
      <c r="G435" t="s">
        <v>25</v>
      </c>
      <c r="H435" t="s">
        <v>32</v>
      </c>
      <c r="I435" t="s">
        <v>34</v>
      </c>
      <c r="J435" t="s">
        <v>43</v>
      </c>
      <c r="K435" t="s">
        <v>45</v>
      </c>
      <c r="L435" t="s">
        <v>53</v>
      </c>
      <c r="M435">
        <v>54818</v>
      </c>
      <c r="N435">
        <v>0.25</v>
      </c>
      <c r="O435">
        <v>9027</v>
      </c>
      <c r="P435">
        <v>11</v>
      </c>
      <c r="Q435" t="s">
        <v>55</v>
      </c>
      <c r="R435" t="s">
        <v>62</v>
      </c>
    </row>
    <row r="436" spans="1:18">
      <c r="A436">
        <v>10435</v>
      </c>
      <c r="B436" s="2">
        <v>44631</v>
      </c>
      <c r="C436" s="2">
        <v>44633</v>
      </c>
      <c r="D436" s="2">
        <v>44637</v>
      </c>
      <c r="E436" t="s">
        <v>21</v>
      </c>
      <c r="F436" t="s">
        <v>22</v>
      </c>
      <c r="G436" t="s">
        <v>24</v>
      </c>
      <c r="H436" t="s">
        <v>33</v>
      </c>
      <c r="I436" t="s">
        <v>34</v>
      </c>
      <c r="J436" t="s">
        <v>37</v>
      </c>
      <c r="K436" t="s">
        <v>45</v>
      </c>
      <c r="L436" t="s">
        <v>53</v>
      </c>
      <c r="M436">
        <v>2161</v>
      </c>
      <c r="N436">
        <v>7.0000000000000007E-2</v>
      </c>
      <c r="O436">
        <v>-65</v>
      </c>
      <c r="P436">
        <v>7</v>
      </c>
      <c r="Q436" t="s">
        <v>54</v>
      </c>
      <c r="R436" t="s">
        <v>60</v>
      </c>
    </row>
    <row r="437" spans="1:18">
      <c r="A437">
        <v>10436</v>
      </c>
      <c r="B437" s="2">
        <v>44632</v>
      </c>
      <c r="C437" s="2">
        <v>44634</v>
      </c>
      <c r="D437" s="2">
        <v>44638</v>
      </c>
      <c r="E437" t="s">
        <v>20</v>
      </c>
      <c r="F437" t="s">
        <v>22</v>
      </c>
      <c r="G437" t="s">
        <v>28</v>
      </c>
      <c r="H437" t="s">
        <v>25</v>
      </c>
      <c r="I437" t="s">
        <v>36</v>
      </c>
      <c r="J437" t="s">
        <v>43</v>
      </c>
      <c r="K437" t="s">
        <v>44</v>
      </c>
      <c r="L437" t="s">
        <v>51</v>
      </c>
      <c r="M437">
        <v>19582</v>
      </c>
      <c r="N437">
        <v>0</v>
      </c>
      <c r="O437">
        <v>18164</v>
      </c>
      <c r="P437">
        <v>21</v>
      </c>
      <c r="Q437" t="s">
        <v>57</v>
      </c>
      <c r="R437" t="s">
        <v>60</v>
      </c>
    </row>
    <row r="438" spans="1:18">
      <c r="A438">
        <v>10437</v>
      </c>
      <c r="B438" s="2">
        <v>44633</v>
      </c>
      <c r="C438" s="2">
        <v>44635</v>
      </c>
      <c r="D438" s="2">
        <v>44639</v>
      </c>
      <c r="E438" t="s">
        <v>21</v>
      </c>
      <c r="F438" t="s">
        <v>22</v>
      </c>
      <c r="G438" t="s">
        <v>25</v>
      </c>
      <c r="H438" t="s">
        <v>32</v>
      </c>
      <c r="I438" t="s">
        <v>35</v>
      </c>
      <c r="J438" t="s">
        <v>37</v>
      </c>
      <c r="K438" t="s">
        <v>45</v>
      </c>
      <c r="L438" t="s">
        <v>51</v>
      </c>
      <c r="M438">
        <v>2762</v>
      </c>
      <c r="N438">
        <v>0.1</v>
      </c>
      <c r="O438">
        <v>10352</v>
      </c>
      <c r="P438">
        <v>23</v>
      </c>
      <c r="Q438" t="s">
        <v>57</v>
      </c>
      <c r="R438" t="s">
        <v>59</v>
      </c>
    </row>
    <row r="439" spans="1:18">
      <c r="A439">
        <v>10438</v>
      </c>
      <c r="B439" s="2">
        <v>44634</v>
      </c>
      <c r="C439" s="2">
        <v>44636</v>
      </c>
      <c r="D439" s="2">
        <v>44640</v>
      </c>
      <c r="E439" t="s">
        <v>20</v>
      </c>
      <c r="F439" t="s">
        <v>22</v>
      </c>
      <c r="G439" t="s">
        <v>24</v>
      </c>
      <c r="H439" t="s">
        <v>32</v>
      </c>
      <c r="I439" t="s">
        <v>36</v>
      </c>
      <c r="J439" t="s">
        <v>37</v>
      </c>
      <c r="K439" t="s">
        <v>50</v>
      </c>
      <c r="L439" t="s">
        <v>52</v>
      </c>
      <c r="M439">
        <v>58719</v>
      </c>
      <c r="N439">
        <v>0.25</v>
      </c>
      <c r="O439">
        <v>14707</v>
      </c>
      <c r="P439">
        <v>19</v>
      </c>
      <c r="Q439" t="s">
        <v>54</v>
      </c>
      <c r="R439" t="s">
        <v>62</v>
      </c>
    </row>
    <row r="440" spans="1:18">
      <c r="A440">
        <v>10439</v>
      </c>
      <c r="B440" s="2">
        <v>44635</v>
      </c>
      <c r="C440" s="2">
        <v>44637</v>
      </c>
      <c r="D440" s="2">
        <v>44641</v>
      </c>
      <c r="E440" t="s">
        <v>18</v>
      </c>
      <c r="F440" t="s">
        <v>22</v>
      </c>
      <c r="G440" t="s">
        <v>27</v>
      </c>
      <c r="H440" t="s">
        <v>31</v>
      </c>
      <c r="I440" t="s">
        <v>36</v>
      </c>
      <c r="J440" t="s">
        <v>38</v>
      </c>
      <c r="K440" t="s">
        <v>50</v>
      </c>
      <c r="L440" t="s">
        <v>53</v>
      </c>
      <c r="M440">
        <v>65623</v>
      </c>
      <c r="N440">
        <v>0.27</v>
      </c>
      <c r="O440">
        <v>-1613</v>
      </c>
      <c r="P440">
        <v>4</v>
      </c>
      <c r="Q440" t="s">
        <v>57</v>
      </c>
      <c r="R440" t="s">
        <v>61</v>
      </c>
    </row>
    <row r="441" spans="1:18">
      <c r="A441">
        <v>10440</v>
      </c>
      <c r="B441" s="2">
        <v>44636</v>
      </c>
      <c r="C441" s="2">
        <v>44638</v>
      </c>
      <c r="D441" s="2">
        <v>44642</v>
      </c>
      <c r="E441" t="s">
        <v>18</v>
      </c>
      <c r="F441" t="s">
        <v>22</v>
      </c>
      <c r="G441" t="s">
        <v>24</v>
      </c>
      <c r="H441" t="s">
        <v>31</v>
      </c>
      <c r="I441" t="s">
        <v>34</v>
      </c>
      <c r="J441" t="s">
        <v>41</v>
      </c>
      <c r="K441" t="s">
        <v>50</v>
      </c>
      <c r="L441" t="s">
        <v>51</v>
      </c>
      <c r="M441">
        <v>30450</v>
      </c>
      <c r="N441">
        <v>0.35</v>
      </c>
      <c r="O441">
        <v>17944</v>
      </c>
      <c r="P441">
        <v>10</v>
      </c>
      <c r="Q441" t="s">
        <v>58</v>
      </c>
      <c r="R441" t="s">
        <v>60</v>
      </c>
    </row>
    <row r="442" spans="1:18">
      <c r="A442">
        <v>10441</v>
      </c>
      <c r="B442" s="2">
        <v>44637</v>
      </c>
      <c r="C442" s="2">
        <v>44639</v>
      </c>
      <c r="D442" s="2">
        <v>44643</v>
      </c>
      <c r="E442" t="s">
        <v>19</v>
      </c>
      <c r="F442" t="s">
        <v>22</v>
      </c>
      <c r="G442" t="s">
        <v>27</v>
      </c>
      <c r="H442" t="s">
        <v>29</v>
      </c>
      <c r="I442" t="s">
        <v>35</v>
      </c>
      <c r="J442" t="s">
        <v>43</v>
      </c>
      <c r="K442" t="s">
        <v>50</v>
      </c>
      <c r="L442" t="s">
        <v>53</v>
      </c>
      <c r="M442">
        <v>61596</v>
      </c>
      <c r="N442">
        <v>0.31</v>
      </c>
      <c r="O442">
        <v>11961</v>
      </c>
      <c r="P442">
        <v>21</v>
      </c>
      <c r="Q442" t="s">
        <v>58</v>
      </c>
      <c r="R442" t="s">
        <v>62</v>
      </c>
    </row>
    <row r="443" spans="1:18">
      <c r="A443">
        <v>10442</v>
      </c>
      <c r="B443" s="2">
        <v>44638</v>
      </c>
      <c r="C443" s="2">
        <v>44640</v>
      </c>
      <c r="D443" s="2">
        <v>44644</v>
      </c>
      <c r="E443" t="s">
        <v>19</v>
      </c>
      <c r="F443" t="s">
        <v>22</v>
      </c>
      <c r="G443" t="s">
        <v>27</v>
      </c>
      <c r="H443" t="s">
        <v>29</v>
      </c>
      <c r="I443" t="s">
        <v>34</v>
      </c>
      <c r="J443" t="s">
        <v>41</v>
      </c>
      <c r="K443" t="s">
        <v>46</v>
      </c>
      <c r="L443" t="s">
        <v>52</v>
      </c>
      <c r="M443">
        <v>39079</v>
      </c>
      <c r="N443">
        <v>0.09</v>
      </c>
      <c r="O443">
        <v>18057</v>
      </c>
      <c r="P443">
        <v>18</v>
      </c>
      <c r="Q443" t="s">
        <v>57</v>
      </c>
      <c r="R443" t="s">
        <v>60</v>
      </c>
    </row>
    <row r="444" spans="1:18">
      <c r="A444">
        <v>10443</v>
      </c>
      <c r="B444" s="2">
        <v>44639</v>
      </c>
      <c r="C444" s="2">
        <v>44641</v>
      </c>
      <c r="D444" s="2">
        <v>44645</v>
      </c>
      <c r="E444" t="s">
        <v>18</v>
      </c>
      <c r="F444" t="s">
        <v>22</v>
      </c>
      <c r="G444" t="s">
        <v>23</v>
      </c>
      <c r="H444" t="s">
        <v>31</v>
      </c>
      <c r="I444" t="s">
        <v>36</v>
      </c>
      <c r="J444" t="s">
        <v>39</v>
      </c>
      <c r="K444" t="s">
        <v>50</v>
      </c>
      <c r="L444" t="s">
        <v>51</v>
      </c>
      <c r="M444">
        <v>31967</v>
      </c>
      <c r="N444">
        <v>0.23</v>
      </c>
      <c r="O444">
        <v>17238</v>
      </c>
      <c r="P444">
        <v>15</v>
      </c>
      <c r="Q444" t="s">
        <v>55</v>
      </c>
      <c r="R444" t="s">
        <v>59</v>
      </c>
    </row>
    <row r="445" spans="1:18">
      <c r="A445">
        <v>10444</v>
      </c>
      <c r="B445" s="2">
        <v>44640</v>
      </c>
      <c r="C445" s="2">
        <v>44642</v>
      </c>
      <c r="D445" s="2">
        <v>44646</v>
      </c>
      <c r="E445" t="s">
        <v>20</v>
      </c>
      <c r="F445" t="s">
        <v>22</v>
      </c>
      <c r="G445" t="s">
        <v>23</v>
      </c>
      <c r="H445" t="s">
        <v>32</v>
      </c>
      <c r="I445" t="s">
        <v>36</v>
      </c>
      <c r="J445" t="s">
        <v>42</v>
      </c>
      <c r="K445" t="s">
        <v>46</v>
      </c>
      <c r="L445" t="s">
        <v>52</v>
      </c>
      <c r="M445">
        <v>48454</v>
      </c>
      <c r="N445">
        <v>0.28999999999999998</v>
      </c>
      <c r="O445">
        <v>16778</v>
      </c>
      <c r="P445">
        <v>4</v>
      </c>
      <c r="Q445" t="s">
        <v>56</v>
      </c>
      <c r="R445" t="s">
        <v>61</v>
      </c>
    </row>
    <row r="446" spans="1:18">
      <c r="A446">
        <v>10445</v>
      </c>
      <c r="B446" s="2">
        <v>44641</v>
      </c>
      <c r="C446" s="2">
        <v>44643</v>
      </c>
      <c r="D446" s="2">
        <v>44647</v>
      </c>
      <c r="E446" t="s">
        <v>21</v>
      </c>
      <c r="F446" t="s">
        <v>22</v>
      </c>
      <c r="G446" t="s">
        <v>27</v>
      </c>
      <c r="H446" t="s">
        <v>25</v>
      </c>
      <c r="I446" t="s">
        <v>35</v>
      </c>
      <c r="J446" t="s">
        <v>37</v>
      </c>
      <c r="K446" t="s">
        <v>45</v>
      </c>
      <c r="L446" t="s">
        <v>52</v>
      </c>
      <c r="M446">
        <v>10852</v>
      </c>
      <c r="N446">
        <v>0.31</v>
      </c>
      <c r="O446">
        <v>7973</v>
      </c>
      <c r="P446">
        <v>5</v>
      </c>
      <c r="Q446" t="s">
        <v>58</v>
      </c>
      <c r="R446" t="s">
        <v>61</v>
      </c>
    </row>
    <row r="447" spans="1:18">
      <c r="A447">
        <v>10446</v>
      </c>
      <c r="B447" s="2">
        <v>44642</v>
      </c>
      <c r="C447" s="2">
        <v>44644</v>
      </c>
      <c r="D447" s="2">
        <v>44648</v>
      </c>
      <c r="E447" t="s">
        <v>19</v>
      </c>
      <c r="F447" t="s">
        <v>22</v>
      </c>
      <c r="G447" t="s">
        <v>24</v>
      </c>
      <c r="H447" t="s">
        <v>29</v>
      </c>
      <c r="I447" t="s">
        <v>35</v>
      </c>
      <c r="J447" t="s">
        <v>41</v>
      </c>
      <c r="K447" t="s">
        <v>44</v>
      </c>
      <c r="L447" t="s">
        <v>52</v>
      </c>
      <c r="M447">
        <v>19379</v>
      </c>
      <c r="N447">
        <v>0.15</v>
      </c>
      <c r="O447">
        <v>10021</v>
      </c>
      <c r="P447">
        <v>7</v>
      </c>
      <c r="Q447" t="s">
        <v>55</v>
      </c>
      <c r="R447" t="s">
        <v>60</v>
      </c>
    </row>
    <row r="448" spans="1:18">
      <c r="A448">
        <v>10447</v>
      </c>
      <c r="B448" s="2">
        <v>44643</v>
      </c>
      <c r="C448" s="2">
        <v>44645</v>
      </c>
      <c r="D448" s="2">
        <v>44649</v>
      </c>
      <c r="E448" t="s">
        <v>19</v>
      </c>
      <c r="F448" t="s">
        <v>22</v>
      </c>
      <c r="G448" t="s">
        <v>25</v>
      </c>
      <c r="H448" t="s">
        <v>25</v>
      </c>
      <c r="I448" t="s">
        <v>35</v>
      </c>
      <c r="J448" t="s">
        <v>37</v>
      </c>
      <c r="K448" t="s">
        <v>46</v>
      </c>
      <c r="L448" t="s">
        <v>53</v>
      </c>
      <c r="M448">
        <v>15525</v>
      </c>
      <c r="N448">
        <v>0.02</v>
      </c>
      <c r="O448">
        <v>7885</v>
      </c>
      <c r="P448">
        <v>6</v>
      </c>
      <c r="Q448" t="s">
        <v>55</v>
      </c>
      <c r="R448" t="s">
        <v>62</v>
      </c>
    </row>
    <row r="449" spans="1:18">
      <c r="A449">
        <v>10448</v>
      </c>
      <c r="B449" s="2">
        <v>44644</v>
      </c>
      <c r="C449" s="2">
        <v>44646</v>
      </c>
      <c r="D449" s="2">
        <v>44650</v>
      </c>
      <c r="E449" t="s">
        <v>19</v>
      </c>
      <c r="F449" t="s">
        <v>22</v>
      </c>
      <c r="G449" t="s">
        <v>28</v>
      </c>
      <c r="H449" t="s">
        <v>30</v>
      </c>
      <c r="I449" t="s">
        <v>35</v>
      </c>
      <c r="J449" t="s">
        <v>41</v>
      </c>
      <c r="K449" t="s">
        <v>44</v>
      </c>
      <c r="L449" t="s">
        <v>53</v>
      </c>
      <c r="M449">
        <v>50609</v>
      </c>
      <c r="N449">
        <v>0.25</v>
      </c>
      <c r="O449">
        <v>5408</v>
      </c>
      <c r="P449">
        <v>1</v>
      </c>
      <c r="Q449" t="s">
        <v>57</v>
      </c>
      <c r="R449" t="s">
        <v>61</v>
      </c>
    </row>
    <row r="450" spans="1:18">
      <c r="A450">
        <v>10449</v>
      </c>
      <c r="B450" s="2">
        <v>44645</v>
      </c>
      <c r="C450" s="2">
        <v>44647</v>
      </c>
      <c r="D450" s="2">
        <v>44651</v>
      </c>
      <c r="E450" t="s">
        <v>20</v>
      </c>
      <c r="F450" t="s">
        <v>22</v>
      </c>
      <c r="G450" t="s">
        <v>25</v>
      </c>
      <c r="H450" t="s">
        <v>30</v>
      </c>
      <c r="I450" t="s">
        <v>36</v>
      </c>
      <c r="J450" t="s">
        <v>43</v>
      </c>
      <c r="K450" t="s">
        <v>48</v>
      </c>
      <c r="L450" t="s">
        <v>51</v>
      </c>
      <c r="M450">
        <v>49175</v>
      </c>
      <c r="N450">
        <v>0.32</v>
      </c>
      <c r="O450">
        <v>18554</v>
      </c>
      <c r="P450">
        <v>22</v>
      </c>
      <c r="Q450" t="s">
        <v>56</v>
      </c>
      <c r="R450" t="s">
        <v>60</v>
      </c>
    </row>
    <row r="451" spans="1:18">
      <c r="A451">
        <v>10450</v>
      </c>
      <c r="B451" s="2">
        <v>44646</v>
      </c>
      <c r="C451" s="2">
        <v>44648</v>
      </c>
      <c r="D451" s="2">
        <v>44652</v>
      </c>
      <c r="E451" t="s">
        <v>20</v>
      </c>
      <c r="F451" t="s">
        <v>22</v>
      </c>
      <c r="G451" t="s">
        <v>23</v>
      </c>
      <c r="H451" t="s">
        <v>32</v>
      </c>
      <c r="I451" t="s">
        <v>34</v>
      </c>
      <c r="J451" t="s">
        <v>43</v>
      </c>
      <c r="K451" t="s">
        <v>50</v>
      </c>
      <c r="L451" t="s">
        <v>52</v>
      </c>
      <c r="M451">
        <v>12342</v>
      </c>
      <c r="N451">
        <v>0.28000000000000003</v>
      </c>
      <c r="O451">
        <v>11825</v>
      </c>
      <c r="P451">
        <v>24</v>
      </c>
      <c r="Q451" t="s">
        <v>57</v>
      </c>
      <c r="R451" t="s">
        <v>59</v>
      </c>
    </row>
    <row r="452" spans="1:18">
      <c r="A452">
        <v>10451</v>
      </c>
      <c r="B452" s="2">
        <v>44647</v>
      </c>
      <c r="C452" s="2">
        <v>44649</v>
      </c>
      <c r="D452" s="2">
        <v>44653</v>
      </c>
      <c r="E452" t="s">
        <v>21</v>
      </c>
      <c r="F452" t="s">
        <v>22</v>
      </c>
      <c r="G452" t="s">
        <v>28</v>
      </c>
      <c r="H452" t="s">
        <v>31</v>
      </c>
      <c r="I452" t="s">
        <v>34</v>
      </c>
      <c r="J452" t="s">
        <v>39</v>
      </c>
      <c r="K452" t="s">
        <v>46</v>
      </c>
      <c r="L452" t="s">
        <v>51</v>
      </c>
      <c r="M452">
        <v>23921</v>
      </c>
      <c r="N452">
        <v>0.28999999999999998</v>
      </c>
      <c r="O452">
        <v>14467</v>
      </c>
      <c r="P452">
        <v>12</v>
      </c>
      <c r="Q452" t="s">
        <v>58</v>
      </c>
      <c r="R452" t="s">
        <v>61</v>
      </c>
    </row>
    <row r="453" spans="1:18">
      <c r="A453">
        <v>10452</v>
      </c>
      <c r="B453" s="2">
        <v>44648</v>
      </c>
      <c r="C453" s="2">
        <v>44650</v>
      </c>
      <c r="D453" s="2">
        <v>44654</v>
      </c>
      <c r="E453" t="s">
        <v>18</v>
      </c>
      <c r="F453" t="s">
        <v>22</v>
      </c>
      <c r="G453" t="s">
        <v>23</v>
      </c>
      <c r="H453" t="s">
        <v>33</v>
      </c>
      <c r="I453" t="s">
        <v>35</v>
      </c>
      <c r="J453" t="s">
        <v>39</v>
      </c>
      <c r="K453" t="s">
        <v>48</v>
      </c>
      <c r="L453" t="s">
        <v>52</v>
      </c>
      <c r="M453">
        <v>1681</v>
      </c>
      <c r="N453">
        <v>0.34</v>
      </c>
      <c r="O453">
        <v>915</v>
      </c>
      <c r="P453">
        <v>23</v>
      </c>
      <c r="Q453" t="s">
        <v>54</v>
      </c>
      <c r="R453" t="s">
        <v>59</v>
      </c>
    </row>
    <row r="454" spans="1:18">
      <c r="A454">
        <v>10453</v>
      </c>
      <c r="B454" s="2">
        <v>44649</v>
      </c>
      <c r="C454" s="2">
        <v>44651</v>
      </c>
      <c r="D454" s="2">
        <v>44655</v>
      </c>
      <c r="E454" t="s">
        <v>18</v>
      </c>
      <c r="F454" t="s">
        <v>22</v>
      </c>
      <c r="G454" t="s">
        <v>28</v>
      </c>
      <c r="H454" t="s">
        <v>29</v>
      </c>
      <c r="I454" t="s">
        <v>36</v>
      </c>
      <c r="J454" t="s">
        <v>42</v>
      </c>
      <c r="K454" t="s">
        <v>49</v>
      </c>
      <c r="L454" t="s">
        <v>53</v>
      </c>
      <c r="M454">
        <v>29470</v>
      </c>
      <c r="N454">
        <v>0.33</v>
      </c>
      <c r="O454">
        <v>10952</v>
      </c>
      <c r="P454">
        <v>17</v>
      </c>
      <c r="Q454" t="s">
        <v>56</v>
      </c>
      <c r="R454" t="s">
        <v>60</v>
      </c>
    </row>
    <row r="455" spans="1:18">
      <c r="A455">
        <v>10454</v>
      </c>
      <c r="B455" s="2">
        <v>44650</v>
      </c>
      <c r="C455" s="2">
        <v>44652</v>
      </c>
      <c r="D455" s="2">
        <v>44656</v>
      </c>
      <c r="E455" t="s">
        <v>18</v>
      </c>
      <c r="F455" t="s">
        <v>22</v>
      </c>
      <c r="G455" t="s">
        <v>28</v>
      </c>
      <c r="H455" t="s">
        <v>32</v>
      </c>
      <c r="I455" t="s">
        <v>35</v>
      </c>
      <c r="J455" t="s">
        <v>42</v>
      </c>
      <c r="K455" t="s">
        <v>48</v>
      </c>
      <c r="L455" t="s">
        <v>51</v>
      </c>
      <c r="M455">
        <v>28315</v>
      </c>
      <c r="N455">
        <v>0.19</v>
      </c>
      <c r="O455">
        <v>7140</v>
      </c>
      <c r="P455">
        <v>23</v>
      </c>
      <c r="Q455" t="s">
        <v>58</v>
      </c>
      <c r="R455" t="s">
        <v>62</v>
      </c>
    </row>
    <row r="456" spans="1:18">
      <c r="A456">
        <v>10455</v>
      </c>
      <c r="B456" s="2">
        <v>44651</v>
      </c>
      <c r="C456" s="2">
        <v>44653</v>
      </c>
      <c r="D456" s="2">
        <v>44657</v>
      </c>
      <c r="E456" t="s">
        <v>19</v>
      </c>
      <c r="F456" t="s">
        <v>22</v>
      </c>
      <c r="G456" t="s">
        <v>26</v>
      </c>
      <c r="H456" t="s">
        <v>33</v>
      </c>
      <c r="I456" t="s">
        <v>34</v>
      </c>
      <c r="J456" t="s">
        <v>37</v>
      </c>
      <c r="K456" t="s">
        <v>45</v>
      </c>
      <c r="L456" t="s">
        <v>53</v>
      </c>
      <c r="M456">
        <v>17357</v>
      </c>
      <c r="N456">
        <v>0.15</v>
      </c>
      <c r="O456">
        <v>12978</v>
      </c>
      <c r="P456">
        <v>8</v>
      </c>
      <c r="Q456" t="s">
        <v>56</v>
      </c>
      <c r="R456" t="s">
        <v>60</v>
      </c>
    </row>
    <row r="457" spans="1:18">
      <c r="A457">
        <v>10456</v>
      </c>
      <c r="B457" s="2">
        <v>44652</v>
      </c>
      <c r="C457" s="2">
        <v>44654</v>
      </c>
      <c r="D457" s="2">
        <v>44658</v>
      </c>
      <c r="E457" t="s">
        <v>19</v>
      </c>
      <c r="F457" t="s">
        <v>22</v>
      </c>
      <c r="G457" t="s">
        <v>24</v>
      </c>
      <c r="H457" t="s">
        <v>25</v>
      </c>
      <c r="I457" t="s">
        <v>36</v>
      </c>
      <c r="J457" t="s">
        <v>43</v>
      </c>
      <c r="K457" t="s">
        <v>44</v>
      </c>
      <c r="L457" t="s">
        <v>52</v>
      </c>
      <c r="M457">
        <v>9601</v>
      </c>
      <c r="N457">
        <v>0.18</v>
      </c>
      <c r="O457">
        <v>16529</v>
      </c>
      <c r="P457">
        <v>3</v>
      </c>
      <c r="Q457" t="s">
        <v>56</v>
      </c>
      <c r="R457" t="s">
        <v>59</v>
      </c>
    </row>
    <row r="458" spans="1:18">
      <c r="A458">
        <v>10457</v>
      </c>
      <c r="B458" s="2">
        <v>44653</v>
      </c>
      <c r="C458" s="2">
        <v>44655</v>
      </c>
      <c r="D458" s="2">
        <v>44659</v>
      </c>
      <c r="E458" t="s">
        <v>20</v>
      </c>
      <c r="F458" t="s">
        <v>22</v>
      </c>
      <c r="G458" t="s">
        <v>24</v>
      </c>
      <c r="H458" t="s">
        <v>31</v>
      </c>
      <c r="I458" t="s">
        <v>34</v>
      </c>
      <c r="J458" t="s">
        <v>43</v>
      </c>
      <c r="K458" t="s">
        <v>48</v>
      </c>
      <c r="L458" t="s">
        <v>53</v>
      </c>
      <c r="M458">
        <v>31239</v>
      </c>
      <c r="N458">
        <v>0.18</v>
      </c>
      <c r="O458">
        <v>16217</v>
      </c>
      <c r="P458">
        <v>5</v>
      </c>
      <c r="Q458" t="s">
        <v>56</v>
      </c>
      <c r="R458" t="s">
        <v>59</v>
      </c>
    </row>
    <row r="459" spans="1:18">
      <c r="A459">
        <v>10458</v>
      </c>
      <c r="B459" s="2">
        <v>44654</v>
      </c>
      <c r="C459" s="2">
        <v>44656</v>
      </c>
      <c r="D459" s="2">
        <v>44660</v>
      </c>
      <c r="E459" t="s">
        <v>18</v>
      </c>
      <c r="F459" t="s">
        <v>22</v>
      </c>
      <c r="G459" t="s">
        <v>26</v>
      </c>
      <c r="H459" t="s">
        <v>33</v>
      </c>
      <c r="I459" t="s">
        <v>34</v>
      </c>
      <c r="J459" t="s">
        <v>38</v>
      </c>
      <c r="K459" t="s">
        <v>48</v>
      </c>
      <c r="L459" t="s">
        <v>52</v>
      </c>
      <c r="M459">
        <v>30432</v>
      </c>
      <c r="N459">
        <v>0.28999999999999998</v>
      </c>
      <c r="O459">
        <v>16379</v>
      </c>
      <c r="P459">
        <v>7</v>
      </c>
      <c r="Q459" t="s">
        <v>54</v>
      </c>
      <c r="R459" t="s">
        <v>59</v>
      </c>
    </row>
    <row r="460" spans="1:18">
      <c r="A460">
        <v>10459</v>
      </c>
      <c r="B460" s="2">
        <v>44655</v>
      </c>
      <c r="C460" s="2">
        <v>44657</v>
      </c>
      <c r="D460" s="2">
        <v>44661</v>
      </c>
      <c r="E460" t="s">
        <v>20</v>
      </c>
      <c r="F460" t="s">
        <v>22</v>
      </c>
      <c r="G460" t="s">
        <v>24</v>
      </c>
      <c r="H460" t="s">
        <v>33</v>
      </c>
      <c r="I460" t="s">
        <v>34</v>
      </c>
      <c r="J460" t="s">
        <v>41</v>
      </c>
      <c r="K460" t="s">
        <v>48</v>
      </c>
      <c r="L460" t="s">
        <v>52</v>
      </c>
      <c r="M460">
        <v>10524</v>
      </c>
      <c r="N460">
        <v>0.31</v>
      </c>
      <c r="O460">
        <v>14458</v>
      </c>
      <c r="P460">
        <v>10</v>
      </c>
      <c r="Q460" t="s">
        <v>55</v>
      </c>
      <c r="R460" t="s">
        <v>60</v>
      </c>
    </row>
    <row r="461" spans="1:18">
      <c r="A461">
        <v>10460</v>
      </c>
      <c r="B461" s="2">
        <v>44656</v>
      </c>
      <c r="C461" s="2">
        <v>44658</v>
      </c>
      <c r="D461" s="2">
        <v>44662</v>
      </c>
      <c r="E461" t="s">
        <v>18</v>
      </c>
      <c r="F461" t="s">
        <v>22</v>
      </c>
      <c r="G461" t="s">
        <v>27</v>
      </c>
      <c r="H461" t="s">
        <v>33</v>
      </c>
      <c r="I461" t="s">
        <v>34</v>
      </c>
      <c r="J461" t="s">
        <v>40</v>
      </c>
      <c r="K461" t="s">
        <v>50</v>
      </c>
      <c r="L461" t="s">
        <v>53</v>
      </c>
      <c r="M461">
        <v>4928</v>
      </c>
      <c r="N461">
        <v>0.28000000000000003</v>
      </c>
      <c r="O461">
        <v>5864</v>
      </c>
      <c r="P461">
        <v>17</v>
      </c>
      <c r="Q461" t="s">
        <v>58</v>
      </c>
      <c r="R461" t="s">
        <v>61</v>
      </c>
    </row>
    <row r="462" spans="1:18">
      <c r="A462">
        <v>10461</v>
      </c>
      <c r="B462" s="2">
        <v>44657</v>
      </c>
      <c r="C462" s="2">
        <v>44659</v>
      </c>
      <c r="D462" s="2">
        <v>44663</v>
      </c>
      <c r="E462" t="s">
        <v>20</v>
      </c>
      <c r="F462" t="s">
        <v>22</v>
      </c>
      <c r="G462" t="s">
        <v>23</v>
      </c>
      <c r="H462" t="s">
        <v>31</v>
      </c>
      <c r="I462" t="s">
        <v>35</v>
      </c>
      <c r="J462" t="s">
        <v>37</v>
      </c>
      <c r="K462" t="s">
        <v>50</v>
      </c>
      <c r="L462" t="s">
        <v>51</v>
      </c>
      <c r="M462">
        <v>59186</v>
      </c>
      <c r="N462">
        <v>0.28999999999999998</v>
      </c>
      <c r="O462">
        <v>10369</v>
      </c>
      <c r="P462">
        <v>11</v>
      </c>
      <c r="Q462" t="s">
        <v>55</v>
      </c>
      <c r="R462" t="s">
        <v>61</v>
      </c>
    </row>
    <row r="463" spans="1:18">
      <c r="A463">
        <v>10462</v>
      </c>
      <c r="B463" s="2">
        <v>44658</v>
      </c>
      <c r="C463" s="2">
        <v>44660</v>
      </c>
      <c r="D463" s="2">
        <v>44664</v>
      </c>
      <c r="E463" t="s">
        <v>18</v>
      </c>
      <c r="F463" t="s">
        <v>22</v>
      </c>
      <c r="G463" t="s">
        <v>25</v>
      </c>
      <c r="H463" t="s">
        <v>30</v>
      </c>
      <c r="I463" t="s">
        <v>36</v>
      </c>
      <c r="J463" t="s">
        <v>40</v>
      </c>
      <c r="K463" t="s">
        <v>48</v>
      </c>
      <c r="L463" t="s">
        <v>51</v>
      </c>
      <c r="M463">
        <v>55106</v>
      </c>
      <c r="N463">
        <v>0.06</v>
      </c>
      <c r="O463">
        <v>14676</v>
      </c>
      <c r="P463">
        <v>18</v>
      </c>
      <c r="Q463" t="s">
        <v>55</v>
      </c>
      <c r="R463" t="s">
        <v>62</v>
      </c>
    </row>
    <row r="464" spans="1:18">
      <c r="A464">
        <v>10463</v>
      </c>
      <c r="B464" s="2">
        <v>44659</v>
      </c>
      <c r="C464" s="2">
        <v>44661</v>
      </c>
      <c r="D464" s="2">
        <v>44665</v>
      </c>
      <c r="E464" t="s">
        <v>20</v>
      </c>
      <c r="F464" t="s">
        <v>22</v>
      </c>
      <c r="G464" t="s">
        <v>25</v>
      </c>
      <c r="H464" t="s">
        <v>30</v>
      </c>
      <c r="I464" t="s">
        <v>36</v>
      </c>
      <c r="J464" t="s">
        <v>42</v>
      </c>
      <c r="K464" t="s">
        <v>45</v>
      </c>
      <c r="L464" t="s">
        <v>51</v>
      </c>
      <c r="M464">
        <v>21534</v>
      </c>
      <c r="N464">
        <v>0.04</v>
      </c>
      <c r="O464">
        <v>16149</v>
      </c>
      <c r="P464">
        <v>4</v>
      </c>
      <c r="Q464" t="s">
        <v>57</v>
      </c>
      <c r="R464" t="s">
        <v>59</v>
      </c>
    </row>
    <row r="465" spans="1:18">
      <c r="A465">
        <v>10464</v>
      </c>
      <c r="B465" s="2">
        <v>44660</v>
      </c>
      <c r="C465" s="2">
        <v>44662</v>
      </c>
      <c r="D465" s="2">
        <v>44666</v>
      </c>
      <c r="E465" t="s">
        <v>21</v>
      </c>
      <c r="F465" t="s">
        <v>22</v>
      </c>
      <c r="G465" t="s">
        <v>23</v>
      </c>
      <c r="H465" t="s">
        <v>25</v>
      </c>
      <c r="I465" t="s">
        <v>36</v>
      </c>
      <c r="J465" t="s">
        <v>37</v>
      </c>
      <c r="K465" t="s">
        <v>44</v>
      </c>
      <c r="L465" t="s">
        <v>52</v>
      </c>
      <c r="M465">
        <v>63655</v>
      </c>
      <c r="N465">
        <v>0.19</v>
      </c>
      <c r="O465">
        <v>14966</v>
      </c>
      <c r="P465">
        <v>1</v>
      </c>
      <c r="Q465" t="s">
        <v>57</v>
      </c>
      <c r="R465" t="s">
        <v>62</v>
      </c>
    </row>
    <row r="466" spans="1:18">
      <c r="A466">
        <v>10465</v>
      </c>
      <c r="B466" s="2">
        <v>44661</v>
      </c>
      <c r="C466" s="2">
        <v>44663</v>
      </c>
      <c r="D466" s="2">
        <v>44667</v>
      </c>
      <c r="E466" t="s">
        <v>18</v>
      </c>
      <c r="F466" t="s">
        <v>22</v>
      </c>
      <c r="G466" t="s">
        <v>24</v>
      </c>
      <c r="H466" t="s">
        <v>31</v>
      </c>
      <c r="I466" t="s">
        <v>35</v>
      </c>
      <c r="J466" t="s">
        <v>42</v>
      </c>
      <c r="K466" t="s">
        <v>44</v>
      </c>
      <c r="L466" t="s">
        <v>51</v>
      </c>
      <c r="M466">
        <v>48538</v>
      </c>
      <c r="N466">
        <v>7.0000000000000007E-2</v>
      </c>
      <c r="O466">
        <v>8859</v>
      </c>
      <c r="P466">
        <v>21</v>
      </c>
      <c r="Q466" t="s">
        <v>55</v>
      </c>
      <c r="R466" t="s">
        <v>61</v>
      </c>
    </row>
    <row r="467" spans="1:18">
      <c r="A467">
        <v>10466</v>
      </c>
      <c r="B467" s="2">
        <v>44662</v>
      </c>
      <c r="C467" s="2">
        <v>44664</v>
      </c>
      <c r="D467" s="2">
        <v>44668</v>
      </c>
      <c r="E467" t="s">
        <v>18</v>
      </c>
      <c r="F467" t="s">
        <v>22</v>
      </c>
      <c r="G467" t="s">
        <v>25</v>
      </c>
      <c r="H467" t="s">
        <v>25</v>
      </c>
      <c r="I467" t="s">
        <v>34</v>
      </c>
      <c r="J467" t="s">
        <v>42</v>
      </c>
      <c r="K467" t="s">
        <v>49</v>
      </c>
      <c r="L467" t="s">
        <v>52</v>
      </c>
      <c r="M467">
        <v>51357</v>
      </c>
      <c r="N467">
        <v>0.23</v>
      </c>
      <c r="O467">
        <v>3475</v>
      </c>
      <c r="P467">
        <v>21</v>
      </c>
      <c r="Q467" t="s">
        <v>56</v>
      </c>
      <c r="R467" t="s">
        <v>59</v>
      </c>
    </row>
    <row r="468" spans="1:18">
      <c r="A468">
        <v>10467</v>
      </c>
      <c r="B468" s="2">
        <v>44663</v>
      </c>
      <c r="C468" s="2">
        <v>44665</v>
      </c>
      <c r="D468" s="2">
        <v>44669</v>
      </c>
      <c r="E468" t="s">
        <v>21</v>
      </c>
      <c r="F468" t="s">
        <v>22</v>
      </c>
      <c r="G468" t="s">
        <v>24</v>
      </c>
      <c r="H468" t="s">
        <v>32</v>
      </c>
      <c r="I468" t="s">
        <v>35</v>
      </c>
      <c r="J468" t="s">
        <v>40</v>
      </c>
      <c r="K468" t="s">
        <v>50</v>
      </c>
      <c r="L468" t="s">
        <v>52</v>
      </c>
      <c r="M468">
        <v>68046</v>
      </c>
      <c r="N468">
        <v>0.38</v>
      </c>
      <c r="O468">
        <v>10769</v>
      </c>
      <c r="P468">
        <v>9</v>
      </c>
      <c r="Q468" t="s">
        <v>58</v>
      </c>
      <c r="R468" t="s">
        <v>62</v>
      </c>
    </row>
    <row r="469" spans="1:18">
      <c r="A469">
        <v>10468</v>
      </c>
      <c r="B469" s="2">
        <v>44664</v>
      </c>
      <c r="C469" s="2">
        <v>44666</v>
      </c>
      <c r="D469" s="2">
        <v>44670</v>
      </c>
      <c r="E469" t="s">
        <v>20</v>
      </c>
      <c r="F469" t="s">
        <v>22</v>
      </c>
      <c r="G469" t="s">
        <v>23</v>
      </c>
      <c r="H469" t="s">
        <v>33</v>
      </c>
      <c r="I469" t="s">
        <v>35</v>
      </c>
      <c r="J469" t="s">
        <v>37</v>
      </c>
      <c r="K469" t="s">
        <v>50</v>
      </c>
      <c r="L469" t="s">
        <v>52</v>
      </c>
      <c r="M469">
        <v>11409</v>
      </c>
      <c r="N469">
        <v>0.05</v>
      </c>
      <c r="O469">
        <v>12057</v>
      </c>
      <c r="P469">
        <v>10</v>
      </c>
      <c r="Q469" t="s">
        <v>57</v>
      </c>
      <c r="R469" t="s">
        <v>59</v>
      </c>
    </row>
    <row r="470" spans="1:18">
      <c r="A470">
        <v>10469</v>
      </c>
      <c r="B470" s="2">
        <v>44665</v>
      </c>
      <c r="C470" s="2">
        <v>44667</v>
      </c>
      <c r="D470" s="2">
        <v>44671</v>
      </c>
      <c r="E470" t="s">
        <v>21</v>
      </c>
      <c r="F470" t="s">
        <v>22</v>
      </c>
      <c r="G470" t="s">
        <v>27</v>
      </c>
      <c r="H470" t="s">
        <v>30</v>
      </c>
      <c r="I470" t="s">
        <v>35</v>
      </c>
      <c r="J470" t="s">
        <v>42</v>
      </c>
      <c r="K470" t="s">
        <v>45</v>
      </c>
      <c r="L470" t="s">
        <v>53</v>
      </c>
      <c r="M470">
        <v>28660</v>
      </c>
      <c r="N470">
        <v>0.04</v>
      </c>
      <c r="O470">
        <v>1904</v>
      </c>
      <c r="P470">
        <v>20</v>
      </c>
      <c r="Q470" t="s">
        <v>55</v>
      </c>
      <c r="R470" t="s">
        <v>60</v>
      </c>
    </row>
    <row r="471" spans="1:18">
      <c r="A471">
        <v>10470</v>
      </c>
      <c r="B471" s="2">
        <v>44666</v>
      </c>
      <c r="C471" s="2">
        <v>44668</v>
      </c>
      <c r="D471" s="2">
        <v>44672</v>
      </c>
      <c r="E471" t="s">
        <v>18</v>
      </c>
      <c r="F471" t="s">
        <v>22</v>
      </c>
      <c r="G471" t="s">
        <v>25</v>
      </c>
      <c r="H471" t="s">
        <v>25</v>
      </c>
      <c r="I471" t="s">
        <v>36</v>
      </c>
      <c r="J471" t="s">
        <v>39</v>
      </c>
      <c r="K471" t="s">
        <v>47</v>
      </c>
      <c r="L471" t="s">
        <v>53</v>
      </c>
      <c r="M471">
        <v>16900</v>
      </c>
      <c r="N471">
        <v>0.2</v>
      </c>
      <c r="O471">
        <v>1429</v>
      </c>
      <c r="P471">
        <v>8</v>
      </c>
      <c r="Q471" t="s">
        <v>54</v>
      </c>
      <c r="R471" t="s">
        <v>59</v>
      </c>
    </row>
    <row r="472" spans="1:18">
      <c r="A472">
        <v>10471</v>
      </c>
      <c r="B472" s="2">
        <v>44667</v>
      </c>
      <c r="C472" s="2">
        <v>44669</v>
      </c>
      <c r="D472" s="2">
        <v>44673</v>
      </c>
      <c r="E472" t="s">
        <v>21</v>
      </c>
      <c r="F472" t="s">
        <v>22</v>
      </c>
      <c r="G472" t="s">
        <v>23</v>
      </c>
      <c r="H472" t="s">
        <v>29</v>
      </c>
      <c r="I472" t="s">
        <v>35</v>
      </c>
      <c r="J472" t="s">
        <v>37</v>
      </c>
      <c r="K472" t="s">
        <v>48</v>
      </c>
      <c r="L472" t="s">
        <v>52</v>
      </c>
      <c r="M472">
        <v>49345</v>
      </c>
      <c r="N472">
        <v>0.21</v>
      </c>
      <c r="O472">
        <v>10220</v>
      </c>
      <c r="P472">
        <v>21</v>
      </c>
      <c r="Q472" t="s">
        <v>57</v>
      </c>
      <c r="R472" t="s">
        <v>62</v>
      </c>
    </row>
    <row r="473" spans="1:18">
      <c r="A473">
        <v>10472</v>
      </c>
      <c r="B473" s="2">
        <v>44668</v>
      </c>
      <c r="C473" s="2">
        <v>44670</v>
      </c>
      <c r="D473" s="2">
        <v>44674</v>
      </c>
      <c r="E473" t="s">
        <v>20</v>
      </c>
      <c r="F473" t="s">
        <v>22</v>
      </c>
      <c r="G473" t="s">
        <v>26</v>
      </c>
      <c r="H473" t="s">
        <v>25</v>
      </c>
      <c r="I473" t="s">
        <v>34</v>
      </c>
      <c r="J473" t="s">
        <v>40</v>
      </c>
      <c r="K473" t="s">
        <v>49</v>
      </c>
      <c r="L473" t="s">
        <v>53</v>
      </c>
      <c r="M473">
        <v>59722</v>
      </c>
      <c r="N473">
        <v>0.08</v>
      </c>
      <c r="O473">
        <v>5681</v>
      </c>
      <c r="P473">
        <v>23</v>
      </c>
      <c r="Q473" t="s">
        <v>56</v>
      </c>
      <c r="R473" t="s">
        <v>60</v>
      </c>
    </row>
    <row r="474" spans="1:18">
      <c r="A474">
        <v>10473</v>
      </c>
      <c r="B474" s="2">
        <v>44669</v>
      </c>
      <c r="C474" s="2">
        <v>44671</v>
      </c>
      <c r="D474" s="2">
        <v>44675</v>
      </c>
      <c r="E474" t="s">
        <v>20</v>
      </c>
      <c r="F474" t="s">
        <v>22</v>
      </c>
      <c r="G474" t="s">
        <v>28</v>
      </c>
      <c r="H474" t="s">
        <v>29</v>
      </c>
      <c r="I474" t="s">
        <v>34</v>
      </c>
      <c r="J474" t="s">
        <v>39</v>
      </c>
      <c r="K474" t="s">
        <v>46</v>
      </c>
      <c r="L474" t="s">
        <v>51</v>
      </c>
      <c r="M474">
        <v>17070</v>
      </c>
      <c r="N474">
        <v>0.08</v>
      </c>
      <c r="O474">
        <v>510</v>
      </c>
      <c r="P474">
        <v>24</v>
      </c>
      <c r="Q474" t="s">
        <v>57</v>
      </c>
      <c r="R474" t="s">
        <v>60</v>
      </c>
    </row>
    <row r="475" spans="1:18">
      <c r="A475">
        <v>10474</v>
      </c>
      <c r="B475" s="2">
        <v>44670</v>
      </c>
      <c r="C475" s="2">
        <v>44672</v>
      </c>
      <c r="D475" s="2">
        <v>44676</v>
      </c>
      <c r="E475" t="s">
        <v>19</v>
      </c>
      <c r="F475" t="s">
        <v>22</v>
      </c>
      <c r="G475" t="s">
        <v>27</v>
      </c>
      <c r="H475" t="s">
        <v>25</v>
      </c>
      <c r="I475" t="s">
        <v>34</v>
      </c>
      <c r="J475" t="s">
        <v>41</v>
      </c>
      <c r="K475" t="s">
        <v>46</v>
      </c>
      <c r="L475" t="s">
        <v>53</v>
      </c>
      <c r="M475">
        <v>1874</v>
      </c>
      <c r="N475">
        <v>0.39</v>
      </c>
      <c r="O475">
        <v>11705</v>
      </c>
      <c r="P475">
        <v>10</v>
      </c>
      <c r="Q475" t="s">
        <v>54</v>
      </c>
      <c r="R475" t="s">
        <v>62</v>
      </c>
    </row>
    <row r="476" spans="1:18">
      <c r="A476">
        <v>10475</v>
      </c>
      <c r="B476" s="2">
        <v>44671</v>
      </c>
      <c r="C476" s="2">
        <v>44673</v>
      </c>
      <c r="D476" s="2">
        <v>44677</v>
      </c>
      <c r="E476" t="s">
        <v>19</v>
      </c>
      <c r="F476" t="s">
        <v>22</v>
      </c>
      <c r="G476" t="s">
        <v>24</v>
      </c>
      <c r="H476" t="s">
        <v>33</v>
      </c>
      <c r="I476" t="s">
        <v>34</v>
      </c>
      <c r="J476" t="s">
        <v>38</v>
      </c>
      <c r="K476" t="s">
        <v>46</v>
      </c>
      <c r="L476" t="s">
        <v>52</v>
      </c>
      <c r="M476">
        <v>37421</v>
      </c>
      <c r="N476">
        <v>0.03</v>
      </c>
      <c r="O476">
        <v>11869</v>
      </c>
      <c r="P476">
        <v>19</v>
      </c>
      <c r="Q476" t="s">
        <v>58</v>
      </c>
      <c r="R476" t="s">
        <v>60</v>
      </c>
    </row>
    <row r="477" spans="1:18">
      <c r="A477">
        <v>10476</v>
      </c>
      <c r="B477" s="2">
        <v>44672</v>
      </c>
      <c r="C477" s="2">
        <v>44674</v>
      </c>
      <c r="D477" s="2">
        <v>44678</v>
      </c>
      <c r="E477" t="s">
        <v>18</v>
      </c>
      <c r="F477" t="s">
        <v>22</v>
      </c>
      <c r="G477" t="s">
        <v>26</v>
      </c>
      <c r="H477" t="s">
        <v>29</v>
      </c>
      <c r="I477" t="s">
        <v>36</v>
      </c>
      <c r="J477" t="s">
        <v>43</v>
      </c>
      <c r="K477" t="s">
        <v>48</v>
      </c>
      <c r="L477" t="s">
        <v>51</v>
      </c>
      <c r="M477">
        <v>22610</v>
      </c>
      <c r="N477">
        <v>0.02</v>
      </c>
      <c r="O477">
        <v>7261</v>
      </c>
      <c r="P477">
        <v>20</v>
      </c>
      <c r="Q477" t="s">
        <v>54</v>
      </c>
      <c r="R477" t="s">
        <v>62</v>
      </c>
    </row>
    <row r="478" spans="1:18">
      <c r="A478">
        <v>10477</v>
      </c>
      <c r="B478" s="2">
        <v>44673</v>
      </c>
      <c r="C478" s="2">
        <v>44675</v>
      </c>
      <c r="D478" s="2">
        <v>44679</v>
      </c>
      <c r="E478" t="s">
        <v>21</v>
      </c>
      <c r="F478" t="s">
        <v>22</v>
      </c>
      <c r="G478" t="s">
        <v>28</v>
      </c>
      <c r="H478" t="s">
        <v>33</v>
      </c>
      <c r="I478" t="s">
        <v>34</v>
      </c>
      <c r="J478" t="s">
        <v>39</v>
      </c>
      <c r="K478" t="s">
        <v>47</v>
      </c>
      <c r="L478" t="s">
        <v>53</v>
      </c>
      <c r="M478">
        <v>24976</v>
      </c>
      <c r="N478">
        <v>0.34</v>
      </c>
      <c r="O478">
        <v>17940</v>
      </c>
      <c r="P478">
        <v>9</v>
      </c>
      <c r="Q478" t="s">
        <v>57</v>
      </c>
      <c r="R478" t="s">
        <v>60</v>
      </c>
    </row>
    <row r="479" spans="1:18">
      <c r="A479">
        <v>10478</v>
      </c>
      <c r="B479" s="2">
        <v>44674</v>
      </c>
      <c r="C479" s="2">
        <v>44676</v>
      </c>
      <c r="D479" s="2">
        <v>44680</v>
      </c>
      <c r="E479" t="s">
        <v>21</v>
      </c>
      <c r="F479" t="s">
        <v>22</v>
      </c>
      <c r="G479" t="s">
        <v>26</v>
      </c>
      <c r="H479" t="s">
        <v>25</v>
      </c>
      <c r="I479" t="s">
        <v>34</v>
      </c>
      <c r="J479" t="s">
        <v>43</v>
      </c>
      <c r="K479" t="s">
        <v>50</v>
      </c>
      <c r="L479" t="s">
        <v>51</v>
      </c>
      <c r="M479">
        <v>44064</v>
      </c>
      <c r="N479">
        <v>0.34</v>
      </c>
      <c r="O479">
        <v>14952</v>
      </c>
      <c r="P479">
        <v>22</v>
      </c>
      <c r="Q479" t="s">
        <v>55</v>
      </c>
      <c r="R479" t="s">
        <v>62</v>
      </c>
    </row>
    <row r="480" spans="1:18">
      <c r="A480">
        <v>10479</v>
      </c>
      <c r="B480" s="2">
        <v>44675</v>
      </c>
      <c r="C480" s="2">
        <v>44677</v>
      </c>
      <c r="D480" s="2">
        <v>44681</v>
      </c>
      <c r="E480" t="s">
        <v>18</v>
      </c>
      <c r="F480" t="s">
        <v>22</v>
      </c>
      <c r="G480" t="s">
        <v>23</v>
      </c>
      <c r="H480" t="s">
        <v>31</v>
      </c>
      <c r="I480" t="s">
        <v>35</v>
      </c>
      <c r="J480" t="s">
        <v>41</v>
      </c>
      <c r="K480" t="s">
        <v>50</v>
      </c>
      <c r="L480" t="s">
        <v>51</v>
      </c>
      <c r="M480">
        <v>74840</v>
      </c>
      <c r="N480">
        <v>0.37</v>
      </c>
      <c r="O480">
        <v>2852</v>
      </c>
      <c r="P480">
        <v>11</v>
      </c>
      <c r="Q480" t="s">
        <v>57</v>
      </c>
      <c r="R480" t="s">
        <v>62</v>
      </c>
    </row>
    <row r="481" spans="1:18">
      <c r="A481">
        <v>10480</v>
      </c>
      <c r="B481" s="2">
        <v>44676</v>
      </c>
      <c r="C481" s="2">
        <v>44678</v>
      </c>
      <c r="D481" s="2">
        <v>44682</v>
      </c>
      <c r="E481" t="s">
        <v>18</v>
      </c>
      <c r="F481" t="s">
        <v>22</v>
      </c>
      <c r="G481" t="s">
        <v>26</v>
      </c>
      <c r="H481" t="s">
        <v>31</v>
      </c>
      <c r="I481" t="s">
        <v>35</v>
      </c>
      <c r="J481" t="s">
        <v>43</v>
      </c>
      <c r="K481" t="s">
        <v>46</v>
      </c>
      <c r="L481" t="s">
        <v>52</v>
      </c>
      <c r="M481">
        <v>63068</v>
      </c>
      <c r="N481">
        <v>0.2</v>
      </c>
      <c r="O481">
        <v>7242</v>
      </c>
      <c r="P481">
        <v>4</v>
      </c>
      <c r="Q481" t="s">
        <v>57</v>
      </c>
      <c r="R481" t="s">
        <v>61</v>
      </c>
    </row>
    <row r="482" spans="1:18">
      <c r="A482">
        <v>10481</v>
      </c>
      <c r="B482" s="2">
        <v>44677</v>
      </c>
      <c r="C482" s="2">
        <v>44679</v>
      </c>
      <c r="D482" s="2">
        <v>44683</v>
      </c>
      <c r="E482" t="s">
        <v>20</v>
      </c>
      <c r="F482" t="s">
        <v>22</v>
      </c>
      <c r="G482" t="s">
        <v>26</v>
      </c>
      <c r="H482" t="s">
        <v>31</v>
      </c>
      <c r="I482" t="s">
        <v>36</v>
      </c>
      <c r="J482" t="s">
        <v>37</v>
      </c>
      <c r="K482" t="s">
        <v>50</v>
      </c>
      <c r="L482" t="s">
        <v>52</v>
      </c>
      <c r="M482">
        <v>58788</v>
      </c>
      <c r="N482">
        <v>0.39</v>
      </c>
      <c r="O482">
        <v>16164</v>
      </c>
      <c r="P482">
        <v>19</v>
      </c>
      <c r="Q482" t="s">
        <v>57</v>
      </c>
      <c r="R482" t="s">
        <v>62</v>
      </c>
    </row>
    <row r="483" spans="1:18">
      <c r="A483">
        <v>10482</v>
      </c>
      <c r="B483" s="2">
        <v>44678</v>
      </c>
      <c r="C483" s="2">
        <v>44680</v>
      </c>
      <c r="D483" s="2">
        <v>44684</v>
      </c>
      <c r="E483" t="s">
        <v>21</v>
      </c>
      <c r="F483" t="s">
        <v>22</v>
      </c>
      <c r="G483" t="s">
        <v>28</v>
      </c>
      <c r="H483" t="s">
        <v>33</v>
      </c>
      <c r="I483" t="s">
        <v>36</v>
      </c>
      <c r="J483" t="s">
        <v>41</v>
      </c>
      <c r="K483" t="s">
        <v>45</v>
      </c>
      <c r="L483" t="s">
        <v>52</v>
      </c>
      <c r="M483">
        <v>17977</v>
      </c>
      <c r="N483">
        <v>0.4</v>
      </c>
      <c r="O483">
        <v>12170</v>
      </c>
      <c r="P483">
        <v>10</v>
      </c>
      <c r="Q483" t="s">
        <v>56</v>
      </c>
      <c r="R483" t="s">
        <v>62</v>
      </c>
    </row>
    <row r="484" spans="1:18">
      <c r="A484">
        <v>10483</v>
      </c>
      <c r="B484" s="2">
        <v>44679</v>
      </c>
      <c r="C484" s="2">
        <v>44681</v>
      </c>
      <c r="D484" s="2">
        <v>44685</v>
      </c>
      <c r="E484" t="s">
        <v>18</v>
      </c>
      <c r="F484" t="s">
        <v>22</v>
      </c>
      <c r="G484" t="s">
        <v>27</v>
      </c>
      <c r="H484" t="s">
        <v>33</v>
      </c>
      <c r="I484" t="s">
        <v>34</v>
      </c>
      <c r="J484" t="s">
        <v>37</v>
      </c>
      <c r="K484" t="s">
        <v>44</v>
      </c>
      <c r="L484" t="s">
        <v>52</v>
      </c>
      <c r="M484">
        <v>17918</v>
      </c>
      <c r="N484">
        <v>0.2</v>
      </c>
      <c r="O484">
        <v>14531</v>
      </c>
      <c r="P484">
        <v>4</v>
      </c>
      <c r="Q484" t="s">
        <v>55</v>
      </c>
      <c r="R484" t="s">
        <v>59</v>
      </c>
    </row>
    <row r="485" spans="1:18">
      <c r="A485">
        <v>10484</v>
      </c>
      <c r="B485" s="2">
        <v>44680</v>
      </c>
      <c r="C485" s="2">
        <v>44682</v>
      </c>
      <c r="D485" s="2">
        <v>44686</v>
      </c>
      <c r="E485" t="s">
        <v>19</v>
      </c>
      <c r="F485" t="s">
        <v>22</v>
      </c>
      <c r="G485" t="s">
        <v>25</v>
      </c>
      <c r="H485" t="s">
        <v>33</v>
      </c>
      <c r="I485" t="s">
        <v>34</v>
      </c>
      <c r="J485" t="s">
        <v>38</v>
      </c>
      <c r="K485" t="s">
        <v>46</v>
      </c>
      <c r="L485" t="s">
        <v>53</v>
      </c>
      <c r="M485">
        <v>41585</v>
      </c>
      <c r="N485">
        <v>0.25</v>
      </c>
      <c r="O485">
        <v>14313</v>
      </c>
      <c r="P485">
        <v>20</v>
      </c>
      <c r="Q485" t="s">
        <v>58</v>
      </c>
      <c r="R485" t="s">
        <v>60</v>
      </c>
    </row>
    <row r="486" spans="1:18">
      <c r="A486">
        <v>10485</v>
      </c>
      <c r="B486" s="2">
        <v>44681</v>
      </c>
      <c r="C486" s="2">
        <v>44683</v>
      </c>
      <c r="D486" s="2">
        <v>44687</v>
      </c>
      <c r="E486" t="s">
        <v>19</v>
      </c>
      <c r="F486" t="s">
        <v>22</v>
      </c>
      <c r="G486" t="s">
        <v>25</v>
      </c>
      <c r="H486" t="s">
        <v>31</v>
      </c>
      <c r="I486" t="s">
        <v>36</v>
      </c>
      <c r="J486" t="s">
        <v>40</v>
      </c>
      <c r="K486" t="s">
        <v>47</v>
      </c>
      <c r="L486" t="s">
        <v>53</v>
      </c>
      <c r="M486">
        <v>17933</v>
      </c>
      <c r="N486">
        <v>0.24</v>
      </c>
      <c r="O486">
        <v>9578</v>
      </c>
      <c r="P486">
        <v>3</v>
      </c>
      <c r="Q486" t="s">
        <v>55</v>
      </c>
      <c r="R486" t="s">
        <v>59</v>
      </c>
    </row>
    <row r="487" spans="1:18">
      <c r="A487">
        <v>10486</v>
      </c>
      <c r="B487" s="2">
        <v>44682</v>
      </c>
      <c r="C487" s="2">
        <v>44684</v>
      </c>
      <c r="D487" s="2">
        <v>44688</v>
      </c>
      <c r="E487" t="s">
        <v>20</v>
      </c>
      <c r="F487" t="s">
        <v>22</v>
      </c>
      <c r="G487" t="s">
        <v>23</v>
      </c>
      <c r="H487" t="s">
        <v>30</v>
      </c>
      <c r="I487" t="s">
        <v>35</v>
      </c>
      <c r="J487" t="s">
        <v>38</v>
      </c>
      <c r="K487" t="s">
        <v>45</v>
      </c>
      <c r="L487" t="s">
        <v>53</v>
      </c>
      <c r="M487">
        <v>52733</v>
      </c>
      <c r="N487">
        <v>0.17</v>
      </c>
      <c r="O487">
        <v>12092</v>
      </c>
      <c r="P487">
        <v>24</v>
      </c>
      <c r="Q487" t="s">
        <v>58</v>
      </c>
      <c r="R487" t="s">
        <v>62</v>
      </c>
    </row>
    <row r="488" spans="1:18">
      <c r="A488">
        <v>10487</v>
      </c>
      <c r="B488" s="2">
        <v>44683</v>
      </c>
      <c r="C488" s="2">
        <v>44685</v>
      </c>
      <c r="D488" s="2">
        <v>44689</v>
      </c>
      <c r="E488" t="s">
        <v>19</v>
      </c>
      <c r="F488" t="s">
        <v>22</v>
      </c>
      <c r="G488" t="s">
        <v>26</v>
      </c>
      <c r="H488" t="s">
        <v>30</v>
      </c>
      <c r="I488" t="s">
        <v>36</v>
      </c>
      <c r="J488" t="s">
        <v>40</v>
      </c>
      <c r="K488" t="s">
        <v>45</v>
      </c>
      <c r="L488" t="s">
        <v>51</v>
      </c>
      <c r="M488">
        <v>47639</v>
      </c>
      <c r="N488">
        <v>0.24</v>
      </c>
      <c r="O488">
        <v>-1655</v>
      </c>
      <c r="P488">
        <v>20</v>
      </c>
      <c r="Q488" t="s">
        <v>56</v>
      </c>
      <c r="R488" t="s">
        <v>59</v>
      </c>
    </row>
    <row r="489" spans="1:18">
      <c r="A489">
        <v>10488</v>
      </c>
      <c r="B489" s="2">
        <v>44684</v>
      </c>
      <c r="C489" s="2">
        <v>44686</v>
      </c>
      <c r="D489" s="2">
        <v>44690</v>
      </c>
      <c r="E489" t="s">
        <v>19</v>
      </c>
      <c r="F489" t="s">
        <v>22</v>
      </c>
      <c r="G489" t="s">
        <v>27</v>
      </c>
      <c r="H489" t="s">
        <v>33</v>
      </c>
      <c r="I489" t="s">
        <v>34</v>
      </c>
      <c r="J489" t="s">
        <v>40</v>
      </c>
      <c r="K489" t="s">
        <v>48</v>
      </c>
      <c r="L489" t="s">
        <v>53</v>
      </c>
      <c r="M489">
        <v>44824</v>
      </c>
      <c r="N489">
        <v>0.35</v>
      </c>
      <c r="O489">
        <v>9547</v>
      </c>
      <c r="P489">
        <v>8</v>
      </c>
      <c r="Q489" t="s">
        <v>54</v>
      </c>
      <c r="R489" t="s">
        <v>59</v>
      </c>
    </row>
    <row r="490" spans="1:18">
      <c r="A490">
        <v>10489</v>
      </c>
      <c r="B490" s="2">
        <v>44685</v>
      </c>
      <c r="C490" s="2">
        <v>44687</v>
      </c>
      <c r="D490" s="2">
        <v>44691</v>
      </c>
      <c r="E490" t="s">
        <v>20</v>
      </c>
      <c r="F490" t="s">
        <v>22</v>
      </c>
      <c r="G490" t="s">
        <v>23</v>
      </c>
      <c r="H490" t="s">
        <v>29</v>
      </c>
      <c r="I490" t="s">
        <v>34</v>
      </c>
      <c r="J490" t="s">
        <v>39</v>
      </c>
      <c r="K490" t="s">
        <v>44</v>
      </c>
      <c r="L490" t="s">
        <v>52</v>
      </c>
      <c r="M490">
        <v>44528</v>
      </c>
      <c r="N490">
        <v>0.09</v>
      </c>
      <c r="O490">
        <v>12955</v>
      </c>
      <c r="P490">
        <v>24</v>
      </c>
      <c r="Q490" t="s">
        <v>57</v>
      </c>
      <c r="R490" t="s">
        <v>60</v>
      </c>
    </row>
    <row r="491" spans="1:18">
      <c r="A491">
        <v>10490</v>
      </c>
      <c r="B491" s="2">
        <v>44686</v>
      </c>
      <c r="C491" s="2">
        <v>44688</v>
      </c>
      <c r="D491" s="2">
        <v>44692</v>
      </c>
      <c r="E491" t="s">
        <v>21</v>
      </c>
      <c r="F491" t="s">
        <v>22</v>
      </c>
      <c r="G491" t="s">
        <v>24</v>
      </c>
      <c r="H491" t="s">
        <v>29</v>
      </c>
      <c r="I491" t="s">
        <v>36</v>
      </c>
      <c r="J491" t="s">
        <v>41</v>
      </c>
      <c r="K491" t="s">
        <v>45</v>
      </c>
      <c r="L491" t="s">
        <v>53</v>
      </c>
      <c r="M491">
        <v>52191</v>
      </c>
      <c r="N491">
        <v>0.17</v>
      </c>
      <c r="O491">
        <v>3206</v>
      </c>
      <c r="P491">
        <v>18</v>
      </c>
      <c r="Q491" t="s">
        <v>56</v>
      </c>
      <c r="R491" t="s">
        <v>61</v>
      </c>
    </row>
    <row r="492" spans="1:18">
      <c r="A492">
        <v>10491</v>
      </c>
      <c r="B492" s="2">
        <v>44687</v>
      </c>
      <c r="C492" s="2">
        <v>44689</v>
      </c>
      <c r="D492" s="2">
        <v>44693</v>
      </c>
      <c r="E492" t="s">
        <v>18</v>
      </c>
      <c r="F492" t="s">
        <v>22</v>
      </c>
      <c r="G492" t="s">
        <v>27</v>
      </c>
      <c r="H492" t="s">
        <v>33</v>
      </c>
      <c r="I492" t="s">
        <v>34</v>
      </c>
      <c r="J492" t="s">
        <v>42</v>
      </c>
      <c r="K492" t="s">
        <v>47</v>
      </c>
      <c r="L492" t="s">
        <v>52</v>
      </c>
      <c r="M492">
        <v>26255</v>
      </c>
      <c r="N492">
        <v>0.36</v>
      </c>
      <c r="O492">
        <v>-1678</v>
      </c>
      <c r="P492">
        <v>8</v>
      </c>
      <c r="Q492" t="s">
        <v>56</v>
      </c>
      <c r="R492" t="s">
        <v>60</v>
      </c>
    </row>
    <row r="493" spans="1:18">
      <c r="A493">
        <v>10492</v>
      </c>
      <c r="B493" s="2">
        <v>44688</v>
      </c>
      <c r="C493" s="2">
        <v>44690</v>
      </c>
      <c r="D493" s="2">
        <v>44694</v>
      </c>
      <c r="E493" t="s">
        <v>19</v>
      </c>
      <c r="F493" t="s">
        <v>22</v>
      </c>
      <c r="G493" t="s">
        <v>27</v>
      </c>
      <c r="H493" t="s">
        <v>33</v>
      </c>
      <c r="I493" t="s">
        <v>35</v>
      </c>
      <c r="J493" t="s">
        <v>42</v>
      </c>
      <c r="K493" t="s">
        <v>46</v>
      </c>
      <c r="L493" t="s">
        <v>52</v>
      </c>
      <c r="M493">
        <v>51650</v>
      </c>
      <c r="N493">
        <v>0.12</v>
      </c>
      <c r="O493">
        <v>3763</v>
      </c>
      <c r="P493">
        <v>17</v>
      </c>
      <c r="Q493" t="s">
        <v>54</v>
      </c>
      <c r="R493" t="s">
        <v>61</v>
      </c>
    </row>
    <row r="494" spans="1:18">
      <c r="A494">
        <v>10493</v>
      </c>
      <c r="B494" s="2">
        <v>44689</v>
      </c>
      <c r="C494" s="2">
        <v>44691</v>
      </c>
      <c r="D494" s="2">
        <v>44695</v>
      </c>
      <c r="E494" t="s">
        <v>19</v>
      </c>
      <c r="F494" t="s">
        <v>22</v>
      </c>
      <c r="G494" t="s">
        <v>26</v>
      </c>
      <c r="H494" t="s">
        <v>31</v>
      </c>
      <c r="I494" t="s">
        <v>35</v>
      </c>
      <c r="J494" t="s">
        <v>38</v>
      </c>
      <c r="K494" t="s">
        <v>49</v>
      </c>
      <c r="L494" t="s">
        <v>51</v>
      </c>
      <c r="M494">
        <v>17228</v>
      </c>
      <c r="N494">
        <v>0.09</v>
      </c>
      <c r="O494">
        <v>15131</v>
      </c>
      <c r="P494">
        <v>9</v>
      </c>
      <c r="Q494" t="s">
        <v>58</v>
      </c>
      <c r="R494" t="s">
        <v>60</v>
      </c>
    </row>
    <row r="495" spans="1:18">
      <c r="A495">
        <v>10494</v>
      </c>
      <c r="B495" s="2">
        <v>44690</v>
      </c>
      <c r="C495" s="2">
        <v>44692</v>
      </c>
      <c r="D495" s="2">
        <v>44696</v>
      </c>
      <c r="E495" t="s">
        <v>21</v>
      </c>
      <c r="F495" t="s">
        <v>22</v>
      </c>
      <c r="G495" t="s">
        <v>23</v>
      </c>
      <c r="H495" t="s">
        <v>32</v>
      </c>
      <c r="I495" t="s">
        <v>35</v>
      </c>
      <c r="J495" t="s">
        <v>41</v>
      </c>
      <c r="K495" t="s">
        <v>46</v>
      </c>
      <c r="L495" t="s">
        <v>52</v>
      </c>
      <c r="M495">
        <v>56370</v>
      </c>
      <c r="N495">
        <v>0.08</v>
      </c>
      <c r="O495">
        <v>10875</v>
      </c>
      <c r="P495">
        <v>5</v>
      </c>
      <c r="Q495" t="s">
        <v>58</v>
      </c>
      <c r="R495" t="s">
        <v>62</v>
      </c>
    </row>
    <row r="496" spans="1:18">
      <c r="A496">
        <v>10495</v>
      </c>
      <c r="B496" s="2">
        <v>44691</v>
      </c>
      <c r="C496" s="2">
        <v>44693</v>
      </c>
      <c r="D496" s="2">
        <v>44697</v>
      </c>
      <c r="E496" t="s">
        <v>20</v>
      </c>
      <c r="F496" t="s">
        <v>22</v>
      </c>
      <c r="G496" t="s">
        <v>25</v>
      </c>
      <c r="H496" t="s">
        <v>33</v>
      </c>
      <c r="I496" t="s">
        <v>34</v>
      </c>
      <c r="J496" t="s">
        <v>39</v>
      </c>
      <c r="K496" t="s">
        <v>50</v>
      </c>
      <c r="L496" t="s">
        <v>51</v>
      </c>
      <c r="M496">
        <v>9376</v>
      </c>
      <c r="N496">
        <v>0.32</v>
      </c>
      <c r="O496">
        <v>7115</v>
      </c>
      <c r="P496">
        <v>7</v>
      </c>
      <c r="Q496" t="s">
        <v>57</v>
      </c>
      <c r="R496" t="s">
        <v>59</v>
      </c>
    </row>
    <row r="497" spans="1:18">
      <c r="A497">
        <v>10496</v>
      </c>
      <c r="B497" s="2">
        <v>44692</v>
      </c>
      <c r="C497" s="2">
        <v>44694</v>
      </c>
      <c r="D497" s="2">
        <v>44698</v>
      </c>
      <c r="E497" t="s">
        <v>18</v>
      </c>
      <c r="F497" t="s">
        <v>22</v>
      </c>
      <c r="G497" t="s">
        <v>25</v>
      </c>
      <c r="H497" t="s">
        <v>33</v>
      </c>
      <c r="I497" t="s">
        <v>34</v>
      </c>
      <c r="J497" t="s">
        <v>38</v>
      </c>
      <c r="K497" t="s">
        <v>47</v>
      </c>
      <c r="L497" t="s">
        <v>51</v>
      </c>
      <c r="M497">
        <v>19166</v>
      </c>
      <c r="N497">
        <v>0.06</v>
      </c>
      <c r="O497">
        <v>10483</v>
      </c>
      <c r="P497">
        <v>3</v>
      </c>
      <c r="Q497" t="s">
        <v>55</v>
      </c>
      <c r="R497" t="s">
        <v>61</v>
      </c>
    </row>
    <row r="498" spans="1:18">
      <c r="A498">
        <v>10497</v>
      </c>
      <c r="B498" s="2">
        <v>44693</v>
      </c>
      <c r="C498" s="2">
        <v>44695</v>
      </c>
      <c r="D498" s="2">
        <v>44699</v>
      </c>
      <c r="E498" t="s">
        <v>20</v>
      </c>
      <c r="F498" t="s">
        <v>22</v>
      </c>
      <c r="G498" t="s">
        <v>23</v>
      </c>
      <c r="H498" t="s">
        <v>31</v>
      </c>
      <c r="I498" t="s">
        <v>34</v>
      </c>
      <c r="J498" t="s">
        <v>42</v>
      </c>
      <c r="K498" t="s">
        <v>45</v>
      </c>
      <c r="L498" t="s">
        <v>53</v>
      </c>
      <c r="M498">
        <v>10816</v>
      </c>
      <c r="N498">
        <v>0.01</v>
      </c>
      <c r="O498">
        <v>3354</v>
      </c>
      <c r="P498">
        <v>23</v>
      </c>
      <c r="Q498" t="s">
        <v>55</v>
      </c>
      <c r="R498" t="s">
        <v>62</v>
      </c>
    </row>
    <row r="499" spans="1:18">
      <c r="A499">
        <v>10498</v>
      </c>
      <c r="B499" s="2">
        <v>44694</v>
      </c>
      <c r="C499" s="2">
        <v>44696</v>
      </c>
      <c r="D499" s="2">
        <v>44700</v>
      </c>
      <c r="E499" t="s">
        <v>20</v>
      </c>
      <c r="F499" t="s">
        <v>22</v>
      </c>
      <c r="G499" t="s">
        <v>23</v>
      </c>
      <c r="H499" t="s">
        <v>32</v>
      </c>
      <c r="I499" t="s">
        <v>35</v>
      </c>
      <c r="J499" t="s">
        <v>42</v>
      </c>
      <c r="K499" t="s">
        <v>44</v>
      </c>
      <c r="L499" t="s">
        <v>53</v>
      </c>
      <c r="M499">
        <v>49295</v>
      </c>
      <c r="N499">
        <v>0.05</v>
      </c>
      <c r="O499">
        <v>8106</v>
      </c>
      <c r="P499">
        <v>24</v>
      </c>
      <c r="Q499" t="s">
        <v>55</v>
      </c>
      <c r="R499" t="s">
        <v>60</v>
      </c>
    </row>
    <row r="500" spans="1:18">
      <c r="A500">
        <v>10499</v>
      </c>
      <c r="B500" s="2">
        <v>44695</v>
      </c>
      <c r="C500" s="2">
        <v>44697</v>
      </c>
      <c r="D500" s="2">
        <v>44701</v>
      </c>
      <c r="E500" t="s">
        <v>20</v>
      </c>
      <c r="F500" t="s">
        <v>22</v>
      </c>
      <c r="G500" t="s">
        <v>25</v>
      </c>
      <c r="H500" t="s">
        <v>33</v>
      </c>
      <c r="I500" t="s">
        <v>36</v>
      </c>
      <c r="J500" t="s">
        <v>40</v>
      </c>
      <c r="K500" t="s">
        <v>45</v>
      </c>
      <c r="L500" t="s">
        <v>52</v>
      </c>
      <c r="M500">
        <v>31800</v>
      </c>
      <c r="N500">
        <v>0.03</v>
      </c>
      <c r="O500">
        <v>11093</v>
      </c>
      <c r="P500">
        <v>11</v>
      </c>
      <c r="Q500" t="s">
        <v>55</v>
      </c>
      <c r="R500" t="s">
        <v>61</v>
      </c>
    </row>
    <row r="501" spans="1:18">
      <c r="A501">
        <v>10500</v>
      </c>
      <c r="B501" s="2">
        <v>44696</v>
      </c>
      <c r="C501" s="2">
        <v>44698</v>
      </c>
      <c r="D501" s="2">
        <v>44702</v>
      </c>
      <c r="E501" t="s">
        <v>21</v>
      </c>
      <c r="F501" t="s">
        <v>22</v>
      </c>
      <c r="G501" t="s">
        <v>25</v>
      </c>
      <c r="H501" t="s">
        <v>29</v>
      </c>
      <c r="I501" t="s">
        <v>35</v>
      </c>
      <c r="J501" t="s">
        <v>42</v>
      </c>
      <c r="K501" t="s">
        <v>46</v>
      </c>
      <c r="L501" t="s">
        <v>53</v>
      </c>
      <c r="M501">
        <v>22694</v>
      </c>
      <c r="N501">
        <v>0.09</v>
      </c>
      <c r="O501">
        <v>-328</v>
      </c>
      <c r="P501">
        <v>19</v>
      </c>
      <c r="Q501" t="s">
        <v>57</v>
      </c>
      <c r="R501" t="s">
        <v>61</v>
      </c>
    </row>
    <row r="502" spans="1:18">
      <c r="A502">
        <v>10501</v>
      </c>
      <c r="B502" s="2">
        <v>44697</v>
      </c>
      <c r="C502" s="2">
        <v>44699</v>
      </c>
      <c r="D502" s="2">
        <v>44703</v>
      </c>
      <c r="E502" t="s">
        <v>19</v>
      </c>
      <c r="F502" t="s">
        <v>22</v>
      </c>
      <c r="G502" t="s">
        <v>27</v>
      </c>
      <c r="H502" t="s">
        <v>25</v>
      </c>
      <c r="I502" t="s">
        <v>34</v>
      </c>
      <c r="J502" t="s">
        <v>43</v>
      </c>
      <c r="K502" t="s">
        <v>50</v>
      </c>
      <c r="L502" t="s">
        <v>52</v>
      </c>
      <c r="M502">
        <v>36597</v>
      </c>
      <c r="N502">
        <v>0.33</v>
      </c>
      <c r="O502">
        <v>19729</v>
      </c>
      <c r="P502">
        <v>20</v>
      </c>
      <c r="Q502" t="s">
        <v>54</v>
      </c>
      <c r="R502" t="s">
        <v>60</v>
      </c>
    </row>
    <row r="503" spans="1:18">
      <c r="A503">
        <v>10502</v>
      </c>
      <c r="B503" s="2">
        <v>44698</v>
      </c>
      <c r="C503" s="2">
        <v>44700</v>
      </c>
      <c r="D503" s="2">
        <v>44704</v>
      </c>
      <c r="E503" t="s">
        <v>20</v>
      </c>
      <c r="F503" t="s">
        <v>22</v>
      </c>
      <c r="G503" t="s">
        <v>24</v>
      </c>
      <c r="H503" t="s">
        <v>31</v>
      </c>
      <c r="I503" t="s">
        <v>36</v>
      </c>
      <c r="J503" t="s">
        <v>40</v>
      </c>
      <c r="K503" t="s">
        <v>47</v>
      </c>
      <c r="L503" t="s">
        <v>52</v>
      </c>
      <c r="M503">
        <v>51053</v>
      </c>
      <c r="N503">
        <v>0.11</v>
      </c>
      <c r="O503">
        <v>6343</v>
      </c>
      <c r="P503">
        <v>16</v>
      </c>
      <c r="Q503" t="s">
        <v>56</v>
      </c>
      <c r="R503" t="s">
        <v>60</v>
      </c>
    </row>
    <row r="504" spans="1:18">
      <c r="A504">
        <v>10503</v>
      </c>
      <c r="B504" s="2">
        <v>44699</v>
      </c>
      <c r="C504" s="2">
        <v>44701</v>
      </c>
      <c r="D504" s="2">
        <v>44705</v>
      </c>
      <c r="E504" t="s">
        <v>18</v>
      </c>
      <c r="F504" t="s">
        <v>22</v>
      </c>
      <c r="G504" t="s">
        <v>27</v>
      </c>
      <c r="H504" t="s">
        <v>33</v>
      </c>
      <c r="I504" t="s">
        <v>35</v>
      </c>
      <c r="J504" t="s">
        <v>42</v>
      </c>
      <c r="K504" t="s">
        <v>49</v>
      </c>
      <c r="L504" t="s">
        <v>51</v>
      </c>
      <c r="M504">
        <v>47538</v>
      </c>
      <c r="N504">
        <v>0.27</v>
      </c>
      <c r="O504">
        <v>5706</v>
      </c>
      <c r="P504">
        <v>21</v>
      </c>
      <c r="Q504" t="s">
        <v>58</v>
      </c>
      <c r="R504" t="s">
        <v>62</v>
      </c>
    </row>
    <row r="505" spans="1:18">
      <c r="A505">
        <v>10504</v>
      </c>
      <c r="B505" s="2">
        <v>44700</v>
      </c>
      <c r="C505" s="2">
        <v>44702</v>
      </c>
      <c r="D505" s="2">
        <v>44706</v>
      </c>
      <c r="E505" t="s">
        <v>18</v>
      </c>
      <c r="F505" t="s">
        <v>22</v>
      </c>
      <c r="G505" t="s">
        <v>26</v>
      </c>
      <c r="H505" t="s">
        <v>33</v>
      </c>
      <c r="I505" t="s">
        <v>36</v>
      </c>
      <c r="J505" t="s">
        <v>39</v>
      </c>
      <c r="K505" t="s">
        <v>49</v>
      </c>
      <c r="L505" t="s">
        <v>51</v>
      </c>
      <c r="M505">
        <v>7357</v>
      </c>
      <c r="N505">
        <v>0.36</v>
      </c>
      <c r="O505">
        <v>10467</v>
      </c>
      <c r="P505">
        <v>20</v>
      </c>
      <c r="Q505" t="s">
        <v>57</v>
      </c>
      <c r="R505" t="s">
        <v>60</v>
      </c>
    </row>
    <row r="506" spans="1:18">
      <c r="A506">
        <v>10505</v>
      </c>
      <c r="B506" s="2">
        <v>44701</v>
      </c>
      <c r="C506" s="2">
        <v>44703</v>
      </c>
      <c r="D506" s="2">
        <v>44707</v>
      </c>
      <c r="E506" t="s">
        <v>18</v>
      </c>
      <c r="F506" t="s">
        <v>22</v>
      </c>
      <c r="G506" t="s">
        <v>24</v>
      </c>
      <c r="H506" t="s">
        <v>25</v>
      </c>
      <c r="I506" t="s">
        <v>35</v>
      </c>
      <c r="J506" t="s">
        <v>37</v>
      </c>
      <c r="K506" t="s">
        <v>46</v>
      </c>
      <c r="L506" t="s">
        <v>53</v>
      </c>
      <c r="M506">
        <v>4994</v>
      </c>
      <c r="N506">
        <v>0.32</v>
      </c>
      <c r="O506">
        <v>8206</v>
      </c>
      <c r="P506">
        <v>24</v>
      </c>
      <c r="Q506" t="s">
        <v>58</v>
      </c>
      <c r="R506" t="s">
        <v>59</v>
      </c>
    </row>
    <row r="507" spans="1:18">
      <c r="A507">
        <v>10506</v>
      </c>
      <c r="B507" s="2">
        <v>44702</v>
      </c>
      <c r="C507" s="2">
        <v>44704</v>
      </c>
      <c r="D507" s="2">
        <v>44708</v>
      </c>
      <c r="E507" t="s">
        <v>21</v>
      </c>
      <c r="F507" t="s">
        <v>22</v>
      </c>
      <c r="G507" t="s">
        <v>26</v>
      </c>
      <c r="H507" t="s">
        <v>33</v>
      </c>
      <c r="I507" t="s">
        <v>34</v>
      </c>
      <c r="J507" t="s">
        <v>37</v>
      </c>
      <c r="K507" t="s">
        <v>46</v>
      </c>
      <c r="L507" t="s">
        <v>53</v>
      </c>
      <c r="M507">
        <v>16216</v>
      </c>
      <c r="N507">
        <v>0.3</v>
      </c>
      <c r="O507">
        <v>15625</v>
      </c>
      <c r="P507">
        <v>23</v>
      </c>
      <c r="Q507" t="s">
        <v>54</v>
      </c>
      <c r="R507" t="s">
        <v>59</v>
      </c>
    </row>
    <row r="508" spans="1:18">
      <c r="A508">
        <v>10507</v>
      </c>
      <c r="B508" s="2">
        <v>44703</v>
      </c>
      <c r="C508" s="2">
        <v>44705</v>
      </c>
      <c r="D508" s="2">
        <v>44709</v>
      </c>
      <c r="E508" t="s">
        <v>19</v>
      </c>
      <c r="F508" t="s">
        <v>22</v>
      </c>
      <c r="G508" t="s">
        <v>23</v>
      </c>
      <c r="H508" t="s">
        <v>30</v>
      </c>
      <c r="I508" t="s">
        <v>35</v>
      </c>
      <c r="J508" t="s">
        <v>39</v>
      </c>
      <c r="K508" t="s">
        <v>46</v>
      </c>
      <c r="L508" t="s">
        <v>52</v>
      </c>
      <c r="M508">
        <v>45599</v>
      </c>
      <c r="N508">
        <v>0.39</v>
      </c>
      <c r="O508">
        <v>17415</v>
      </c>
      <c r="P508">
        <v>20</v>
      </c>
      <c r="Q508" t="s">
        <v>54</v>
      </c>
      <c r="R508" t="s">
        <v>59</v>
      </c>
    </row>
    <row r="509" spans="1:18">
      <c r="A509">
        <v>10508</v>
      </c>
      <c r="B509" s="2">
        <v>44704</v>
      </c>
      <c r="C509" s="2">
        <v>44706</v>
      </c>
      <c r="D509" s="2">
        <v>44710</v>
      </c>
      <c r="E509" t="s">
        <v>21</v>
      </c>
      <c r="F509" t="s">
        <v>22</v>
      </c>
      <c r="G509" t="s">
        <v>25</v>
      </c>
      <c r="H509" t="s">
        <v>29</v>
      </c>
      <c r="I509" t="s">
        <v>34</v>
      </c>
      <c r="J509" t="s">
        <v>43</v>
      </c>
      <c r="K509" t="s">
        <v>46</v>
      </c>
      <c r="L509" t="s">
        <v>52</v>
      </c>
      <c r="M509">
        <v>1134</v>
      </c>
      <c r="N509">
        <v>0.3</v>
      </c>
      <c r="O509">
        <v>10106</v>
      </c>
      <c r="P509">
        <v>10</v>
      </c>
      <c r="Q509" t="s">
        <v>54</v>
      </c>
      <c r="R509" t="s">
        <v>62</v>
      </c>
    </row>
    <row r="510" spans="1:18">
      <c r="A510">
        <v>10509</v>
      </c>
      <c r="B510" s="2">
        <v>44705</v>
      </c>
      <c r="C510" s="2">
        <v>44707</v>
      </c>
      <c r="D510" s="2">
        <v>44711</v>
      </c>
      <c r="E510" t="s">
        <v>18</v>
      </c>
      <c r="F510" t="s">
        <v>22</v>
      </c>
      <c r="G510" t="s">
        <v>25</v>
      </c>
      <c r="H510" t="s">
        <v>29</v>
      </c>
      <c r="I510" t="s">
        <v>36</v>
      </c>
      <c r="J510" t="s">
        <v>38</v>
      </c>
      <c r="K510" t="s">
        <v>50</v>
      </c>
      <c r="L510" t="s">
        <v>52</v>
      </c>
      <c r="M510">
        <v>52392</v>
      </c>
      <c r="N510">
        <v>0.03</v>
      </c>
      <c r="O510">
        <v>19113</v>
      </c>
      <c r="P510">
        <v>4</v>
      </c>
      <c r="Q510" t="s">
        <v>55</v>
      </c>
      <c r="R510" t="s">
        <v>59</v>
      </c>
    </row>
    <row r="511" spans="1:18">
      <c r="A511">
        <v>10510</v>
      </c>
      <c r="B511" s="2">
        <v>44706</v>
      </c>
      <c r="C511" s="2">
        <v>44708</v>
      </c>
      <c r="D511" s="2">
        <v>44712</v>
      </c>
      <c r="E511" t="s">
        <v>19</v>
      </c>
      <c r="F511" t="s">
        <v>22</v>
      </c>
      <c r="G511" t="s">
        <v>28</v>
      </c>
      <c r="H511" t="s">
        <v>33</v>
      </c>
      <c r="I511" t="s">
        <v>35</v>
      </c>
      <c r="J511" t="s">
        <v>38</v>
      </c>
      <c r="K511" t="s">
        <v>46</v>
      </c>
      <c r="L511" t="s">
        <v>53</v>
      </c>
      <c r="M511">
        <v>14791</v>
      </c>
      <c r="N511">
        <v>0.13</v>
      </c>
      <c r="O511">
        <v>2265</v>
      </c>
      <c r="P511">
        <v>6</v>
      </c>
      <c r="Q511" t="s">
        <v>55</v>
      </c>
      <c r="R511" t="s">
        <v>59</v>
      </c>
    </row>
    <row r="512" spans="1:18">
      <c r="A512">
        <v>10511</v>
      </c>
      <c r="B512" s="2">
        <v>44707</v>
      </c>
      <c r="C512" s="2">
        <v>44709</v>
      </c>
      <c r="D512" s="2">
        <v>44713</v>
      </c>
      <c r="E512" t="s">
        <v>21</v>
      </c>
      <c r="F512" t="s">
        <v>22</v>
      </c>
      <c r="G512" t="s">
        <v>24</v>
      </c>
      <c r="H512" t="s">
        <v>31</v>
      </c>
      <c r="I512" t="s">
        <v>35</v>
      </c>
      <c r="J512" t="s">
        <v>40</v>
      </c>
      <c r="K512" t="s">
        <v>48</v>
      </c>
      <c r="L512" t="s">
        <v>53</v>
      </c>
      <c r="M512">
        <v>60574</v>
      </c>
      <c r="N512">
        <v>0.39</v>
      </c>
      <c r="O512">
        <v>5133</v>
      </c>
      <c r="P512">
        <v>21</v>
      </c>
      <c r="Q512" t="s">
        <v>54</v>
      </c>
      <c r="R512" t="s">
        <v>61</v>
      </c>
    </row>
    <row r="513" spans="1:18">
      <c r="A513">
        <v>10512</v>
      </c>
      <c r="B513" s="2">
        <v>44708</v>
      </c>
      <c r="C513" s="2">
        <v>44710</v>
      </c>
      <c r="D513" s="2">
        <v>44714</v>
      </c>
      <c r="E513" t="s">
        <v>21</v>
      </c>
      <c r="F513" t="s">
        <v>22</v>
      </c>
      <c r="G513" t="s">
        <v>27</v>
      </c>
      <c r="H513" t="s">
        <v>29</v>
      </c>
      <c r="I513" t="s">
        <v>34</v>
      </c>
      <c r="J513" t="s">
        <v>40</v>
      </c>
      <c r="K513" t="s">
        <v>48</v>
      </c>
      <c r="L513" t="s">
        <v>53</v>
      </c>
      <c r="M513">
        <v>24613</v>
      </c>
      <c r="N513">
        <v>0.15</v>
      </c>
      <c r="O513">
        <v>6238</v>
      </c>
      <c r="P513">
        <v>12</v>
      </c>
      <c r="Q513" t="s">
        <v>54</v>
      </c>
      <c r="R513" t="s">
        <v>59</v>
      </c>
    </row>
    <row r="514" spans="1:18">
      <c r="A514">
        <v>10513</v>
      </c>
      <c r="B514" s="2">
        <v>44709</v>
      </c>
      <c r="C514" s="2">
        <v>44711</v>
      </c>
      <c r="D514" s="2">
        <v>44715</v>
      </c>
      <c r="E514" t="s">
        <v>19</v>
      </c>
      <c r="F514" t="s">
        <v>22</v>
      </c>
      <c r="G514" t="s">
        <v>23</v>
      </c>
      <c r="H514" t="s">
        <v>29</v>
      </c>
      <c r="I514" t="s">
        <v>36</v>
      </c>
      <c r="J514" t="s">
        <v>43</v>
      </c>
      <c r="K514" t="s">
        <v>45</v>
      </c>
      <c r="L514" t="s">
        <v>51</v>
      </c>
      <c r="M514">
        <v>70839</v>
      </c>
      <c r="N514">
        <v>0.4</v>
      </c>
      <c r="O514">
        <v>-415</v>
      </c>
      <c r="P514">
        <v>1</v>
      </c>
      <c r="Q514" t="s">
        <v>54</v>
      </c>
      <c r="R514" t="s">
        <v>62</v>
      </c>
    </row>
    <row r="515" spans="1:18">
      <c r="A515">
        <v>10514</v>
      </c>
      <c r="B515" s="2">
        <v>44710</v>
      </c>
      <c r="C515" s="2">
        <v>44712</v>
      </c>
      <c r="D515" s="2">
        <v>44716</v>
      </c>
      <c r="E515" t="s">
        <v>20</v>
      </c>
      <c r="F515" t="s">
        <v>22</v>
      </c>
      <c r="G515" t="s">
        <v>24</v>
      </c>
      <c r="H515" t="s">
        <v>30</v>
      </c>
      <c r="I515" t="s">
        <v>36</v>
      </c>
      <c r="J515" t="s">
        <v>43</v>
      </c>
      <c r="K515" t="s">
        <v>49</v>
      </c>
      <c r="L515" t="s">
        <v>52</v>
      </c>
      <c r="M515">
        <v>66581</v>
      </c>
      <c r="N515">
        <v>0.28000000000000003</v>
      </c>
      <c r="O515">
        <v>18752</v>
      </c>
      <c r="P515">
        <v>13</v>
      </c>
      <c r="Q515" t="s">
        <v>56</v>
      </c>
      <c r="R515" t="s">
        <v>60</v>
      </c>
    </row>
    <row r="516" spans="1:18">
      <c r="A516">
        <v>10515</v>
      </c>
      <c r="B516" s="2">
        <v>44711</v>
      </c>
      <c r="C516" s="2">
        <v>44713</v>
      </c>
      <c r="D516" s="2">
        <v>44717</v>
      </c>
      <c r="E516" t="s">
        <v>18</v>
      </c>
      <c r="F516" t="s">
        <v>22</v>
      </c>
      <c r="G516" t="s">
        <v>27</v>
      </c>
      <c r="H516" t="s">
        <v>31</v>
      </c>
      <c r="I516" t="s">
        <v>36</v>
      </c>
      <c r="J516" t="s">
        <v>37</v>
      </c>
      <c r="K516" t="s">
        <v>49</v>
      </c>
      <c r="L516" t="s">
        <v>53</v>
      </c>
      <c r="M516">
        <v>53483</v>
      </c>
      <c r="N516">
        <v>0.05</v>
      </c>
      <c r="O516">
        <v>7436</v>
      </c>
      <c r="P516">
        <v>22</v>
      </c>
      <c r="Q516" t="s">
        <v>55</v>
      </c>
      <c r="R516" t="s">
        <v>62</v>
      </c>
    </row>
    <row r="517" spans="1:18">
      <c r="A517">
        <v>10516</v>
      </c>
      <c r="B517" s="2">
        <v>44712</v>
      </c>
      <c r="C517" s="2">
        <v>44714</v>
      </c>
      <c r="D517" s="2">
        <v>44718</v>
      </c>
      <c r="E517" t="s">
        <v>19</v>
      </c>
      <c r="F517" t="s">
        <v>22</v>
      </c>
      <c r="G517" t="s">
        <v>28</v>
      </c>
      <c r="H517" t="s">
        <v>32</v>
      </c>
      <c r="I517" t="s">
        <v>36</v>
      </c>
      <c r="J517" t="s">
        <v>37</v>
      </c>
      <c r="K517" t="s">
        <v>44</v>
      </c>
      <c r="L517" t="s">
        <v>52</v>
      </c>
      <c r="M517">
        <v>28890</v>
      </c>
      <c r="N517">
        <v>0.32</v>
      </c>
      <c r="O517">
        <v>5804</v>
      </c>
      <c r="P517">
        <v>5</v>
      </c>
      <c r="Q517" t="s">
        <v>57</v>
      </c>
      <c r="R517" t="s">
        <v>62</v>
      </c>
    </row>
    <row r="518" spans="1:18">
      <c r="A518">
        <v>10517</v>
      </c>
      <c r="B518" s="2">
        <v>44713</v>
      </c>
      <c r="C518" s="2">
        <v>44715</v>
      </c>
      <c r="D518" s="2">
        <v>44719</v>
      </c>
      <c r="E518" t="s">
        <v>21</v>
      </c>
      <c r="F518" t="s">
        <v>22</v>
      </c>
      <c r="G518" t="s">
        <v>27</v>
      </c>
      <c r="H518" t="s">
        <v>33</v>
      </c>
      <c r="I518" t="s">
        <v>36</v>
      </c>
      <c r="J518" t="s">
        <v>43</v>
      </c>
      <c r="K518" t="s">
        <v>46</v>
      </c>
      <c r="L518" t="s">
        <v>51</v>
      </c>
      <c r="M518">
        <v>14371</v>
      </c>
      <c r="N518">
        <v>0.08</v>
      </c>
      <c r="O518">
        <v>17957</v>
      </c>
      <c r="P518">
        <v>12</v>
      </c>
      <c r="Q518" t="s">
        <v>58</v>
      </c>
      <c r="R518" t="s">
        <v>61</v>
      </c>
    </row>
    <row r="519" spans="1:18">
      <c r="A519">
        <v>10518</v>
      </c>
      <c r="B519" s="2">
        <v>44714</v>
      </c>
      <c r="C519" s="2">
        <v>44716</v>
      </c>
      <c r="D519" s="2">
        <v>44720</v>
      </c>
      <c r="E519" t="s">
        <v>19</v>
      </c>
      <c r="F519" t="s">
        <v>22</v>
      </c>
      <c r="G519" t="s">
        <v>25</v>
      </c>
      <c r="H519" t="s">
        <v>29</v>
      </c>
      <c r="I519" t="s">
        <v>34</v>
      </c>
      <c r="J519" t="s">
        <v>38</v>
      </c>
      <c r="K519" t="s">
        <v>49</v>
      </c>
      <c r="L519" t="s">
        <v>51</v>
      </c>
      <c r="M519">
        <v>65307</v>
      </c>
      <c r="N519">
        <v>0.13</v>
      </c>
      <c r="O519">
        <v>313</v>
      </c>
      <c r="P519">
        <v>4</v>
      </c>
      <c r="Q519" t="s">
        <v>58</v>
      </c>
      <c r="R519" t="s">
        <v>59</v>
      </c>
    </row>
    <row r="520" spans="1:18">
      <c r="A520">
        <v>10519</v>
      </c>
      <c r="B520" s="2">
        <v>44715</v>
      </c>
      <c r="C520" s="2">
        <v>44717</v>
      </c>
      <c r="D520" s="2">
        <v>44721</v>
      </c>
      <c r="E520" t="s">
        <v>21</v>
      </c>
      <c r="F520" t="s">
        <v>22</v>
      </c>
      <c r="G520" t="s">
        <v>24</v>
      </c>
      <c r="H520" t="s">
        <v>25</v>
      </c>
      <c r="I520" t="s">
        <v>36</v>
      </c>
      <c r="J520" t="s">
        <v>38</v>
      </c>
      <c r="K520" t="s">
        <v>49</v>
      </c>
      <c r="L520" t="s">
        <v>53</v>
      </c>
      <c r="M520">
        <v>27318</v>
      </c>
      <c r="N520">
        <v>0.15</v>
      </c>
      <c r="O520">
        <v>14971</v>
      </c>
      <c r="P520">
        <v>1</v>
      </c>
      <c r="Q520" t="s">
        <v>54</v>
      </c>
      <c r="R520" t="s">
        <v>62</v>
      </c>
    </row>
    <row r="521" spans="1:18">
      <c r="A521">
        <v>10520</v>
      </c>
      <c r="B521" s="2">
        <v>44716</v>
      </c>
      <c r="C521" s="2">
        <v>44718</v>
      </c>
      <c r="D521" s="2">
        <v>44722</v>
      </c>
      <c r="E521" t="s">
        <v>21</v>
      </c>
      <c r="F521" t="s">
        <v>22</v>
      </c>
      <c r="G521" t="s">
        <v>28</v>
      </c>
      <c r="H521" t="s">
        <v>25</v>
      </c>
      <c r="I521" t="s">
        <v>34</v>
      </c>
      <c r="J521" t="s">
        <v>41</v>
      </c>
      <c r="K521" t="s">
        <v>48</v>
      </c>
      <c r="L521" t="s">
        <v>51</v>
      </c>
      <c r="M521">
        <v>62326</v>
      </c>
      <c r="N521">
        <v>0.3</v>
      </c>
      <c r="O521">
        <v>8864</v>
      </c>
      <c r="P521">
        <v>13</v>
      </c>
      <c r="Q521" t="s">
        <v>54</v>
      </c>
      <c r="R521" t="s">
        <v>61</v>
      </c>
    </row>
    <row r="522" spans="1:18">
      <c r="A522">
        <v>10521</v>
      </c>
      <c r="B522" s="2">
        <v>44717</v>
      </c>
      <c r="C522" s="2">
        <v>44719</v>
      </c>
      <c r="D522" s="2">
        <v>44723</v>
      </c>
      <c r="E522" t="s">
        <v>20</v>
      </c>
      <c r="F522" t="s">
        <v>22</v>
      </c>
      <c r="G522" t="s">
        <v>28</v>
      </c>
      <c r="H522" t="s">
        <v>30</v>
      </c>
      <c r="I522" t="s">
        <v>36</v>
      </c>
      <c r="J522" t="s">
        <v>38</v>
      </c>
      <c r="K522" t="s">
        <v>44</v>
      </c>
      <c r="L522" t="s">
        <v>51</v>
      </c>
      <c r="M522">
        <v>72849</v>
      </c>
      <c r="N522">
        <v>0.04</v>
      </c>
      <c r="O522">
        <v>16358</v>
      </c>
      <c r="P522">
        <v>9</v>
      </c>
      <c r="Q522" t="s">
        <v>57</v>
      </c>
      <c r="R522" t="s">
        <v>62</v>
      </c>
    </row>
    <row r="523" spans="1:18">
      <c r="A523">
        <v>10522</v>
      </c>
      <c r="B523" s="2">
        <v>44718</v>
      </c>
      <c r="C523" s="2">
        <v>44720</v>
      </c>
      <c r="D523" s="2">
        <v>44724</v>
      </c>
      <c r="E523" t="s">
        <v>21</v>
      </c>
      <c r="F523" t="s">
        <v>22</v>
      </c>
      <c r="G523" t="s">
        <v>25</v>
      </c>
      <c r="H523" t="s">
        <v>31</v>
      </c>
      <c r="I523" t="s">
        <v>34</v>
      </c>
      <c r="J523" t="s">
        <v>38</v>
      </c>
      <c r="K523" t="s">
        <v>50</v>
      </c>
      <c r="L523" t="s">
        <v>51</v>
      </c>
      <c r="M523">
        <v>41614</v>
      </c>
      <c r="N523">
        <v>0.26</v>
      </c>
      <c r="O523">
        <v>7820</v>
      </c>
      <c r="P523">
        <v>20</v>
      </c>
      <c r="Q523" t="s">
        <v>58</v>
      </c>
      <c r="R523" t="s">
        <v>62</v>
      </c>
    </row>
    <row r="524" spans="1:18">
      <c r="A524">
        <v>10523</v>
      </c>
      <c r="B524" s="2">
        <v>44719</v>
      </c>
      <c r="C524" s="2">
        <v>44721</v>
      </c>
      <c r="D524" s="2">
        <v>44725</v>
      </c>
      <c r="E524" t="s">
        <v>21</v>
      </c>
      <c r="F524" t="s">
        <v>22</v>
      </c>
      <c r="G524" t="s">
        <v>27</v>
      </c>
      <c r="H524" t="s">
        <v>29</v>
      </c>
      <c r="I524" t="s">
        <v>34</v>
      </c>
      <c r="J524" t="s">
        <v>37</v>
      </c>
      <c r="K524" t="s">
        <v>48</v>
      </c>
      <c r="L524" t="s">
        <v>51</v>
      </c>
      <c r="M524">
        <v>60749</v>
      </c>
      <c r="N524">
        <v>0.34</v>
      </c>
      <c r="O524">
        <v>19068</v>
      </c>
      <c r="P524">
        <v>16</v>
      </c>
      <c r="Q524" t="s">
        <v>54</v>
      </c>
      <c r="R524" t="s">
        <v>60</v>
      </c>
    </row>
    <row r="525" spans="1:18">
      <c r="A525">
        <v>10524</v>
      </c>
      <c r="B525" s="2">
        <v>44720</v>
      </c>
      <c r="C525" s="2">
        <v>44722</v>
      </c>
      <c r="D525" s="2">
        <v>44726</v>
      </c>
      <c r="E525" t="s">
        <v>19</v>
      </c>
      <c r="F525" t="s">
        <v>22</v>
      </c>
      <c r="G525" t="s">
        <v>28</v>
      </c>
      <c r="H525" t="s">
        <v>29</v>
      </c>
      <c r="I525" t="s">
        <v>35</v>
      </c>
      <c r="J525" t="s">
        <v>38</v>
      </c>
      <c r="K525" t="s">
        <v>50</v>
      </c>
      <c r="L525" t="s">
        <v>51</v>
      </c>
      <c r="M525">
        <v>31457</v>
      </c>
      <c r="N525">
        <v>0.11</v>
      </c>
      <c r="O525">
        <v>2796</v>
      </c>
      <c r="P525">
        <v>13</v>
      </c>
      <c r="Q525" t="s">
        <v>55</v>
      </c>
      <c r="R525" t="s">
        <v>62</v>
      </c>
    </row>
    <row r="526" spans="1:18">
      <c r="A526">
        <v>10525</v>
      </c>
      <c r="B526" s="2">
        <v>44721</v>
      </c>
      <c r="C526" s="2">
        <v>44723</v>
      </c>
      <c r="D526" s="2">
        <v>44727</v>
      </c>
      <c r="E526" t="s">
        <v>18</v>
      </c>
      <c r="F526" t="s">
        <v>22</v>
      </c>
      <c r="G526" t="s">
        <v>27</v>
      </c>
      <c r="H526" t="s">
        <v>31</v>
      </c>
      <c r="I526" t="s">
        <v>34</v>
      </c>
      <c r="J526" t="s">
        <v>37</v>
      </c>
      <c r="K526" t="s">
        <v>46</v>
      </c>
      <c r="L526" t="s">
        <v>52</v>
      </c>
      <c r="M526">
        <v>29642</v>
      </c>
      <c r="N526">
        <v>0.34</v>
      </c>
      <c r="O526">
        <v>391</v>
      </c>
      <c r="P526">
        <v>21</v>
      </c>
      <c r="Q526" t="s">
        <v>57</v>
      </c>
      <c r="R526" t="s">
        <v>62</v>
      </c>
    </row>
    <row r="527" spans="1:18">
      <c r="A527">
        <v>10526</v>
      </c>
      <c r="B527" s="2">
        <v>44722</v>
      </c>
      <c r="C527" s="2">
        <v>44724</v>
      </c>
      <c r="D527" s="2">
        <v>44728</v>
      </c>
      <c r="E527" t="s">
        <v>20</v>
      </c>
      <c r="F527" t="s">
        <v>22</v>
      </c>
      <c r="G527" t="s">
        <v>25</v>
      </c>
      <c r="H527" t="s">
        <v>32</v>
      </c>
      <c r="I527" t="s">
        <v>35</v>
      </c>
      <c r="J527" t="s">
        <v>40</v>
      </c>
      <c r="K527" t="s">
        <v>45</v>
      </c>
      <c r="L527" t="s">
        <v>52</v>
      </c>
      <c r="M527">
        <v>48754</v>
      </c>
      <c r="N527">
        <v>0.31</v>
      </c>
      <c r="O527">
        <v>19105</v>
      </c>
      <c r="P527">
        <v>11</v>
      </c>
      <c r="Q527" t="s">
        <v>58</v>
      </c>
      <c r="R527" t="s">
        <v>62</v>
      </c>
    </row>
    <row r="528" spans="1:18">
      <c r="A528">
        <v>10527</v>
      </c>
      <c r="B528" s="2">
        <v>44723</v>
      </c>
      <c r="C528" s="2">
        <v>44725</v>
      </c>
      <c r="D528" s="2">
        <v>44729</v>
      </c>
      <c r="E528" t="s">
        <v>19</v>
      </c>
      <c r="F528" t="s">
        <v>22</v>
      </c>
      <c r="G528" t="s">
        <v>27</v>
      </c>
      <c r="H528" t="s">
        <v>29</v>
      </c>
      <c r="I528" t="s">
        <v>34</v>
      </c>
      <c r="J528" t="s">
        <v>39</v>
      </c>
      <c r="K528" t="s">
        <v>47</v>
      </c>
      <c r="L528" t="s">
        <v>52</v>
      </c>
      <c r="M528">
        <v>9913</v>
      </c>
      <c r="N528">
        <v>0.11</v>
      </c>
      <c r="O528">
        <v>11032</v>
      </c>
      <c r="P528">
        <v>17</v>
      </c>
      <c r="Q528" t="s">
        <v>57</v>
      </c>
      <c r="R528" t="s">
        <v>59</v>
      </c>
    </row>
    <row r="529" spans="1:18">
      <c r="A529">
        <v>10528</v>
      </c>
      <c r="B529" s="2">
        <v>44724</v>
      </c>
      <c r="C529" s="2">
        <v>44726</v>
      </c>
      <c r="D529" s="2">
        <v>44730</v>
      </c>
      <c r="E529" t="s">
        <v>20</v>
      </c>
      <c r="F529" t="s">
        <v>22</v>
      </c>
      <c r="G529" t="s">
        <v>25</v>
      </c>
      <c r="H529" t="s">
        <v>30</v>
      </c>
      <c r="I529" t="s">
        <v>35</v>
      </c>
      <c r="J529" t="s">
        <v>39</v>
      </c>
      <c r="K529" t="s">
        <v>47</v>
      </c>
      <c r="L529" t="s">
        <v>52</v>
      </c>
      <c r="M529">
        <v>62661</v>
      </c>
      <c r="N529">
        <v>0.1</v>
      </c>
      <c r="O529">
        <v>-1666</v>
      </c>
      <c r="P529">
        <v>7</v>
      </c>
      <c r="Q529" t="s">
        <v>54</v>
      </c>
      <c r="R529" t="s">
        <v>60</v>
      </c>
    </row>
    <row r="530" spans="1:18">
      <c r="A530">
        <v>10529</v>
      </c>
      <c r="B530" s="2">
        <v>44725</v>
      </c>
      <c r="C530" s="2">
        <v>44727</v>
      </c>
      <c r="D530" s="2">
        <v>44731</v>
      </c>
      <c r="E530" t="s">
        <v>18</v>
      </c>
      <c r="F530" t="s">
        <v>22</v>
      </c>
      <c r="G530" t="s">
        <v>25</v>
      </c>
      <c r="H530" t="s">
        <v>29</v>
      </c>
      <c r="I530" t="s">
        <v>36</v>
      </c>
      <c r="J530" t="s">
        <v>40</v>
      </c>
      <c r="K530" t="s">
        <v>48</v>
      </c>
      <c r="L530" t="s">
        <v>53</v>
      </c>
      <c r="M530">
        <v>56430</v>
      </c>
      <c r="N530">
        <v>0.05</v>
      </c>
      <c r="O530">
        <v>19609</v>
      </c>
      <c r="P530">
        <v>22</v>
      </c>
      <c r="Q530" t="s">
        <v>58</v>
      </c>
      <c r="R530" t="s">
        <v>62</v>
      </c>
    </row>
    <row r="531" spans="1:18">
      <c r="A531">
        <v>10530</v>
      </c>
      <c r="B531" s="2">
        <v>44726</v>
      </c>
      <c r="C531" s="2">
        <v>44728</v>
      </c>
      <c r="D531" s="2">
        <v>44732</v>
      </c>
      <c r="E531" t="s">
        <v>19</v>
      </c>
      <c r="F531" t="s">
        <v>22</v>
      </c>
      <c r="G531" t="s">
        <v>28</v>
      </c>
      <c r="H531" t="s">
        <v>32</v>
      </c>
      <c r="I531" t="s">
        <v>35</v>
      </c>
      <c r="J531" t="s">
        <v>37</v>
      </c>
      <c r="K531" t="s">
        <v>44</v>
      </c>
      <c r="L531" t="s">
        <v>51</v>
      </c>
      <c r="M531">
        <v>61206</v>
      </c>
      <c r="N531">
        <v>0.14000000000000001</v>
      </c>
      <c r="O531">
        <v>3649</v>
      </c>
      <c r="P531">
        <v>4</v>
      </c>
      <c r="Q531" t="s">
        <v>55</v>
      </c>
      <c r="R531" t="s">
        <v>62</v>
      </c>
    </row>
    <row r="532" spans="1:18">
      <c r="A532">
        <v>10531</v>
      </c>
      <c r="B532" s="2">
        <v>44727</v>
      </c>
      <c r="C532" s="2">
        <v>44729</v>
      </c>
      <c r="D532" s="2">
        <v>44733</v>
      </c>
      <c r="E532" t="s">
        <v>20</v>
      </c>
      <c r="F532" t="s">
        <v>22</v>
      </c>
      <c r="G532" t="s">
        <v>27</v>
      </c>
      <c r="H532" t="s">
        <v>33</v>
      </c>
      <c r="I532" t="s">
        <v>34</v>
      </c>
      <c r="J532" t="s">
        <v>38</v>
      </c>
      <c r="K532" t="s">
        <v>48</v>
      </c>
      <c r="L532" t="s">
        <v>52</v>
      </c>
      <c r="M532">
        <v>54717</v>
      </c>
      <c r="N532">
        <v>0.19</v>
      </c>
      <c r="O532">
        <v>4</v>
      </c>
      <c r="P532">
        <v>21</v>
      </c>
      <c r="Q532" t="s">
        <v>54</v>
      </c>
      <c r="R532" t="s">
        <v>60</v>
      </c>
    </row>
    <row r="533" spans="1:18">
      <c r="A533">
        <v>10532</v>
      </c>
      <c r="B533" s="2">
        <v>44728</v>
      </c>
      <c r="C533" s="2">
        <v>44730</v>
      </c>
      <c r="D533" s="2">
        <v>44734</v>
      </c>
      <c r="E533" t="s">
        <v>21</v>
      </c>
      <c r="F533" t="s">
        <v>22</v>
      </c>
      <c r="G533" t="s">
        <v>24</v>
      </c>
      <c r="H533" t="s">
        <v>29</v>
      </c>
      <c r="I533" t="s">
        <v>35</v>
      </c>
      <c r="J533" t="s">
        <v>42</v>
      </c>
      <c r="K533" t="s">
        <v>45</v>
      </c>
      <c r="L533" t="s">
        <v>53</v>
      </c>
      <c r="M533">
        <v>8248</v>
      </c>
      <c r="N533">
        <v>0.31</v>
      </c>
      <c r="O533">
        <v>8186</v>
      </c>
      <c r="P533">
        <v>12</v>
      </c>
      <c r="Q533" t="s">
        <v>57</v>
      </c>
      <c r="R533" t="s">
        <v>60</v>
      </c>
    </row>
    <row r="534" spans="1:18">
      <c r="A534">
        <v>10533</v>
      </c>
      <c r="B534" s="2">
        <v>44729</v>
      </c>
      <c r="C534" s="2">
        <v>44731</v>
      </c>
      <c r="D534" s="2">
        <v>44735</v>
      </c>
      <c r="E534" t="s">
        <v>20</v>
      </c>
      <c r="F534" t="s">
        <v>22</v>
      </c>
      <c r="G534" t="s">
        <v>25</v>
      </c>
      <c r="H534" t="s">
        <v>30</v>
      </c>
      <c r="I534" t="s">
        <v>34</v>
      </c>
      <c r="J534" t="s">
        <v>43</v>
      </c>
      <c r="K534" t="s">
        <v>48</v>
      </c>
      <c r="L534" t="s">
        <v>53</v>
      </c>
      <c r="M534">
        <v>18396</v>
      </c>
      <c r="N534">
        <v>0.32</v>
      </c>
      <c r="O534">
        <v>14494</v>
      </c>
      <c r="P534">
        <v>16</v>
      </c>
      <c r="Q534" t="s">
        <v>58</v>
      </c>
      <c r="R534" t="s">
        <v>60</v>
      </c>
    </row>
    <row r="535" spans="1:18">
      <c r="A535">
        <v>10534</v>
      </c>
      <c r="B535" s="2">
        <v>44730</v>
      </c>
      <c r="C535" s="2">
        <v>44732</v>
      </c>
      <c r="D535" s="2">
        <v>44736</v>
      </c>
      <c r="E535" t="s">
        <v>20</v>
      </c>
      <c r="F535" t="s">
        <v>22</v>
      </c>
      <c r="G535" t="s">
        <v>23</v>
      </c>
      <c r="H535" t="s">
        <v>33</v>
      </c>
      <c r="I535" t="s">
        <v>36</v>
      </c>
      <c r="J535" t="s">
        <v>43</v>
      </c>
      <c r="K535" t="s">
        <v>48</v>
      </c>
      <c r="L535" t="s">
        <v>52</v>
      </c>
      <c r="M535">
        <v>6201</v>
      </c>
      <c r="N535">
        <v>0.02</v>
      </c>
      <c r="O535">
        <v>10358</v>
      </c>
      <c r="P535">
        <v>4</v>
      </c>
      <c r="Q535" t="s">
        <v>56</v>
      </c>
      <c r="R535" t="s">
        <v>61</v>
      </c>
    </row>
    <row r="536" spans="1:18">
      <c r="A536">
        <v>10535</v>
      </c>
      <c r="B536" s="2">
        <v>44731</v>
      </c>
      <c r="C536" s="2">
        <v>44733</v>
      </c>
      <c r="D536" s="2">
        <v>44737</v>
      </c>
      <c r="E536" t="s">
        <v>20</v>
      </c>
      <c r="F536" t="s">
        <v>22</v>
      </c>
      <c r="G536" t="s">
        <v>27</v>
      </c>
      <c r="H536" t="s">
        <v>29</v>
      </c>
      <c r="I536" t="s">
        <v>34</v>
      </c>
      <c r="J536" t="s">
        <v>41</v>
      </c>
      <c r="K536" t="s">
        <v>46</v>
      </c>
      <c r="L536" t="s">
        <v>51</v>
      </c>
      <c r="M536">
        <v>21560</v>
      </c>
      <c r="N536">
        <v>0.31</v>
      </c>
      <c r="O536">
        <v>8513</v>
      </c>
      <c r="P536">
        <v>11</v>
      </c>
      <c r="Q536" t="s">
        <v>54</v>
      </c>
      <c r="R536" t="s">
        <v>61</v>
      </c>
    </row>
    <row r="537" spans="1:18">
      <c r="A537">
        <v>10536</v>
      </c>
      <c r="B537" s="2">
        <v>44732</v>
      </c>
      <c r="C537" s="2">
        <v>44734</v>
      </c>
      <c r="D537" s="2">
        <v>44738</v>
      </c>
      <c r="E537" t="s">
        <v>19</v>
      </c>
      <c r="F537" t="s">
        <v>22</v>
      </c>
      <c r="G537" t="s">
        <v>25</v>
      </c>
      <c r="H537" t="s">
        <v>33</v>
      </c>
      <c r="I537" t="s">
        <v>36</v>
      </c>
      <c r="J537" t="s">
        <v>42</v>
      </c>
      <c r="K537" t="s">
        <v>45</v>
      </c>
      <c r="L537" t="s">
        <v>52</v>
      </c>
      <c r="M537">
        <v>4362</v>
      </c>
      <c r="N537">
        <v>0.26</v>
      </c>
      <c r="O537">
        <v>7691</v>
      </c>
      <c r="P537">
        <v>6</v>
      </c>
      <c r="Q537" t="s">
        <v>58</v>
      </c>
      <c r="R537" t="s">
        <v>62</v>
      </c>
    </row>
    <row r="538" spans="1:18">
      <c r="A538">
        <v>10537</v>
      </c>
      <c r="B538" s="2">
        <v>44733</v>
      </c>
      <c r="C538" s="2">
        <v>44735</v>
      </c>
      <c r="D538" s="2">
        <v>44739</v>
      </c>
      <c r="E538" t="s">
        <v>19</v>
      </c>
      <c r="F538" t="s">
        <v>22</v>
      </c>
      <c r="G538" t="s">
        <v>23</v>
      </c>
      <c r="H538" t="s">
        <v>30</v>
      </c>
      <c r="I538" t="s">
        <v>34</v>
      </c>
      <c r="J538" t="s">
        <v>37</v>
      </c>
      <c r="K538" t="s">
        <v>50</v>
      </c>
      <c r="L538" t="s">
        <v>51</v>
      </c>
      <c r="M538">
        <v>46965</v>
      </c>
      <c r="N538">
        <v>0.23</v>
      </c>
      <c r="O538">
        <v>14027</v>
      </c>
      <c r="P538">
        <v>6</v>
      </c>
      <c r="Q538" t="s">
        <v>57</v>
      </c>
      <c r="R538" t="s">
        <v>61</v>
      </c>
    </row>
    <row r="539" spans="1:18">
      <c r="A539">
        <v>10538</v>
      </c>
      <c r="B539" s="2">
        <v>44734</v>
      </c>
      <c r="C539" s="2">
        <v>44736</v>
      </c>
      <c r="D539" s="2">
        <v>44740</v>
      </c>
      <c r="E539" t="s">
        <v>19</v>
      </c>
      <c r="F539" t="s">
        <v>22</v>
      </c>
      <c r="G539" t="s">
        <v>26</v>
      </c>
      <c r="H539" t="s">
        <v>29</v>
      </c>
      <c r="I539" t="s">
        <v>35</v>
      </c>
      <c r="J539" t="s">
        <v>41</v>
      </c>
      <c r="K539" t="s">
        <v>49</v>
      </c>
      <c r="L539" t="s">
        <v>52</v>
      </c>
      <c r="M539">
        <v>21779</v>
      </c>
      <c r="N539">
        <v>0.39</v>
      </c>
      <c r="O539">
        <v>16096</v>
      </c>
      <c r="P539">
        <v>2</v>
      </c>
      <c r="Q539" t="s">
        <v>55</v>
      </c>
      <c r="R539" t="s">
        <v>59</v>
      </c>
    </row>
    <row r="540" spans="1:18">
      <c r="A540">
        <v>10539</v>
      </c>
      <c r="B540" s="2">
        <v>44735</v>
      </c>
      <c r="C540" s="2">
        <v>44737</v>
      </c>
      <c r="D540" s="2">
        <v>44741</v>
      </c>
      <c r="E540" t="s">
        <v>21</v>
      </c>
      <c r="F540" t="s">
        <v>22</v>
      </c>
      <c r="G540" t="s">
        <v>24</v>
      </c>
      <c r="H540" t="s">
        <v>29</v>
      </c>
      <c r="I540" t="s">
        <v>34</v>
      </c>
      <c r="J540" t="s">
        <v>37</v>
      </c>
      <c r="K540" t="s">
        <v>50</v>
      </c>
      <c r="L540" t="s">
        <v>51</v>
      </c>
      <c r="M540">
        <v>25728</v>
      </c>
      <c r="N540">
        <v>0.17</v>
      </c>
      <c r="O540">
        <v>2706</v>
      </c>
      <c r="P540">
        <v>20</v>
      </c>
      <c r="Q540" t="s">
        <v>56</v>
      </c>
      <c r="R540" t="s">
        <v>60</v>
      </c>
    </row>
    <row r="541" spans="1:18">
      <c r="A541">
        <v>10540</v>
      </c>
      <c r="B541" s="2">
        <v>44736</v>
      </c>
      <c r="C541" s="2">
        <v>44738</v>
      </c>
      <c r="D541" s="2">
        <v>44742</v>
      </c>
      <c r="E541" t="s">
        <v>19</v>
      </c>
      <c r="F541" t="s">
        <v>22</v>
      </c>
      <c r="G541" t="s">
        <v>25</v>
      </c>
      <c r="H541" t="s">
        <v>32</v>
      </c>
      <c r="I541" t="s">
        <v>35</v>
      </c>
      <c r="J541" t="s">
        <v>41</v>
      </c>
      <c r="K541" t="s">
        <v>44</v>
      </c>
      <c r="L541" t="s">
        <v>52</v>
      </c>
      <c r="M541">
        <v>51420</v>
      </c>
      <c r="N541">
        <v>0.01</v>
      </c>
      <c r="O541">
        <v>19392</v>
      </c>
      <c r="P541">
        <v>1</v>
      </c>
      <c r="Q541" t="s">
        <v>58</v>
      </c>
      <c r="R541" t="s">
        <v>61</v>
      </c>
    </row>
    <row r="542" spans="1:18">
      <c r="A542">
        <v>10541</v>
      </c>
      <c r="B542" s="2">
        <v>44737</v>
      </c>
      <c r="C542" s="2">
        <v>44739</v>
      </c>
      <c r="D542" s="2">
        <v>44743</v>
      </c>
      <c r="E542" t="s">
        <v>21</v>
      </c>
      <c r="F542" t="s">
        <v>22</v>
      </c>
      <c r="G542" t="s">
        <v>23</v>
      </c>
      <c r="H542" t="s">
        <v>33</v>
      </c>
      <c r="I542" t="s">
        <v>35</v>
      </c>
      <c r="J542" t="s">
        <v>37</v>
      </c>
      <c r="K542" t="s">
        <v>47</v>
      </c>
      <c r="L542" t="s">
        <v>52</v>
      </c>
      <c r="M542">
        <v>12478</v>
      </c>
      <c r="N542">
        <v>0.14000000000000001</v>
      </c>
      <c r="O542">
        <v>12136</v>
      </c>
      <c r="P542">
        <v>22</v>
      </c>
      <c r="Q542" t="s">
        <v>57</v>
      </c>
      <c r="R542" t="s">
        <v>60</v>
      </c>
    </row>
    <row r="543" spans="1:18">
      <c r="A543">
        <v>10542</v>
      </c>
      <c r="B543" s="2">
        <v>44738</v>
      </c>
      <c r="C543" s="2">
        <v>44740</v>
      </c>
      <c r="D543" s="2">
        <v>44744</v>
      </c>
      <c r="E543" t="s">
        <v>20</v>
      </c>
      <c r="F543" t="s">
        <v>22</v>
      </c>
      <c r="G543" t="s">
        <v>28</v>
      </c>
      <c r="H543" t="s">
        <v>29</v>
      </c>
      <c r="I543" t="s">
        <v>36</v>
      </c>
      <c r="J543" t="s">
        <v>42</v>
      </c>
      <c r="K543" t="s">
        <v>50</v>
      </c>
      <c r="L543" t="s">
        <v>53</v>
      </c>
      <c r="M543">
        <v>41870</v>
      </c>
      <c r="N543">
        <v>0.32</v>
      </c>
      <c r="O543">
        <v>14036</v>
      </c>
      <c r="P543">
        <v>21</v>
      </c>
      <c r="Q543" t="s">
        <v>56</v>
      </c>
      <c r="R543" t="s">
        <v>59</v>
      </c>
    </row>
    <row r="544" spans="1:18">
      <c r="A544">
        <v>10543</v>
      </c>
      <c r="B544" s="2">
        <v>44739</v>
      </c>
      <c r="C544" s="2">
        <v>44741</v>
      </c>
      <c r="D544" s="2">
        <v>44745</v>
      </c>
      <c r="E544" t="s">
        <v>18</v>
      </c>
      <c r="F544" t="s">
        <v>22</v>
      </c>
      <c r="G544" t="s">
        <v>27</v>
      </c>
      <c r="H544" t="s">
        <v>32</v>
      </c>
      <c r="I544" t="s">
        <v>34</v>
      </c>
      <c r="J544" t="s">
        <v>42</v>
      </c>
      <c r="K544" t="s">
        <v>50</v>
      </c>
      <c r="L544" t="s">
        <v>52</v>
      </c>
      <c r="M544">
        <v>63044</v>
      </c>
      <c r="N544">
        <v>0.24</v>
      </c>
      <c r="O544">
        <v>12815</v>
      </c>
      <c r="P544">
        <v>18</v>
      </c>
      <c r="Q544" t="s">
        <v>56</v>
      </c>
      <c r="R544" t="s">
        <v>61</v>
      </c>
    </row>
    <row r="545" spans="1:18">
      <c r="A545">
        <v>10544</v>
      </c>
      <c r="B545" s="2">
        <v>44740</v>
      </c>
      <c r="C545" s="2">
        <v>44742</v>
      </c>
      <c r="D545" s="2">
        <v>44746</v>
      </c>
      <c r="E545" t="s">
        <v>18</v>
      </c>
      <c r="F545" t="s">
        <v>22</v>
      </c>
      <c r="G545" t="s">
        <v>28</v>
      </c>
      <c r="H545" t="s">
        <v>25</v>
      </c>
      <c r="I545" t="s">
        <v>36</v>
      </c>
      <c r="J545" t="s">
        <v>40</v>
      </c>
      <c r="K545" t="s">
        <v>50</v>
      </c>
      <c r="L545" t="s">
        <v>52</v>
      </c>
      <c r="M545">
        <v>18482</v>
      </c>
      <c r="N545">
        <v>0.12</v>
      </c>
      <c r="O545">
        <v>6280</v>
      </c>
      <c r="P545">
        <v>8</v>
      </c>
      <c r="Q545" t="s">
        <v>55</v>
      </c>
      <c r="R545" t="s">
        <v>60</v>
      </c>
    </row>
    <row r="546" spans="1:18">
      <c r="A546">
        <v>10545</v>
      </c>
      <c r="B546" s="2">
        <v>44741</v>
      </c>
      <c r="C546" s="2">
        <v>44743</v>
      </c>
      <c r="D546" s="2">
        <v>44747</v>
      </c>
      <c r="E546" t="s">
        <v>18</v>
      </c>
      <c r="F546" t="s">
        <v>22</v>
      </c>
      <c r="G546" t="s">
        <v>24</v>
      </c>
      <c r="H546" t="s">
        <v>32</v>
      </c>
      <c r="I546" t="s">
        <v>36</v>
      </c>
      <c r="J546" t="s">
        <v>40</v>
      </c>
      <c r="K546" t="s">
        <v>47</v>
      </c>
      <c r="L546" t="s">
        <v>51</v>
      </c>
      <c r="M546">
        <v>51910</v>
      </c>
      <c r="N546">
        <v>0.09</v>
      </c>
      <c r="O546">
        <v>4946</v>
      </c>
      <c r="P546">
        <v>5</v>
      </c>
      <c r="Q546" t="s">
        <v>56</v>
      </c>
      <c r="R546" t="s">
        <v>61</v>
      </c>
    </row>
    <row r="547" spans="1:18">
      <c r="A547">
        <v>10546</v>
      </c>
      <c r="B547" s="2">
        <v>44742</v>
      </c>
      <c r="C547" s="2">
        <v>44744</v>
      </c>
      <c r="D547" s="2">
        <v>44748</v>
      </c>
      <c r="E547" t="s">
        <v>20</v>
      </c>
      <c r="F547" t="s">
        <v>22</v>
      </c>
      <c r="G547" t="s">
        <v>26</v>
      </c>
      <c r="H547" t="s">
        <v>30</v>
      </c>
      <c r="I547" t="s">
        <v>34</v>
      </c>
      <c r="J547" t="s">
        <v>39</v>
      </c>
      <c r="K547" t="s">
        <v>46</v>
      </c>
      <c r="L547" t="s">
        <v>53</v>
      </c>
      <c r="M547">
        <v>54738</v>
      </c>
      <c r="N547">
        <v>0.04</v>
      </c>
      <c r="O547">
        <v>14457</v>
      </c>
      <c r="P547">
        <v>7</v>
      </c>
      <c r="Q547" t="s">
        <v>56</v>
      </c>
      <c r="R547" t="s">
        <v>62</v>
      </c>
    </row>
    <row r="548" spans="1:18">
      <c r="A548">
        <v>10547</v>
      </c>
      <c r="B548" s="2">
        <v>44743</v>
      </c>
      <c r="C548" s="2">
        <v>44745</v>
      </c>
      <c r="D548" s="2">
        <v>44749</v>
      </c>
      <c r="E548" t="s">
        <v>21</v>
      </c>
      <c r="F548" t="s">
        <v>22</v>
      </c>
      <c r="G548" t="s">
        <v>23</v>
      </c>
      <c r="H548" t="s">
        <v>25</v>
      </c>
      <c r="I548" t="s">
        <v>36</v>
      </c>
      <c r="J548" t="s">
        <v>37</v>
      </c>
      <c r="K548" t="s">
        <v>50</v>
      </c>
      <c r="L548" t="s">
        <v>53</v>
      </c>
      <c r="M548">
        <v>72396</v>
      </c>
      <c r="N548">
        <v>0.39</v>
      </c>
      <c r="O548">
        <v>3510</v>
      </c>
      <c r="P548">
        <v>12</v>
      </c>
      <c r="Q548" t="s">
        <v>57</v>
      </c>
      <c r="R548" t="s">
        <v>62</v>
      </c>
    </row>
    <row r="549" spans="1:18">
      <c r="A549">
        <v>10548</v>
      </c>
      <c r="B549" s="2">
        <v>44744</v>
      </c>
      <c r="C549" s="2">
        <v>44746</v>
      </c>
      <c r="D549" s="2">
        <v>44750</v>
      </c>
      <c r="E549" t="s">
        <v>21</v>
      </c>
      <c r="F549" t="s">
        <v>22</v>
      </c>
      <c r="G549" t="s">
        <v>26</v>
      </c>
      <c r="H549" t="s">
        <v>30</v>
      </c>
      <c r="I549" t="s">
        <v>34</v>
      </c>
      <c r="J549" t="s">
        <v>43</v>
      </c>
      <c r="K549" t="s">
        <v>44</v>
      </c>
      <c r="L549" t="s">
        <v>53</v>
      </c>
      <c r="M549">
        <v>8564</v>
      </c>
      <c r="N549">
        <v>0.4</v>
      </c>
      <c r="O549">
        <v>5485</v>
      </c>
      <c r="P549">
        <v>2</v>
      </c>
      <c r="Q549" t="s">
        <v>54</v>
      </c>
      <c r="R549" t="s">
        <v>61</v>
      </c>
    </row>
    <row r="550" spans="1:18">
      <c r="A550">
        <v>10549</v>
      </c>
      <c r="B550" s="2">
        <v>44745</v>
      </c>
      <c r="C550" s="2">
        <v>44747</v>
      </c>
      <c r="D550" s="2">
        <v>44751</v>
      </c>
      <c r="E550" t="s">
        <v>21</v>
      </c>
      <c r="F550" t="s">
        <v>22</v>
      </c>
      <c r="G550" t="s">
        <v>28</v>
      </c>
      <c r="H550" t="s">
        <v>25</v>
      </c>
      <c r="I550" t="s">
        <v>34</v>
      </c>
      <c r="J550" t="s">
        <v>40</v>
      </c>
      <c r="K550" t="s">
        <v>45</v>
      </c>
      <c r="L550" t="s">
        <v>53</v>
      </c>
      <c r="M550">
        <v>57046</v>
      </c>
      <c r="N550">
        <v>0.12</v>
      </c>
      <c r="O550">
        <v>14998</v>
      </c>
      <c r="P550">
        <v>15</v>
      </c>
      <c r="Q550" t="s">
        <v>56</v>
      </c>
      <c r="R550" t="s">
        <v>60</v>
      </c>
    </row>
    <row r="551" spans="1:18">
      <c r="A551">
        <v>10550</v>
      </c>
      <c r="B551" s="2">
        <v>44746</v>
      </c>
      <c r="C551" s="2">
        <v>44748</v>
      </c>
      <c r="D551" s="2">
        <v>44752</v>
      </c>
      <c r="E551" t="s">
        <v>21</v>
      </c>
      <c r="F551" t="s">
        <v>22</v>
      </c>
      <c r="G551" t="s">
        <v>28</v>
      </c>
      <c r="H551" t="s">
        <v>25</v>
      </c>
      <c r="I551" t="s">
        <v>34</v>
      </c>
      <c r="J551" t="s">
        <v>38</v>
      </c>
      <c r="K551" t="s">
        <v>45</v>
      </c>
      <c r="L551" t="s">
        <v>51</v>
      </c>
      <c r="M551">
        <v>35206</v>
      </c>
      <c r="N551">
        <v>0.04</v>
      </c>
      <c r="O551">
        <v>6910</v>
      </c>
      <c r="P551">
        <v>7</v>
      </c>
      <c r="Q551" t="s">
        <v>57</v>
      </c>
      <c r="R551" t="s">
        <v>59</v>
      </c>
    </row>
    <row r="552" spans="1:18">
      <c r="A552">
        <v>10551</v>
      </c>
      <c r="B552" s="2">
        <v>44747</v>
      </c>
      <c r="C552" s="2">
        <v>44749</v>
      </c>
      <c r="D552" s="2">
        <v>44753</v>
      </c>
      <c r="E552" t="s">
        <v>19</v>
      </c>
      <c r="F552" t="s">
        <v>22</v>
      </c>
      <c r="G552" t="s">
        <v>28</v>
      </c>
      <c r="H552" t="s">
        <v>30</v>
      </c>
      <c r="I552" t="s">
        <v>36</v>
      </c>
      <c r="J552" t="s">
        <v>37</v>
      </c>
      <c r="K552" t="s">
        <v>44</v>
      </c>
      <c r="L552" t="s">
        <v>53</v>
      </c>
      <c r="M552">
        <v>37646</v>
      </c>
      <c r="N552">
        <v>0.33</v>
      </c>
      <c r="O552">
        <v>7903</v>
      </c>
      <c r="P552">
        <v>20</v>
      </c>
      <c r="Q552" t="s">
        <v>54</v>
      </c>
      <c r="R552" t="s">
        <v>60</v>
      </c>
    </row>
    <row r="553" spans="1:18">
      <c r="A553">
        <v>10552</v>
      </c>
      <c r="B553" s="2">
        <v>44748</v>
      </c>
      <c r="C553" s="2">
        <v>44750</v>
      </c>
      <c r="D553" s="2">
        <v>44754</v>
      </c>
      <c r="E553" t="s">
        <v>18</v>
      </c>
      <c r="F553" t="s">
        <v>22</v>
      </c>
      <c r="G553" t="s">
        <v>25</v>
      </c>
      <c r="H553" t="s">
        <v>25</v>
      </c>
      <c r="I553" t="s">
        <v>36</v>
      </c>
      <c r="J553" t="s">
        <v>38</v>
      </c>
      <c r="K553" t="s">
        <v>44</v>
      </c>
      <c r="L553" t="s">
        <v>53</v>
      </c>
      <c r="M553">
        <v>51784</v>
      </c>
      <c r="N553">
        <v>0.11</v>
      </c>
      <c r="O553">
        <v>16892</v>
      </c>
      <c r="P553">
        <v>12</v>
      </c>
      <c r="Q553" t="s">
        <v>57</v>
      </c>
      <c r="R553" t="s">
        <v>61</v>
      </c>
    </row>
    <row r="554" spans="1:18">
      <c r="A554">
        <v>10553</v>
      </c>
      <c r="B554" s="2">
        <v>44749</v>
      </c>
      <c r="C554" s="2">
        <v>44751</v>
      </c>
      <c r="D554" s="2">
        <v>44755</v>
      </c>
      <c r="E554" t="s">
        <v>21</v>
      </c>
      <c r="F554" t="s">
        <v>22</v>
      </c>
      <c r="G554" t="s">
        <v>28</v>
      </c>
      <c r="H554" t="s">
        <v>25</v>
      </c>
      <c r="I554" t="s">
        <v>34</v>
      </c>
      <c r="J554" t="s">
        <v>38</v>
      </c>
      <c r="K554" t="s">
        <v>44</v>
      </c>
      <c r="L554" t="s">
        <v>53</v>
      </c>
      <c r="M554">
        <v>20016</v>
      </c>
      <c r="N554">
        <v>0.25</v>
      </c>
      <c r="O554">
        <v>-177</v>
      </c>
      <c r="P554">
        <v>12</v>
      </c>
      <c r="Q554" t="s">
        <v>54</v>
      </c>
      <c r="R554" t="s">
        <v>60</v>
      </c>
    </row>
    <row r="555" spans="1:18">
      <c r="A555">
        <v>10554</v>
      </c>
      <c r="B555" s="2">
        <v>44750</v>
      </c>
      <c r="C555" s="2">
        <v>44752</v>
      </c>
      <c r="D555" s="2">
        <v>44756</v>
      </c>
      <c r="E555" t="s">
        <v>19</v>
      </c>
      <c r="F555" t="s">
        <v>22</v>
      </c>
      <c r="G555" t="s">
        <v>27</v>
      </c>
      <c r="H555" t="s">
        <v>33</v>
      </c>
      <c r="I555" t="s">
        <v>35</v>
      </c>
      <c r="J555" t="s">
        <v>41</v>
      </c>
      <c r="K555" t="s">
        <v>48</v>
      </c>
      <c r="L555" t="s">
        <v>51</v>
      </c>
      <c r="M555">
        <v>50860</v>
      </c>
      <c r="N555">
        <v>0.02</v>
      </c>
      <c r="O555">
        <v>18851</v>
      </c>
      <c r="P555">
        <v>3</v>
      </c>
      <c r="Q555" t="s">
        <v>58</v>
      </c>
      <c r="R555" t="s">
        <v>59</v>
      </c>
    </row>
    <row r="556" spans="1:18">
      <c r="A556">
        <v>10555</v>
      </c>
      <c r="B556" s="2">
        <v>44751</v>
      </c>
      <c r="C556" s="2">
        <v>44753</v>
      </c>
      <c r="D556" s="2">
        <v>44757</v>
      </c>
      <c r="E556" t="s">
        <v>20</v>
      </c>
      <c r="F556" t="s">
        <v>22</v>
      </c>
      <c r="G556" t="s">
        <v>24</v>
      </c>
      <c r="H556" t="s">
        <v>32</v>
      </c>
      <c r="I556" t="s">
        <v>36</v>
      </c>
      <c r="J556" t="s">
        <v>41</v>
      </c>
      <c r="K556" t="s">
        <v>48</v>
      </c>
      <c r="L556" t="s">
        <v>51</v>
      </c>
      <c r="M556">
        <v>48076</v>
      </c>
      <c r="N556">
        <v>0.14000000000000001</v>
      </c>
      <c r="O556">
        <v>10643</v>
      </c>
      <c r="P556">
        <v>7</v>
      </c>
      <c r="Q556" t="s">
        <v>55</v>
      </c>
      <c r="R556" t="s">
        <v>60</v>
      </c>
    </row>
    <row r="557" spans="1:18">
      <c r="A557">
        <v>10556</v>
      </c>
      <c r="B557" s="2">
        <v>44752</v>
      </c>
      <c r="C557" s="2">
        <v>44754</v>
      </c>
      <c r="D557" s="2">
        <v>44758</v>
      </c>
      <c r="E557" t="s">
        <v>20</v>
      </c>
      <c r="F557" t="s">
        <v>22</v>
      </c>
      <c r="G557" t="s">
        <v>23</v>
      </c>
      <c r="H557" t="s">
        <v>29</v>
      </c>
      <c r="I557" t="s">
        <v>34</v>
      </c>
      <c r="J557" t="s">
        <v>43</v>
      </c>
      <c r="K557" t="s">
        <v>45</v>
      </c>
      <c r="L557" t="s">
        <v>51</v>
      </c>
      <c r="M557">
        <v>12196</v>
      </c>
      <c r="N557">
        <v>0.04</v>
      </c>
      <c r="O557">
        <v>865</v>
      </c>
      <c r="P557">
        <v>22</v>
      </c>
      <c r="Q557" t="s">
        <v>55</v>
      </c>
      <c r="R557" t="s">
        <v>60</v>
      </c>
    </row>
    <row r="558" spans="1:18">
      <c r="A558">
        <v>10557</v>
      </c>
      <c r="B558" s="2">
        <v>44753</v>
      </c>
      <c r="C558" s="2">
        <v>44755</v>
      </c>
      <c r="D558" s="2">
        <v>44759</v>
      </c>
      <c r="E558" t="s">
        <v>21</v>
      </c>
      <c r="F558" t="s">
        <v>22</v>
      </c>
      <c r="G558" t="s">
        <v>24</v>
      </c>
      <c r="H558" t="s">
        <v>30</v>
      </c>
      <c r="I558" t="s">
        <v>34</v>
      </c>
      <c r="J558" t="s">
        <v>39</v>
      </c>
      <c r="K558" t="s">
        <v>45</v>
      </c>
      <c r="L558" t="s">
        <v>51</v>
      </c>
      <c r="M558">
        <v>14964</v>
      </c>
      <c r="N558">
        <v>0</v>
      </c>
      <c r="O558">
        <v>16470</v>
      </c>
      <c r="P558">
        <v>1</v>
      </c>
      <c r="Q558" t="s">
        <v>54</v>
      </c>
      <c r="R558" t="s">
        <v>59</v>
      </c>
    </row>
    <row r="559" spans="1:18">
      <c r="A559">
        <v>10558</v>
      </c>
      <c r="B559" s="2">
        <v>44754</v>
      </c>
      <c r="C559" s="2">
        <v>44756</v>
      </c>
      <c r="D559" s="2">
        <v>44760</v>
      </c>
      <c r="E559" t="s">
        <v>18</v>
      </c>
      <c r="F559" t="s">
        <v>22</v>
      </c>
      <c r="G559" t="s">
        <v>26</v>
      </c>
      <c r="H559" t="s">
        <v>32</v>
      </c>
      <c r="I559" t="s">
        <v>35</v>
      </c>
      <c r="J559" t="s">
        <v>38</v>
      </c>
      <c r="K559" t="s">
        <v>44</v>
      </c>
      <c r="L559" t="s">
        <v>51</v>
      </c>
      <c r="M559">
        <v>7500</v>
      </c>
      <c r="N559">
        <v>0.31</v>
      </c>
      <c r="O559">
        <v>1712</v>
      </c>
      <c r="P559">
        <v>15</v>
      </c>
      <c r="Q559" t="s">
        <v>55</v>
      </c>
      <c r="R559" t="s">
        <v>62</v>
      </c>
    </row>
    <row r="560" spans="1:18">
      <c r="A560">
        <v>10559</v>
      </c>
      <c r="B560" s="2">
        <v>44755</v>
      </c>
      <c r="C560" s="2">
        <v>44757</v>
      </c>
      <c r="D560" s="2">
        <v>44761</v>
      </c>
      <c r="E560" t="s">
        <v>20</v>
      </c>
      <c r="F560" t="s">
        <v>22</v>
      </c>
      <c r="G560" t="s">
        <v>27</v>
      </c>
      <c r="H560" t="s">
        <v>32</v>
      </c>
      <c r="I560" t="s">
        <v>35</v>
      </c>
      <c r="J560" t="s">
        <v>41</v>
      </c>
      <c r="K560" t="s">
        <v>50</v>
      </c>
      <c r="L560" t="s">
        <v>52</v>
      </c>
      <c r="M560">
        <v>3881</v>
      </c>
      <c r="N560">
        <v>0.05</v>
      </c>
      <c r="O560">
        <v>16259</v>
      </c>
      <c r="P560">
        <v>4</v>
      </c>
      <c r="Q560" t="s">
        <v>58</v>
      </c>
      <c r="R560" t="s">
        <v>59</v>
      </c>
    </row>
    <row r="561" spans="1:18">
      <c r="A561">
        <v>10560</v>
      </c>
      <c r="B561" s="2">
        <v>44756</v>
      </c>
      <c r="C561" s="2">
        <v>44758</v>
      </c>
      <c r="D561" s="2">
        <v>44762</v>
      </c>
      <c r="E561" t="s">
        <v>19</v>
      </c>
      <c r="F561" t="s">
        <v>22</v>
      </c>
      <c r="G561" t="s">
        <v>23</v>
      </c>
      <c r="H561" t="s">
        <v>29</v>
      </c>
      <c r="I561" t="s">
        <v>34</v>
      </c>
      <c r="J561" t="s">
        <v>39</v>
      </c>
      <c r="K561" t="s">
        <v>47</v>
      </c>
      <c r="L561" t="s">
        <v>51</v>
      </c>
      <c r="M561">
        <v>15846</v>
      </c>
      <c r="N561">
        <v>0</v>
      </c>
      <c r="O561">
        <v>15122</v>
      </c>
      <c r="P561">
        <v>4</v>
      </c>
      <c r="Q561" t="s">
        <v>58</v>
      </c>
      <c r="R561" t="s">
        <v>62</v>
      </c>
    </row>
    <row r="562" spans="1:18">
      <c r="A562">
        <v>10561</v>
      </c>
      <c r="B562" s="2">
        <v>44757</v>
      </c>
      <c r="C562" s="2">
        <v>44759</v>
      </c>
      <c r="D562" s="2">
        <v>44763</v>
      </c>
      <c r="E562" t="s">
        <v>18</v>
      </c>
      <c r="F562" t="s">
        <v>22</v>
      </c>
      <c r="G562" t="s">
        <v>26</v>
      </c>
      <c r="H562" t="s">
        <v>33</v>
      </c>
      <c r="I562" t="s">
        <v>36</v>
      </c>
      <c r="J562" t="s">
        <v>42</v>
      </c>
      <c r="K562" t="s">
        <v>49</v>
      </c>
      <c r="L562" t="s">
        <v>51</v>
      </c>
      <c r="M562">
        <v>43828</v>
      </c>
      <c r="N562">
        <v>0.35</v>
      </c>
      <c r="O562">
        <v>-1652</v>
      </c>
      <c r="P562">
        <v>20</v>
      </c>
      <c r="Q562" t="s">
        <v>55</v>
      </c>
      <c r="R562" t="s">
        <v>61</v>
      </c>
    </row>
    <row r="563" spans="1:18">
      <c r="A563">
        <v>10562</v>
      </c>
      <c r="B563" s="2">
        <v>44758</v>
      </c>
      <c r="C563" s="2">
        <v>44760</v>
      </c>
      <c r="D563" s="2">
        <v>44764</v>
      </c>
      <c r="E563" t="s">
        <v>21</v>
      </c>
      <c r="F563" t="s">
        <v>22</v>
      </c>
      <c r="G563" t="s">
        <v>25</v>
      </c>
      <c r="H563" t="s">
        <v>33</v>
      </c>
      <c r="I563" t="s">
        <v>34</v>
      </c>
      <c r="J563" t="s">
        <v>37</v>
      </c>
      <c r="K563" t="s">
        <v>46</v>
      </c>
      <c r="L563" t="s">
        <v>51</v>
      </c>
      <c r="M563">
        <v>63946</v>
      </c>
      <c r="N563">
        <v>0</v>
      </c>
      <c r="O563">
        <v>18590</v>
      </c>
      <c r="P563">
        <v>11</v>
      </c>
      <c r="Q563" t="s">
        <v>58</v>
      </c>
      <c r="R563" t="s">
        <v>61</v>
      </c>
    </row>
    <row r="564" spans="1:18">
      <c r="A564">
        <v>10563</v>
      </c>
      <c r="B564" s="2">
        <v>44759</v>
      </c>
      <c r="C564" s="2">
        <v>44761</v>
      </c>
      <c r="D564" s="2">
        <v>44765</v>
      </c>
      <c r="E564" t="s">
        <v>20</v>
      </c>
      <c r="F564" t="s">
        <v>22</v>
      </c>
      <c r="G564" t="s">
        <v>27</v>
      </c>
      <c r="H564" t="s">
        <v>32</v>
      </c>
      <c r="I564" t="s">
        <v>34</v>
      </c>
      <c r="J564" t="s">
        <v>38</v>
      </c>
      <c r="K564" t="s">
        <v>47</v>
      </c>
      <c r="L564" t="s">
        <v>52</v>
      </c>
      <c r="M564">
        <v>24759</v>
      </c>
      <c r="N564">
        <v>0.12</v>
      </c>
      <c r="O564">
        <v>15216</v>
      </c>
      <c r="P564">
        <v>9</v>
      </c>
      <c r="Q564" t="s">
        <v>57</v>
      </c>
      <c r="R564" t="s">
        <v>59</v>
      </c>
    </row>
    <row r="565" spans="1:18">
      <c r="A565">
        <v>10564</v>
      </c>
      <c r="B565" s="2">
        <v>44760</v>
      </c>
      <c r="C565" s="2">
        <v>44762</v>
      </c>
      <c r="D565" s="2">
        <v>44766</v>
      </c>
      <c r="E565" t="s">
        <v>21</v>
      </c>
      <c r="F565" t="s">
        <v>22</v>
      </c>
      <c r="G565" t="s">
        <v>27</v>
      </c>
      <c r="H565" t="s">
        <v>33</v>
      </c>
      <c r="I565" t="s">
        <v>35</v>
      </c>
      <c r="J565" t="s">
        <v>41</v>
      </c>
      <c r="K565" t="s">
        <v>48</v>
      </c>
      <c r="L565" t="s">
        <v>53</v>
      </c>
      <c r="M565">
        <v>4409</v>
      </c>
      <c r="N565">
        <v>0.16</v>
      </c>
      <c r="O565">
        <v>19396</v>
      </c>
      <c r="P565">
        <v>16</v>
      </c>
      <c r="Q565" t="s">
        <v>55</v>
      </c>
      <c r="R565" t="s">
        <v>61</v>
      </c>
    </row>
    <row r="566" spans="1:18">
      <c r="A566">
        <v>10565</v>
      </c>
      <c r="B566" s="2">
        <v>44761</v>
      </c>
      <c r="C566" s="2">
        <v>44763</v>
      </c>
      <c r="D566" s="2">
        <v>44767</v>
      </c>
      <c r="E566" t="s">
        <v>19</v>
      </c>
      <c r="F566" t="s">
        <v>22</v>
      </c>
      <c r="G566" t="s">
        <v>28</v>
      </c>
      <c r="H566" t="s">
        <v>29</v>
      </c>
      <c r="I566" t="s">
        <v>36</v>
      </c>
      <c r="J566" t="s">
        <v>38</v>
      </c>
      <c r="K566" t="s">
        <v>45</v>
      </c>
      <c r="L566" t="s">
        <v>52</v>
      </c>
      <c r="M566">
        <v>10013</v>
      </c>
      <c r="N566">
        <v>0.37</v>
      </c>
      <c r="O566">
        <v>-1682</v>
      </c>
      <c r="P566">
        <v>1</v>
      </c>
      <c r="Q566" t="s">
        <v>58</v>
      </c>
      <c r="R566" t="s">
        <v>59</v>
      </c>
    </row>
    <row r="567" spans="1:18">
      <c r="A567">
        <v>10566</v>
      </c>
      <c r="B567" s="2">
        <v>44762</v>
      </c>
      <c r="C567" s="2">
        <v>44764</v>
      </c>
      <c r="D567" s="2">
        <v>44768</v>
      </c>
      <c r="E567" t="s">
        <v>20</v>
      </c>
      <c r="F567" t="s">
        <v>22</v>
      </c>
      <c r="G567" t="s">
        <v>28</v>
      </c>
      <c r="H567" t="s">
        <v>33</v>
      </c>
      <c r="I567" t="s">
        <v>34</v>
      </c>
      <c r="J567" t="s">
        <v>39</v>
      </c>
      <c r="K567" t="s">
        <v>49</v>
      </c>
      <c r="L567" t="s">
        <v>51</v>
      </c>
      <c r="M567">
        <v>10635</v>
      </c>
      <c r="N567">
        <v>0.39</v>
      </c>
      <c r="O567">
        <v>2449</v>
      </c>
      <c r="P567">
        <v>20</v>
      </c>
      <c r="Q567" t="s">
        <v>56</v>
      </c>
      <c r="R567" t="s">
        <v>61</v>
      </c>
    </row>
    <row r="568" spans="1:18">
      <c r="A568">
        <v>10567</v>
      </c>
      <c r="B568" s="2">
        <v>44763</v>
      </c>
      <c r="C568" s="2">
        <v>44765</v>
      </c>
      <c r="D568" s="2">
        <v>44769</v>
      </c>
      <c r="E568" t="s">
        <v>18</v>
      </c>
      <c r="F568" t="s">
        <v>22</v>
      </c>
      <c r="G568" t="s">
        <v>24</v>
      </c>
      <c r="H568" t="s">
        <v>25</v>
      </c>
      <c r="I568" t="s">
        <v>35</v>
      </c>
      <c r="J568" t="s">
        <v>42</v>
      </c>
      <c r="K568" t="s">
        <v>49</v>
      </c>
      <c r="L568" t="s">
        <v>51</v>
      </c>
      <c r="M568">
        <v>63478</v>
      </c>
      <c r="N568">
        <v>0.38</v>
      </c>
      <c r="O568">
        <v>7577</v>
      </c>
      <c r="P568">
        <v>19</v>
      </c>
      <c r="Q568" t="s">
        <v>55</v>
      </c>
      <c r="R568" t="s">
        <v>61</v>
      </c>
    </row>
    <row r="569" spans="1:18">
      <c r="A569">
        <v>10568</v>
      </c>
      <c r="B569" s="2">
        <v>44764</v>
      </c>
      <c r="C569" s="2">
        <v>44766</v>
      </c>
      <c r="D569" s="2">
        <v>44770</v>
      </c>
      <c r="E569" t="s">
        <v>21</v>
      </c>
      <c r="F569" t="s">
        <v>22</v>
      </c>
      <c r="G569" t="s">
        <v>26</v>
      </c>
      <c r="H569" t="s">
        <v>31</v>
      </c>
      <c r="I569" t="s">
        <v>35</v>
      </c>
      <c r="J569" t="s">
        <v>38</v>
      </c>
      <c r="K569" t="s">
        <v>50</v>
      </c>
      <c r="L569" t="s">
        <v>52</v>
      </c>
      <c r="M569">
        <v>8679</v>
      </c>
      <c r="N569">
        <v>0.32</v>
      </c>
      <c r="O569">
        <v>1211</v>
      </c>
      <c r="P569">
        <v>17</v>
      </c>
      <c r="Q569" t="s">
        <v>56</v>
      </c>
      <c r="R569" t="s">
        <v>59</v>
      </c>
    </row>
    <row r="570" spans="1:18">
      <c r="A570">
        <v>10569</v>
      </c>
      <c r="B570" s="2">
        <v>44765</v>
      </c>
      <c r="C570" s="2">
        <v>44767</v>
      </c>
      <c r="D570" s="2">
        <v>44771</v>
      </c>
      <c r="E570" t="s">
        <v>18</v>
      </c>
      <c r="F570" t="s">
        <v>22</v>
      </c>
      <c r="G570" t="s">
        <v>26</v>
      </c>
      <c r="H570" t="s">
        <v>33</v>
      </c>
      <c r="I570" t="s">
        <v>35</v>
      </c>
      <c r="J570" t="s">
        <v>39</v>
      </c>
      <c r="K570" t="s">
        <v>47</v>
      </c>
      <c r="L570" t="s">
        <v>51</v>
      </c>
      <c r="M570">
        <v>55546</v>
      </c>
      <c r="N570">
        <v>0.28999999999999998</v>
      </c>
      <c r="O570">
        <v>17085</v>
      </c>
      <c r="P570">
        <v>4</v>
      </c>
      <c r="Q570" t="s">
        <v>55</v>
      </c>
      <c r="R570" t="s">
        <v>60</v>
      </c>
    </row>
    <row r="571" spans="1:18">
      <c r="A571">
        <v>10570</v>
      </c>
      <c r="B571" s="2">
        <v>44766</v>
      </c>
      <c r="C571" s="2">
        <v>44768</v>
      </c>
      <c r="D571" s="2">
        <v>44772</v>
      </c>
      <c r="E571" t="s">
        <v>21</v>
      </c>
      <c r="F571" t="s">
        <v>22</v>
      </c>
      <c r="G571" t="s">
        <v>26</v>
      </c>
      <c r="H571" t="s">
        <v>32</v>
      </c>
      <c r="I571" t="s">
        <v>36</v>
      </c>
      <c r="J571" t="s">
        <v>43</v>
      </c>
      <c r="K571" t="s">
        <v>49</v>
      </c>
      <c r="L571" t="s">
        <v>53</v>
      </c>
      <c r="M571">
        <v>14905</v>
      </c>
      <c r="N571">
        <v>0.4</v>
      </c>
      <c r="O571">
        <v>-942</v>
      </c>
      <c r="P571">
        <v>1</v>
      </c>
      <c r="Q571" t="s">
        <v>56</v>
      </c>
      <c r="R571" t="s">
        <v>61</v>
      </c>
    </row>
    <row r="572" spans="1:18">
      <c r="A572">
        <v>10571</v>
      </c>
      <c r="B572" s="2">
        <v>44767</v>
      </c>
      <c r="C572" s="2">
        <v>44769</v>
      </c>
      <c r="D572" s="2">
        <v>44773</v>
      </c>
      <c r="E572" t="s">
        <v>21</v>
      </c>
      <c r="F572" t="s">
        <v>22</v>
      </c>
      <c r="G572" t="s">
        <v>26</v>
      </c>
      <c r="H572" t="s">
        <v>30</v>
      </c>
      <c r="I572" t="s">
        <v>34</v>
      </c>
      <c r="J572" t="s">
        <v>41</v>
      </c>
      <c r="K572" t="s">
        <v>47</v>
      </c>
      <c r="L572" t="s">
        <v>53</v>
      </c>
      <c r="M572">
        <v>44794</v>
      </c>
      <c r="N572">
        <v>0.15</v>
      </c>
      <c r="O572">
        <v>11025</v>
      </c>
      <c r="P572">
        <v>22</v>
      </c>
      <c r="Q572" t="s">
        <v>55</v>
      </c>
      <c r="R572" t="s">
        <v>62</v>
      </c>
    </row>
    <row r="573" spans="1:18">
      <c r="A573">
        <v>10572</v>
      </c>
      <c r="B573" s="2">
        <v>44768</v>
      </c>
      <c r="C573" s="2">
        <v>44770</v>
      </c>
      <c r="D573" s="2">
        <v>44774</v>
      </c>
      <c r="E573" t="s">
        <v>19</v>
      </c>
      <c r="F573" t="s">
        <v>22</v>
      </c>
      <c r="G573" t="s">
        <v>23</v>
      </c>
      <c r="H573" t="s">
        <v>31</v>
      </c>
      <c r="I573" t="s">
        <v>35</v>
      </c>
      <c r="J573" t="s">
        <v>38</v>
      </c>
      <c r="K573" t="s">
        <v>49</v>
      </c>
      <c r="L573" t="s">
        <v>51</v>
      </c>
      <c r="M573">
        <v>36548</v>
      </c>
      <c r="N573">
        <v>0.03</v>
      </c>
      <c r="O573">
        <v>17150</v>
      </c>
      <c r="P573">
        <v>21</v>
      </c>
      <c r="Q573" t="s">
        <v>57</v>
      </c>
      <c r="R573" t="s">
        <v>61</v>
      </c>
    </row>
    <row r="574" spans="1:18">
      <c r="A574">
        <v>10573</v>
      </c>
      <c r="B574" s="2">
        <v>44769</v>
      </c>
      <c r="C574" s="2">
        <v>44771</v>
      </c>
      <c r="D574" s="2">
        <v>44775</v>
      </c>
      <c r="E574" t="s">
        <v>18</v>
      </c>
      <c r="F574" t="s">
        <v>22</v>
      </c>
      <c r="G574" t="s">
        <v>25</v>
      </c>
      <c r="H574" t="s">
        <v>25</v>
      </c>
      <c r="I574" t="s">
        <v>35</v>
      </c>
      <c r="J574" t="s">
        <v>38</v>
      </c>
      <c r="K574" t="s">
        <v>47</v>
      </c>
      <c r="L574" t="s">
        <v>53</v>
      </c>
      <c r="M574">
        <v>621</v>
      </c>
      <c r="N574">
        <v>0.16</v>
      </c>
      <c r="O574">
        <v>2828</v>
      </c>
      <c r="P574">
        <v>6</v>
      </c>
      <c r="Q574" t="s">
        <v>55</v>
      </c>
      <c r="R574" t="s">
        <v>60</v>
      </c>
    </row>
    <row r="575" spans="1:18">
      <c r="A575">
        <v>10574</v>
      </c>
      <c r="B575" s="2">
        <v>44770</v>
      </c>
      <c r="C575" s="2">
        <v>44772</v>
      </c>
      <c r="D575" s="2">
        <v>44776</v>
      </c>
      <c r="E575" t="s">
        <v>19</v>
      </c>
      <c r="F575" t="s">
        <v>22</v>
      </c>
      <c r="G575" t="s">
        <v>28</v>
      </c>
      <c r="H575" t="s">
        <v>33</v>
      </c>
      <c r="I575" t="s">
        <v>36</v>
      </c>
      <c r="J575" t="s">
        <v>39</v>
      </c>
      <c r="K575" t="s">
        <v>49</v>
      </c>
      <c r="L575" t="s">
        <v>52</v>
      </c>
      <c r="M575">
        <v>3300</v>
      </c>
      <c r="N575">
        <v>0</v>
      </c>
      <c r="O575">
        <v>1550</v>
      </c>
      <c r="P575">
        <v>6</v>
      </c>
      <c r="Q575" t="s">
        <v>56</v>
      </c>
      <c r="R575" t="s">
        <v>60</v>
      </c>
    </row>
    <row r="576" spans="1:18">
      <c r="A576">
        <v>10575</v>
      </c>
      <c r="B576" s="2">
        <v>44771</v>
      </c>
      <c r="C576" s="2">
        <v>44773</v>
      </c>
      <c r="D576" s="2">
        <v>44777</v>
      </c>
      <c r="E576" t="s">
        <v>19</v>
      </c>
      <c r="F576" t="s">
        <v>22</v>
      </c>
      <c r="G576" t="s">
        <v>26</v>
      </c>
      <c r="H576" t="s">
        <v>33</v>
      </c>
      <c r="I576" t="s">
        <v>35</v>
      </c>
      <c r="J576" t="s">
        <v>42</v>
      </c>
      <c r="K576" t="s">
        <v>47</v>
      </c>
      <c r="L576" t="s">
        <v>51</v>
      </c>
      <c r="M576">
        <v>22174</v>
      </c>
      <c r="N576">
        <v>0.14000000000000001</v>
      </c>
      <c r="O576">
        <v>12486</v>
      </c>
      <c r="P576">
        <v>16</v>
      </c>
      <c r="Q576" t="s">
        <v>56</v>
      </c>
      <c r="R576" t="s">
        <v>60</v>
      </c>
    </row>
    <row r="577" spans="1:18">
      <c r="A577">
        <v>10576</v>
      </c>
      <c r="B577" s="2">
        <v>44772</v>
      </c>
      <c r="C577" s="2">
        <v>44774</v>
      </c>
      <c r="D577" s="2">
        <v>44778</v>
      </c>
      <c r="E577" t="s">
        <v>18</v>
      </c>
      <c r="F577" t="s">
        <v>22</v>
      </c>
      <c r="G577" t="s">
        <v>27</v>
      </c>
      <c r="H577" t="s">
        <v>33</v>
      </c>
      <c r="I577" t="s">
        <v>34</v>
      </c>
      <c r="J577" t="s">
        <v>43</v>
      </c>
      <c r="K577" t="s">
        <v>46</v>
      </c>
      <c r="L577" t="s">
        <v>51</v>
      </c>
      <c r="M577">
        <v>56347</v>
      </c>
      <c r="N577">
        <v>0.16</v>
      </c>
      <c r="O577">
        <v>-141</v>
      </c>
      <c r="P577">
        <v>23</v>
      </c>
      <c r="Q577" t="s">
        <v>56</v>
      </c>
      <c r="R577" t="s">
        <v>61</v>
      </c>
    </row>
    <row r="578" spans="1:18">
      <c r="A578">
        <v>10577</v>
      </c>
      <c r="B578" s="2">
        <v>44773</v>
      </c>
      <c r="C578" s="2">
        <v>44775</v>
      </c>
      <c r="D578" s="2">
        <v>44779</v>
      </c>
      <c r="E578" t="s">
        <v>21</v>
      </c>
      <c r="F578" t="s">
        <v>22</v>
      </c>
      <c r="G578" t="s">
        <v>26</v>
      </c>
      <c r="H578" t="s">
        <v>32</v>
      </c>
      <c r="I578" t="s">
        <v>36</v>
      </c>
      <c r="J578" t="s">
        <v>37</v>
      </c>
      <c r="K578" t="s">
        <v>47</v>
      </c>
      <c r="L578" t="s">
        <v>53</v>
      </c>
      <c r="M578">
        <v>74559</v>
      </c>
      <c r="N578">
        <v>0.12</v>
      </c>
      <c r="O578">
        <v>3515</v>
      </c>
      <c r="P578">
        <v>11</v>
      </c>
      <c r="Q578" t="s">
        <v>56</v>
      </c>
      <c r="R578" t="s">
        <v>61</v>
      </c>
    </row>
    <row r="579" spans="1:18">
      <c r="A579">
        <v>10578</v>
      </c>
      <c r="B579" s="2">
        <v>44774</v>
      </c>
      <c r="C579" s="2">
        <v>44776</v>
      </c>
      <c r="D579" s="2">
        <v>44780</v>
      </c>
      <c r="E579" t="s">
        <v>21</v>
      </c>
      <c r="F579" t="s">
        <v>22</v>
      </c>
      <c r="G579" t="s">
        <v>26</v>
      </c>
      <c r="H579" t="s">
        <v>30</v>
      </c>
      <c r="I579" t="s">
        <v>34</v>
      </c>
      <c r="J579" t="s">
        <v>41</v>
      </c>
      <c r="K579" t="s">
        <v>46</v>
      </c>
      <c r="L579" t="s">
        <v>52</v>
      </c>
      <c r="M579">
        <v>41436</v>
      </c>
      <c r="N579">
        <v>0.24</v>
      </c>
      <c r="O579">
        <v>5522</v>
      </c>
      <c r="P579">
        <v>10</v>
      </c>
      <c r="Q579" t="s">
        <v>55</v>
      </c>
      <c r="R579" t="s">
        <v>59</v>
      </c>
    </row>
    <row r="580" spans="1:18">
      <c r="A580">
        <v>10579</v>
      </c>
      <c r="B580" s="2">
        <v>44775</v>
      </c>
      <c r="C580" s="2">
        <v>44777</v>
      </c>
      <c r="D580" s="2">
        <v>44781</v>
      </c>
      <c r="E580" t="s">
        <v>19</v>
      </c>
      <c r="F580" t="s">
        <v>22</v>
      </c>
      <c r="G580" t="s">
        <v>24</v>
      </c>
      <c r="H580" t="s">
        <v>32</v>
      </c>
      <c r="I580" t="s">
        <v>34</v>
      </c>
      <c r="J580" t="s">
        <v>37</v>
      </c>
      <c r="K580" t="s">
        <v>47</v>
      </c>
      <c r="L580" t="s">
        <v>53</v>
      </c>
      <c r="M580">
        <v>68284</v>
      </c>
      <c r="N580">
        <v>0.2</v>
      </c>
      <c r="O580">
        <v>4171</v>
      </c>
      <c r="P580">
        <v>13</v>
      </c>
      <c r="Q580" t="s">
        <v>56</v>
      </c>
      <c r="R580" t="s">
        <v>60</v>
      </c>
    </row>
    <row r="581" spans="1:18">
      <c r="A581">
        <v>10580</v>
      </c>
      <c r="B581" s="2">
        <v>44776</v>
      </c>
      <c r="C581" s="2">
        <v>44778</v>
      </c>
      <c r="D581" s="2">
        <v>44782</v>
      </c>
      <c r="E581" t="s">
        <v>21</v>
      </c>
      <c r="F581" t="s">
        <v>22</v>
      </c>
      <c r="G581" t="s">
        <v>24</v>
      </c>
      <c r="H581" t="s">
        <v>25</v>
      </c>
      <c r="I581" t="s">
        <v>36</v>
      </c>
      <c r="J581" t="s">
        <v>43</v>
      </c>
      <c r="K581" t="s">
        <v>44</v>
      </c>
      <c r="L581" t="s">
        <v>53</v>
      </c>
      <c r="M581">
        <v>68695</v>
      </c>
      <c r="N581">
        <v>0.26</v>
      </c>
      <c r="O581">
        <v>15309</v>
      </c>
      <c r="P581">
        <v>22</v>
      </c>
      <c r="Q581" t="s">
        <v>57</v>
      </c>
      <c r="R581" t="s">
        <v>60</v>
      </c>
    </row>
    <row r="582" spans="1:18">
      <c r="A582">
        <v>10581</v>
      </c>
      <c r="B582" s="2">
        <v>44777</v>
      </c>
      <c r="C582" s="2">
        <v>44779</v>
      </c>
      <c r="D582" s="2">
        <v>44783</v>
      </c>
      <c r="E582" t="s">
        <v>18</v>
      </c>
      <c r="F582" t="s">
        <v>22</v>
      </c>
      <c r="G582" t="s">
        <v>25</v>
      </c>
      <c r="H582" t="s">
        <v>25</v>
      </c>
      <c r="I582" t="s">
        <v>34</v>
      </c>
      <c r="J582" t="s">
        <v>40</v>
      </c>
      <c r="K582" t="s">
        <v>49</v>
      </c>
      <c r="L582" t="s">
        <v>52</v>
      </c>
      <c r="M582">
        <v>71491</v>
      </c>
      <c r="N582">
        <v>0.15</v>
      </c>
      <c r="O582">
        <v>17086</v>
      </c>
      <c r="P582">
        <v>12</v>
      </c>
      <c r="Q582" t="s">
        <v>54</v>
      </c>
      <c r="R582" t="s">
        <v>59</v>
      </c>
    </row>
    <row r="583" spans="1:18">
      <c r="A583">
        <v>10582</v>
      </c>
      <c r="B583" s="2">
        <v>44778</v>
      </c>
      <c r="C583" s="2">
        <v>44780</v>
      </c>
      <c r="D583" s="2">
        <v>44784</v>
      </c>
      <c r="E583" t="s">
        <v>19</v>
      </c>
      <c r="F583" t="s">
        <v>22</v>
      </c>
      <c r="G583" t="s">
        <v>25</v>
      </c>
      <c r="H583" t="s">
        <v>31</v>
      </c>
      <c r="I583" t="s">
        <v>36</v>
      </c>
      <c r="J583" t="s">
        <v>40</v>
      </c>
      <c r="K583" t="s">
        <v>45</v>
      </c>
      <c r="L583" t="s">
        <v>52</v>
      </c>
      <c r="M583">
        <v>43040</v>
      </c>
      <c r="N583">
        <v>0.33</v>
      </c>
      <c r="O583">
        <v>17735</v>
      </c>
      <c r="P583">
        <v>10</v>
      </c>
      <c r="Q583" t="s">
        <v>58</v>
      </c>
      <c r="R583" t="s">
        <v>61</v>
      </c>
    </row>
    <row r="584" spans="1:18">
      <c r="A584">
        <v>10583</v>
      </c>
      <c r="B584" s="2">
        <v>44779</v>
      </c>
      <c r="C584" s="2">
        <v>44781</v>
      </c>
      <c r="D584" s="2">
        <v>44785</v>
      </c>
      <c r="E584" t="s">
        <v>21</v>
      </c>
      <c r="F584" t="s">
        <v>22</v>
      </c>
      <c r="G584" t="s">
        <v>27</v>
      </c>
      <c r="H584" t="s">
        <v>31</v>
      </c>
      <c r="I584" t="s">
        <v>35</v>
      </c>
      <c r="J584" t="s">
        <v>40</v>
      </c>
      <c r="K584" t="s">
        <v>44</v>
      </c>
      <c r="L584" t="s">
        <v>53</v>
      </c>
      <c r="M584">
        <v>34876</v>
      </c>
      <c r="N584">
        <v>0.17</v>
      </c>
      <c r="O584">
        <v>19259</v>
      </c>
      <c r="P584">
        <v>13</v>
      </c>
      <c r="Q584" t="s">
        <v>56</v>
      </c>
      <c r="R584" t="s">
        <v>62</v>
      </c>
    </row>
    <row r="585" spans="1:18">
      <c r="A585">
        <v>10584</v>
      </c>
      <c r="B585" s="2">
        <v>44780</v>
      </c>
      <c r="C585" s="2">
        <v>44782</v>
      </c>
      <c r="D585" s="2">
        <v>44786</v>
      </c>
      <c r="E585" t="s">
        <v>19</v>
      </c>
      <c r="F585" t="s">
        <v>22</v>
      </c>
      <c r="G585" t="s">
        <v>24</v>
      </c>
      <c r="H585" t="s">
        <v>25</v>
      </c>
      <c r="I585" t="s">
        <v>35</v>
      </c>
      <c r="J585" t="s">
        <v>37</v>
      </c>
      <c r="K585" t="s">
        <v>50</v>
      </c>
      <c r="L585" t="s">
        <v>51</v>
      </c>
      <c r="M585">
        <v>62343</v>
      </c>
      <c r="N585">
        <v>0.01</v>
      </c>
      <c r="O585">
        <v>9507</v>
      </c>
      <c r="P585">
        <v>14</v>
      </c>
      <c r="Q585" t="s">
        <v>57</v>
      </c>
      <c r="R585" t="s">
        <v>60</v>
      </c>
    </row>
    <row r="586" spans="1:18">
      <c r="A586">
        <v>10585</v>
      </c>
      <c r="B586" s="2">
        <v>44781</v>
      </c>
      <c r="C586" s="2">
        <v>44783</v>
      </c>
      <c r="D586" s="2">
        <v>44787</v>
      </c>
      <c r="E586" t="s">
        <v>20</v>
      </c>
      <c r="F586" t="s">
        <v>22</v>
      </c>
      <c r="G586" t="s">
        <v>24</v>
      </c>
      <c r="H586" t="s">
        <v>29</v>
      </c>
      <c r="I586" t="s">
        <v>36</v>
      </c>
      <c r="J586" t="s">
        <v>38</v>
      </c>
      <c r="K586" t="s">
        <v>49</v>
      </c>
      <c r="L586" t="s">
        <v>53</v>
      </c>
      <c r="M586">
        <v>24063</v>
      </c>
      <c r="N586">
        <v>0.08</v>
      </c>
      <c r="O586">
        <v>5467</v>
      </c>
      <c r="P586">
        <v>19</v>
      </c>
      <c r="Q586" t="s">
        <v>55</v>
      </c>
      <c r="R586" t="s">
        <v>59</v>
      </c>
    </row>
    <row r="587" spans="1:18">
      <c r="A587">
        <v>10586</v>
      </c>
      <c r="B587" s="2">
        <v>44782</v>
      </c>
      <c r="C587" s="2">
        <v>44784</v>
      </c>
      <c r="D587" s="2">
        <v>44788</v>
      </c>
      <c r="E587" t="s">
        <v>19</v>
      </c>
      <c r="F587" t="s">
        <v>22</v>
      </c>
      <c r="G587" t="s">
        <v>27</v>
      </c>
      <c r="H587" t="s">
        <v>31</v>
      </c>
      <c r="I587" t="s">
        <v>35</v>
      </c>
      <c r="J587" t="s">
        <v>39</v>
      </c>
      <c r="K587" t="s">
        <v>47</v>
      </c>
      <c r="L587" t="s">
        <v>51</v>
      </c>
      <c r="M587">
        <v>14172</v>
      </c>
      <c r="N587">
        <v>0.21</v>
      </c>
      <c r="O587">
        <v>18812</v>
      </c>
      <c r="P587">
        <v>13</v>
      </c>
      <c r="Q587" t="s">
        <v>57</v>
      </c>
      <c r="R587" t="s">
        <v>61</v>
      </c>
    </row>
    <row r="588" spans="1:18">
      <c r="A588">
        <v>10587</v>
      </c>
      <c r="B588" s="2">
        <v>44783</v>
      </c>
      <c r="C588" s="2">
        <v>44785</v>
      </c>
      <c r="D588" s="2">
        <v>44789</v>
      </c>
      <c r="E588" t="s">
        <v>19</v>
      </c>
      <c r="F588" t="s">
        <v>22</v>
      </c>
      <c r="G588" t="s">
        <v>23</v>
      </c>
      <c r="H588" t="s">
        <v>30</v>
      </c>
      <c r="I588" t="s">
        <v>36</v>
      </c>
      <c r="J588" t="s">
        <v>37</v>
      </c>
      <c r="K588" t="s">
        <v>45</v>
      </c>
      <c r="L588" t="s">
        <v>52</v>
      </c>
      <c r="M588">
        <v>2478</v>
      </c>
      <c r="N588">
        <v>0.27</v>
      </c>
      <c r="O588">
        <v>13427</v>
      </c>
      <c r="P588">
        <v>7</v>
      </c>
      <c r="Q588" t="s">
        <v>58</v>
      </c>
      <c r="R588" t="s">
        <v>59</v>
      </c>
    </row>
    <row r="589" spans="1:18">
      <c r="A589">
        <v>10588</v>
      </c>
      <c r="B589" s="2">
        <v>44784</v>
      </c>
      <c r="C589" s="2">
        <v>44786</v>
      </c>
      <c r="D589" s="2">
        <v>44790</v>
      </c>
      <c r="E589" t="s">
        <v>19</v>
      </c>
      <c r="F589" t="s">
        <v>22</v>
      </c>
      <c r="G589" t="s">
        <v>28</v>
      </c>
      <c r="H589" t="s">
        <v>32</v>
      </c>
      <c r="I589" t="s">
        <v>35</v>
      </c>
      <c r="J589" t="s">
        <v>42</v>
      </c>
      <c r="K589" t="s">
        <v>44</v>
      </c>
      <c r="L589" t="s">
        <v>53</v>
      </c>
      <c r="M589">
        <v>63207</v>
      </c>
      <c r="N589">
        <v>0.25</v>
      </c>
      <c r="O589">
        <v>7754</v>
      </c>
      <c r="P589">
        <v>3</v>
      </c>
      <c r="Q589" t="s">
        <v>54</v>
      </c>
      <c r="R589" t="s">
        <v>61</v>
      </c>
    </row>
    <row r="590" spans="1:18">
      <c r="A590">
        <v>10589</v>
      </c>
      <c r="B590" s="2">
        <v>44785</v>
      </c>
      <c r="C590" s="2">
        <v>44787</v>
      </c>
      <c r="D590" s="2">
        <v>44791</v>
      </c>
      <c r="E590" t="s">
        <v>20</v>
      </c>
      <c r="F590" t="s">
        <v>22</v>
      </c>
      <c r="G590" t="s">
        <v>24</v>
      </c>
      <c r="H590" t="s">
        <v>31</v>
      </c>
      <c r="I590" t="s">
        <v>34</v>
      </c>
      <c r="J590" t="s">
        <v>37</v>
      </c>
      <c r="K590" t="s">
        <v>50</v>
      </c>
      <c r="L590" t="s">
        <v>53</v>
      </c>
      <c r="M590">
        <v>70939</v>
      </c>
      <c r="N590">
        <v>0.18</v>
      </c>
      <c r="O590">
        <v>16118</v>
      </c>
      <c r="P590">
        <v>7</v>
      </c>
      <c r="Q590" t="s">
        <v>57</v>
      </c>
      <c r="R590" t="s">
        <v>59</v>
      </c>
    </row>
    <row r="591" spans="1:18">
      <c r="A591">
        <v>10590</v>
      </c>
      <c r="B591" s="2">
        <v>44786</v>
      </c>
      <c r="C591" s="2">
        <v>44788</v>
      </c>
      <c r="D591" s="2">
        <v>44792</v>
      </c>
      <c r="E591" t="s">
        <v>18</v>
      </c>
      <c r="F591" t="s">
        <v>22</v>
      </c>
      <c r="G591" t="s">
        <v>23</v>
      </c>
      <c r="H591" t="s">
        <v>31</v>
      </c>
      <c r="I591" t="s">
        <v>35</v>
      </c>
      <c r="J591" t="s">
        <v>38</v>
      </c>
      <c r="K591" t="s">
        <v>47</v>
      </c>
      <c r="L591" t="s">
        <v>53</v>
      </c>
      <c r="M591">
        <v>32730</v>
      </c>
      <c r="N591">
        <v>0.35</v>
      </c>
      <c r="O591">
        <v>4000</v>
      </c>
      <c r="P591">
        <v>22</v>
      </c>
      <c r="Q591" t="s">
        <v>56</v>
      </c>
      <c r="R591" t="s">
        <v>61</v>
      </c>
    </row>
    <row r="592" spans="1:18">
      <c r="A592">
        <v>10591</v>
      </c>
      <c r="B592" s="2">
        <v>44787</v>
      </c>
      <c r="C592" s="2">
        <v>44789</v>
      </c>
      <c r="D592" s="2">
        <v>44793</v>
      </c>
      <c r="E592" t="s">
        <v>19</v>
      </c>
      <c r="F592" t="s">
        <v>22</v>
      </c>
      <c r="G592" t="s">
        <v>23</v>
      </c>
      <c r="H592" t="s">
        <v>33</v>
      </c>
      <c r="I592" t="s">
        <v>35</v>
      </c>
      <c r="J592" t="s">
        <v>40</v>
      </c>
      <c r="K592" t="s">
        <v>47</v>
      </c>
      <c r="L592" t="s">
        <v>53</v>
      </c>
      <c r="M592">
        <v>39306</v>
      </c>
      <c r="N592">
        <v>0.1</v>
      </c>
      <c r="O592">
        <v>19591</v>
      </c>
      <c r="P592">
        <v>24</v>
      </c>
      <c r="Q592" t="s">
        <v>57</v>
      </c>
      <c r="R592" t="s">
        <v>61</v>
      </c>
    </row>
    <row r="593" spans="1:18">
      <c r="A593">
        <v>10592</v>
      </c>
      <c r="B593" s="2">
        <v>44788</v>
      </c>
      <c r="C593" s="2">
        <v>44790</v>
      </c>
      <c r="D593" s="2">
        <v>44794</v>
      </c>
      <c r="E593" t="s">
        <v>19</v>
      </c>
      <c r="F593" t="s">
        <v>22</v>
      </c>
      <c r="G593" t="s">
        <v>28</v>
      </c>
      <c r="H593" t="s">
        <v>32</v>
      </c>
      <c r="I593" t="s">
        <v>34</v>
      </c>
      <c r="J593" t="s">
        <v>39</v>
      </c>
      <c r="K593" t="s">
        <v>45</v>
      </c>
      <c r="L593" t="s">
        <v>51</v>
      </c>
      <c r="M593">
        <v>44844</v>
      </c>
      <c r="N593">
        <v>0.16</v>
      </c>
      <c r="O593">
        <v>2596</v>
      </c>
      <c r="P593">
        <v>19</v>
      </c>
      <c r="Q593" t="s">
        <v>58</v>
      </c>
      <c r="R593" t="s">
        <v>61</v>
      </c>
    </row>
    <row r="594" spans="1:18">
      <c r="A594">
        <v>10593</v>
      </c>
      <c r="B594" s="2">
        <v>44789</v>
      </c>
      <c r="C594" s="2">
        <v>44791</v>
      </c>
      <c r="D594" s="2">
        <v>44795</v>
      </c>
      <c r="E594" t="s">
        <v>20</v>
      </c>
      <c r="F594" t="s">
        <v>22</v>
      </c>
      <c r="G594" t="s">
        <v>23</v>
      </c>
      <c r="H594" t="s">
        <v>33</v>
      </c>
      <c r="I594" t="s">
        <v>35</v>
      </c>
      <c r="J594" t="s">
        <v>40</v>
      </c>
      <c r="K594" t="s">
        <v>47</v>
      </c>
      <c r="L594" t="s">
        <v>51</v>
      </c>
      <c r="M594">
        <v>42851</v>
      </c>
      <c r="N594">
        <v>0.09</v>
      </c>
      <c r="O594">
        <v>5960</v>
      </c>
      <c r="P594">
        <v>6</v>
      </c>
      <c r="Q594" t="s">
        <v>58</v>
      </c>
      <c r="R594" t="s">
        <v>60</v>
      </c>
    </row>
    <row r="595" spans="1:18">
      <c r="A595">
        <v>10594</v>
      </c>
      <c r="B595" s="2">
        <v>44790</v>
      </c>
      <c r="C595" s="2">
        <v>44792</v>
      </c>
      <c r="D595" s="2">
        <v>44796</v>
      </c>
      <c r="E595" t="s">
        <v>20</v>
      </c>
      <c r="F595" t="s">
        <v>22</v>
      </c>
      <c r="G595" t="s">
        <v>26</v>
      </c>
      <c r="H595" t="s">
        <v>30</v>
      </c>
      <c r="I595" t="s">
        <v>35</v>
      </c>
      <c r="J595" t="s">
        <v>38</v>
      </c>
      <c r="K595" t="s">
        <v>47</v>
      </c>
      <c r="L595" t="s">
        <v>52</v>
      </c>
      <c r="M595">
        <v>65468</v>
      </c>
      <c r="N595">
        <v>0.31</v>
      </c>
      <c r="O595">
        <v>11243</v>
      </c>
      <c r="P595">
        <v>18</v>
      </c>
      <c r="Q595" t="s">
        <v>54</v>
      </c>
      <c r="R595" t="s">
        <v>61</v>
      </c>
    </row>
    <row r="596" spans="1:18">
      <c r="A596">
        <v>10595</v>
      </c>
      <c r="B596" s="2">
        <v>44791</v>
      </c>
      <c r="C596" s="2">
        <v>44793</v>
      </c>
      <c r="D596" s="2">
        <v>44797</v>
      </c>
      <c r="E596" t="s">
        <v>18</v>
      </c>
      <c r="F596" t="s">
        <v>22</v>
      </c>
      <c r="G596" t="s">
        <v>24</v>
      </c>
      <c r="H596" t="s">
        <v>33</v>
      </c>
      <c r="I596" t="s">
        <v>34</v>
      </c>
      <c r="J596" t="s">
        <v>40</v>
      </c>
      <c r="K596" t="s">
        <v>47</v>
      </c>
      <c r="L596" t="s">
        <v>53</v>
      </c>
      <c r="M596">
        <v>71067</v>
      </c>
      <c r="N596">
        <v>0.26</v>
      </c>
      <c r="O596">
        <v>7079</v>
      </c>
      <c r="P596">
        <v>23</v>
      </c>
      <c r="Q596" t="s">
        <v>54</v>
      </c>
      <c r="R596" t="s">
        <v>61</v>
      </c>
    </row>
    <row r="597" spans="1:18">
      <c r="A597">
        <v>10596</v>
      </c>
      <c r="B597" s="2">
        <v>44792</v>
      </c>
      <c r="C597" s="2">
        <v>44794</v>
      </c>
      <c r="D597" s="2">
        <v>44798</v>
      </c>
      <c r="E597" t="s">
        <v>19</v>
      </c>
      <c r="F597" t="s">
        <v>22</v>
      </c>
      <c r="G597" t="s">
        <v>24</v>
      </c>
      <c r="H597" t="s">
        <v>30</v>
      </c>
      <c r="I597" t="s">
        <v>34</v>
      </c>
      <c r="J597" t="s">
        <v>39</v>
      </c>
      <c r="K597" t="s">
        <v>47</v>
      </c>
      <c r="L597" t="s">
        <v>53</v>
      </c>
      <c r="M597">
        <v>2691</v>
      </c>
      <c r="N597">
        <v>0.17</v>
      </c>
      <c r="O597">
        <v>3359</v>
      </c>
      <c r="P597">
        <v>20</v>
      </c>
      <c r="Q597" t="s">
        <v>58</v>
      </c>
      <c r="R597" t="s">
        <v>61</v>
      </c>
    </row>
    <row r="598" spans="1:18">
      <c r="A598">
        <v>10597</v>
      </c>
      <c r="B598" s="2">
        <v>44793</v>
      </c>
      <c r="C598" s="2">
        <v>44795</v>
      </c>
      <c r="D598" s="2">
        <v>44799</v>
      </c>
      <c r="E598" t="s">
        <v>20</v>
      </c>
      <c r="F598" t="s">
        <v>22</v>
      </c>
      <c r="G598" t="s">
        <v>24</v>
      </c>
      <c r="H598" t="s">
        <v>33</v>
      </c>
      <c r="I598" t="s">
        <v>35</v>
      </c>
      <c r="J598" t="s">
        <v>39</v>
      </c>
      <c r="K598" t="s">
        <v>47</v>
      </c>
      <c r="L598" t="s">
        <v>52</v>
      </c>
      <c r="M598">
        <v>30389</v>
      </c>
      <c r="N598">
        <v>0.11</v>
      </c>
      <c r="O598">
        <v>10020</v>
      </c>
      <c r="P598">
        <v>7</v>
      </c>
      <c r="Q598" t="s">
        <v>56</v>
      </c>
      <c r="R598" t="s">
        <v>59</v>
      </c>
    </row>
    <row r="599" spans="1:18">
      <c r="A599">
        <v>10598</v>
      </c>
      <c r="B599" s="2">
        <v>44794</v>
      </c>
      <c r="C599" s="2">
        <v>44796</v>
      </c>
      <c r="D599" s="2">
        <v>44800</v>
      </c>
      <c r="E599" t="s">
        <v>19</v>
      </c>
      <c r="F599" t="s">
        <v>22</v>
      </c>
      <c r="G599" t="s">
        <v>23</v>
      </c>
      <c r="H599" t="s">
        <v>33</v>
      </c>
      <c r="I599" t="s">
        <v>35</v>
      </c>
      <c r="J599" t="s">
        <v>40</v>
      </c>
      <c r="K599" t="s">
        <v>50</v>
      </c>
      <c r="L599" t="s">
        <v>51</v>
      </c>
      <c r="M599">
        <v>25609</v>
      </c>
      <c r="N599">
        <v>0.28000000000000003</v>
      </c>
      <c r="O599">
        <v>12029</v>
      </c>
      <c r="P599">
        <v>1</v>
      </c>
      <c r="Q599" t="s">
        <v>56</v>
      </c>
      <c r="R599" t="s">
        <v>60</v>
      </c>
    </row>
    <row r="600" spans="1:18">
      <c r="A600">
        <v>10599</v>
      </c>
      <c r="B600" s="2">
        <v>44795</v>
      </c>
      <c r="C600" s="2">
        <v>44797</v>
      </c>
      <c r="D600" s="2">
        <v>44801</v>
      </c>
      <c r="E600" t="s">
        <v>21</v>
      </c>
      <c r="F600" t="s">
        <v>22</v>
      </c>
      <c r="G600" t="s">
        <v>26</v>
      </c>
      <c r="H600" t="s">
        <v>30</v>
      </c>
      <c r="I600" t="s">
        <v>35</v>
      </c>
      <c r="J600" t="s">
        <v>38</v>
      </c>
      <c r="K600" t="s">
        <v>45</v>
      </c>
      <c r="L600" t="s">
        <v>53</v>
      </c>
      <c r="M600">
        <v>22534</v>
      </c>
      <c r="N600">
        <v>0.38</v>
      </c>
      <c r="O600">
        <v>830</v>
      </c>
      <c r="P600">
        <v>17</v>
      </c>
      <c r="Q600" t="s">
        <v>58</v>
      </c>
      <c r="R600" t="s">
        <v>62</v>
      </c>
    </row>
    <row r="601" spans="1:18">
      <c r="A601">
        <v>10600</v>
      </c>
      <c r="B601" s="2">
        <v>44796</v>
      </c>
      <c r="C601" s="2">
        <v>44798</v>
      </c>
      <c r="D601" s="2">
        <v>44802</v>
      </c>
      <c r="E601" t="s">
        <v>21</v>
      </c>
      <c r="F601" t="s">
        <v>22</v>
      </c>
      <c r="G601" t="s">
        <v>23</v>
      </c>
      <c r="H601" t="s">
        <v>25</v>
      </c>
      <c r="I601" t="s">
        <v>35</v>
      </c>
      <c r="J601" t="s">
        <v>39</v>
      </c>
      <c r="K601" t="s">
        <v>47</v>
      </c>
      <c r="L601" t="s">
        <v>51</v>
      </c>
      <c r="M601">
        <v>24892</v>
      </c>
      <c r="N601">
        <v>0.35</v>
      </c>
      <c r="O601">
        <v>6540</v>
      </c>
      <c r="P601">
        <v>2</v>
      </c>
      <c r="Q601" t="s">
        <v>57</v>
      </c>
      <c r="R601" t="s">
        <v>61</v>
      </c>
    </row>
    <row r="602" spans="1:18">
      <c r="A602">
        <v>10601</v>
      </c>
      <c r="B602" s="2">
        <v>44797</v>
      </c>
      <c r="C602" s="2">
        <v>44799</v>
      </c>
      <c r="D602" s="2">
        <v>44803</v>
      </c>
      <c r="E602" t="s">
        <v>21</v>
      </c>
      <c r="F602" t="s">
        <v>22</v>
      </c>
      <c r="G602" t="s">
        <v>24</v>
      </c>
      <c r="H602" t="s">
        <v>32</v>
      </c>
      <c r="I602" t="s">
        <v>34</v>
      </c>
      <c r="J602" t="s">
        <v>41</v>
      </c>
      <c r="K602" t="s">
        <v>49</v>
      </c>
      <c r="L602" t="s">
        <v>52</v>
      </c>
      <c r="M602">
        <v>66243</v>
      </c>
      <c r="N602">
        <v>0.11</v>
      </c>
      <c r="O602">
        <v>3428</v>
      </c>
      <c r="P602">
        <v>20</v>
      </c>
      <c r="Q602" t="s">
        <v>58</v>
      </c>
      <c r="R602" t="s">
        <v>61</v>
      </c>
    </row>
    <row r="603" spans="1:18">
      <c r="A603">
        <v>10602</v>
      </c>
      <c r="B603" s="2">
        <v>44798</v>
      </c>
      <c r="C603" s="2">
        <v>44800</v>
      </c>
      <c r="D603" s="2">
        <v>44804</v>
      </c>
      <c r="E603" t="s">
        <v>21</v>
      </c>
      <c r="F603" t="s">
        <v>22</v>
      </c>
      <c r="G603" t="s">
        <v>24</v>
      </c>
      <c r="H603" t="s">
        <v>32</v>
      </c>
      <c r="I603" t="s">
        <v>34</v>
      </c>
      <c r="J603" t="s">
        <v>38</v>
      </c>
      <c r="K603" t="s">
        <v>47</v>
      </c>
      <c r="L603" t="s">
        <v>53</v>
      </c>
      <c r="M603">
        <v>583</v>
      </c>
      <c r="N603">
        <v>0.05</v>
      </c>
      <c r="O603">
        <v>17600</v>
      </c>
      <c r="P603">
        <v>24</v>
      </c>
      <c r="Q603" t="s">
        <v>56</v>
      </c>
      <c r="R603" t="s">
        <v>62</v>
      </c>
    </row>
    <row r="604" spans="1:18">
      <c r="A604">
        <v>10603</v>
      </c>
      <c r="B604" s="2">
        <v>44799</v>
      </c>
      <c r="C604" s="2">
        <v>44801</v>
      </c>
      <c r="D604" s="2">
        <v>44805</v>
      </c>
      <c r="E604" t="s">
        <v>19</v>
      </c>
      <c r="F604" t="s">
        <v>22</v>
      </c>
      <c r="G604" t="s">
        <v>24</v>
      </c>
      <c r="H604" t="s">
        <v>30</v>
      </c>
      <c r="I604" t="s">
        <v>35</v>
      </c>
      <c r="J604" t="s">
        <v>42</v>
      </c>
      <c r="K604" t="s">
        <v>49</v>
      </c>
      <c r="L604" t="s">
        <v>53</v>
      </c>
      <c r="M604">
        <v>73981</v>
      </c>
      <c r="N604">
        <v>0.01</v>
      </c>
      <c r="O604">
        <v>7116</v>
      </c>
      <c r="P604">
        <v>17</v>
      </c>
      <c r="Q604" t="s">
        <v>56</v>
      </c>
      <c r="R604" t="s">
        <v>61</v>
      </c>
    </row>
    <row r="605" spans="1:18">
      <c r="A605">
        <v>10604</v>
      </c>
      <c r="B605" s="2">
        <v>44800</v>
      </c>
      <c r="C605" s="2">
        <v>44802</v>
      </c>
      <c r="D605" s="2">
        <v>44806</v>
      </c>
      <c r="E605" t="s">
        <v>21</v>
      </c>
      <c r="F605" t="s">
        <v>22</v>
      </c>
      <c r="G605" t="s">
        <v>27</v>
      </c>
      <c r="H605" t="s">
        <v>33</v>
      </c>
      <c r="I605" t="s">
        <v>35</v>
      </c>
      <c r="J605" t="s">
        <v>42</v>
      </c>
      <c r="K605" t="s">
        <v>44</v>
      </c>
      <c r="L605" t="s">
        <v>51</v>
      </c>
      <c r="M605">
        <v>31472</v>
      </c>
      <c r="N605">
        <v>0.14000000000000001</v>
      </c>
      <c r="O605">
        <v>2691</v>
      </c>
      <c r="P605">
        <v>14</v>
      </c>
      <c r="Q605" t="s">
        <v>57</v>
      </c>
      <c r="R605" t="s">
        <v>61</v>
      </c>
    </row>
    <row r="606" spans="1:18">
      <c r="A606">
        <v>10605</v>
      </c>
      <c r="B606" s="2">
        <v>44801</v>
      </c>
      <c r="C606" s="2">
        <v>44803</v>
      </c>
      <c r="D606" s="2">
        <v>44807</v>
      </c>
      <c r="E606" t="s">
        <v>19</v>
      </c>
      <c r="F606" t="s">
        <v>22</v>
      </c>
      <c r="G606" t="s">
        <v>27</v>
      </c>
      <c r="H606" t="s">
        <v>31</v>
      </c>
      <c r="I606" t="s">
        <v>34</v>
      </c>
      <c r="J606" t="s">
        <v>38</v>
      </c>
      <c r="K606" t="s">
        <v>47</v>
      </c>
      <c r="L606" t="s">
        <v>52</v>
      </c>
      <c r="M606">
        <v>19661</v>
      </c>
      <c r="N606">
        <v>0.36</v>
      </c>
      <c r="O606">
        <v>-1987</v>
      </c>
      <c r="P606">
        <v>8</v>
      </c>
      <c r="Q606" t="s">
        <v>57</v>
      </c>
      <c r="R606" t="s">
        <v>61</v>
      </c>
    </row>
    <row r="607" spans="1:18">
      <c r="A607">
        <v>10606</v>
      </c>
      <c r="B607" s="2">
        <v>44802</v>
      </c>
      <c r="C607" s="2">
        <v>44804</v>
      </c>
      <c r="D607" s="2">
        <v>44808</v>
      </c>
      <c r="E607" t="s">
        <v>18</v>
      </c>
      <c r="F607" t="s">
        <v>22</v>
      </c>
      <c r="G607" t="s">
        <v>24</v>
      </c>
      <c r="H607" t="s">
        <v>25</v>
      </c>
      <c r="I607" t="s">
        <v>36</v>
      </c>
      <c r="J607" t="s">
        <v>40</v>
      </c>
      <c r="K607" t="s">
        <v>46</v>
      </c>
      <c r="L607" t="s">
        <v>53</v>
      </c>
      <c r="M607">
        <v>40576</v>
      </c>
      <c r="N607">
        <v>0.37</v>
      </c>
      <c r="O607">
        <v>10995</v>
      </c>
      <c r="P607">
        <v>14</v>
      </c>
      <c r="Q607" t="s">
        <v>54</v>
      </c>
      <c r="R607" t="s">
        <v>59</v>
      </c>
    </row>
    <row r="608" spans="1:18">
      <c r="A608">
        <v>10607</v>
      </c>
      <c r="B608" s="2">
        <v>44803</v>
      </c>
      <c r="C608" s="2">
        <v>44805</v>
      </c>
      <c r="D608" s="2">
        <v>44809</v>
      </c>
      <c r="E608" t="s">
        <v>19</v>
      </c>
      <c r="F608" t="s">
        <v>22</v>
      </c>
      <c r="G608" t="s">
        <v>24</v>
      </c>
      <c r="H608" t="s">
        <v>29</v>
      </c>
      <c r="I608" t="s">
        <v>36</v>
      </c>
      <c r="J608" t="s">
        <v>38</v>
      </c>
      <c r="K608" t="s">
        <v>44</v>
      </c>
      <c r="L608" t="s">
        <v>52</v>
      </c>
      <c r="M608">
        <v>4407</v>
      </c>
      <c r="N608">
        <v>0.35</v>
      </c>
      <c r="O608">
        <v>9864</v>
      </c>
      <c r="P608">
        <v>1</v>
      </c>
      <c r="Q608" t="s">
        <v>55</v>
      </c>
      <c r="R608" t="s">
        <v>62</v>
      </c>
    </row>
    <row r="609" spans="1:18">
      <c r="A609">
        <v>10608</v>
      </c>
      <c r="B609" s="2">
        <v>44804</v>
      </c>
      <c r="C609" s="2">
        <v>44806</v>
      </c>
      <c r="D609" s="2">
        <v>44810</v>
      </c>
      <c r="E609" t="s">
        <v>20</v>
      </c>
      <c r="F609" t="s">
        <v>22</v>
      </c>
      <c r="G609" t="s">
        <v>27</v>
      </c>
      <c r="H609" t="s">
        <v>29</v>
      </c>
      <c r="I609" t="s">
        <v>36</v>
      </c>
      <c r="J609" t="s">
        <v>41</v>
      </c>
      <c r="K609" t="s">
        <v>45</v>
      </c>
      <c r="L609" t="s">
        <v>53</v>
      </c>
      <c r="M609">
        <v>19621</v>
      </c>
      <c r="N609">
        <v>0.06</v>
      </c>
      <c r="O609">
        <v>3808</v>
      </c>
      <c r="P609">
        <v>19</v>
      </c>
      <c r="Q609" t="s">
        <v>57</v>
      </c>
      <c r="R609" t="s">
        <v>59</v>
      </c>
    </row>
    <row r="610" spans="1:18">
      <c r="A610">
        <v>10609</v>
      </c>
      <c r="B610" s="2">
        <v>44805</v>
      </c>
      <c r="C610" s="2">
        <v>44807</v>
      </c>
      <c r="D610" s="2">
        <v>44811</v>
      </c>
      <c r="E610" t="s">
        <v>21</v>
      </c>
      <c r="F610" t="s">
        <v>22</v>
      </c>
      <c r="G610" t="s">
        <v>25</v>
      </c>
      <c r="H610" t="s">
        <v>30</v>
      </c>
      <c r="I610" t="s">
        <v>34</v>
      </c>
      <c r="J610" t="s">
        <v>41</v>
      </c>
      <c r="K610" t="s">
        <v>44</v>
      </c>
      <c r="L610" t="s">
        <v>51</v>
      </c>
      <c r="M610">
        <v>3868</v>
      </c>
      <c r="N610">
        <v>0.13</v>
      </c>
      <c r="O610">
        <v>5596</v>
      </c>
      <c r="P610">
        <v>22</v>
      </c>
      <c r="Q610" t="s">
        <v>54</v>
      </c>
      <c r="R610" t="s">
        <v>61</v>
      </c>
    </row>
    <row r="611" spans="1:18">
      <c r="A611">
        <v>10610</v>
      </c>
      <c r="B611" s="2">
        <v>44806</v>
      </c>
      <c r="C611" s="2">
        <v>44808</v>
      </c>
      <c r="D611" s="2">
        <v>44812</v>
      </c>
      <c r="E611" t="s">
        <v>19</v>
      </c>
      <c r="F611" t="s">
        <v>22</v>
      </c>
      <c r="G611" t="s">
        <v>23</v>
      </c>
      <c r="H611" t="s">
        <v>33</v>
      </c>
      <c r="I611" t="s">
        <v>34</v>
      </c>
      <c r="J611" t="s">
        <v>37</v>
      </c>
      <c r="K611" t="s">
        <v>50</v>
      </c>
      <c r="L611" t="s">
        <v>51</v>
      </c>
      <c r="M611">
        <v>52969</v>
      </c>
      <c r="N611">
        <v>0.04</v>
      </c>
      <c r="O611">
        <v>17857</v>
      </c>
      <c r="P611">
        <v>15</v>
      </c>
      <c r="Q611" t="s">
        <v>57</v>
      </c>
      <c r="R611" t="s">
        <v>62</v>
      </c>
    </row>
    <row r="612" spans="1:18">
      <c r="A612">
        <v>10611</v>
      </c>
      <c r="B612" s="2">
        <v>44807</v>
      </c>
      <c r="C612" s="2">
        <v>44809</v>
      </c>
      <c r="D612" s="2">
        <v>44813</v>
      </c>
      <c r="E612" t="s">
        <v>19</v>
      </c>
      <c r="F612" t="s">
        <v>22</v>
      </c>
      <c r="G612" t="s">
        <v>24</v>
      </c>
      <c r="H612" t="s">
        <v>31</v>
      </c>
      <c r="I612" t="s">
        <v>35</v>
      </c>
      <c r="J612" t="s">
        <v>43</v>
      </c>
      <c r="K612" t="s">
        <v>48</v>
      </c>
      <c r="L612" t="s">
        <v>53</v>
      </c>
      <c r="M612">
        <v>13846</v>
      </c>
      <c r="N612">
        <v>0.37</v>
      </c>
      <c r="O612">
        <v>4427</v>
      </c>
      <c r="P612">
        <v>13</v>
      </c>
      <c r="Q612" t="s">
        <v>54</v>
      </c>
      <c r="R612" t="s">
        <v>62</v>
      </c>
    </row>
    <row r="613" spans="1:18">
      <c r="A613">
        <v>10612</v>
      </c>
      <c r="B613" s="2">
        <v>44808</v>
      </c>
      <c r="C613" s="2">
        <v>44810</v>
      </c>
      <c r="D613" s="2">
        <v>44814</v>
      </c>
      <c r="E613" t="s">
        <v>21</v>
      </c>
      <c r="F613" t="s">
        <v>22</v>
      </c>
      <c r="G613" t="s">
        <v>28</v>
      </c>
      <c r="H613" t="s">
        <v>33</v>
      </c>
      <c r="I613" t="s">
        <v>34</v>
      </c>
      <c r="J613" t="s">
        <v>38</v>
      </c>
      <c r="K613" t="s">
        <v>45</v>
      </c>
      <c r="L613" t="s">
        <v>52</v>
      </c>
      <c r="M613">
        <v>22031</v>
      </c>
      <c r="N613">
        <v>0.28000000000000003</v>
      </c>
      <c r="O613">
        <v>7061</v>
      </c>
      <c r="P613">
        <v>17</v>
      </c>
      <c r="Q613" t="s">
        <v>58</v>
      </c>
      <c r="R613" t="s">
        <v>60</v>
      </c>
    </row>
    <row r="614" spans="1:18">
      <c r="A614">
        <v>10613</v>
      </c>
      <c r="B614" s="2">
        <v>44809</v>
      </c>
      <c r="C614" s="2">
        <v>44811</v>
      </c>
      <c r="D614" s="2">
        <v>44815</v>
      </c>
      <c r="E614" t="s">
        <v>18</v>
      </c>
      <c r="F614" t="s">
        <v>22</v>
      </c>
      <c r="G614" t="s">
        <v>23</v>
      </c>
      <c r="H614" t="s">
        <v>31</v>
      </c>
      <c r="I614" t="s">
        <v>34</v>
      </c>
      <c r="J614" t="s">
        <v>37</v>
      </c>
      <c r="K614" t="s">
        <v>45</v>
      </c>
      <c r="L614" t="s">
        <v>52</v>
      </c>
      <c r="M614">
        <v>31503</v>
      </c>
      <c r="N614">
        <v>0.23</v>
      </c>
      <c r="O614">
        <v>3117</v>
      </c>
      <c r="P614">
        <v>9</v>
      </c>
      <c r="Q614" t="s">
        <v>58</v>
      </c>
      <c r="R614" t="s">
        <v>59</v>
      </c>
    </row>
    <row r="615" spans="1:18">
      <c r="A615">
        <v>10614</v>
      </c>
      <c r="B615" s="2">
        <v>44810</v>
      </c>
      <c r="C615" s="2">
        <v>44812</v>
      </c>
      <c r="D615" s="2">
        <v>44816</v>
      </c>
      <c r="E615" t="s">
        <v>18</v>
      </c>
      <c r="F615" t="s">
        <v>22</v>
      </c>
      <c r="G615" t="s">
        <v>23</v>
      </c>
      <c r="H615" t="s">
        <v>25</v>
      </c>
      <c r="I615" t="s">
        <v>36</v>
      </c>
      <c r="J615" t="s">
        <v>40</v>
      </c>
      <c r="K615" t="s">
        <v>47</v>
      </c>
      <c r="L615" t="s">
        <v>52</v>
      </c>
      <c r="M615">
        <v>60595</v>
      </c>
      <c r="N615">
        <v>0.27</v>
      </c>
      <c r="O615">
        <v>-605</v>
      </c>
      <c r="P615">
        <v>7</v>
      </c>
      <c r="Q615" t="s">
        <v>54</v>
      </c>
      <c r="R615" t="s">
        <v>60</v>
      </c>
    </row>
    <row r="616" spans="1:18">
      <c r="A616">
        <v>10615</v>
      </c>
      <c r="B616" s="2">
        <v>44811</v>
      </c>
      <c r="C616" s="2">
        <v>44813</v>
      </c>
      <c r="D616" s="2">
        <v>44817</v>
      </c>
      <c r="E616" t="s">
        <v>21</v>
      </c>
      <c r="F616" t="s">
        <v>22</v>
      </c>
      <c r="G616" t="s">
        <v>23</v>
      </c>
      <c r="H616" t="s">
        <v>25</v>
      </c>
      <c r="I616" t="s">
        <v>35</v>
      </c>
      <c r="J616" t="s">
        <v>38</v>
      </c>
      <c r="K616" t="s">
        <v>49</v>
      </c>
      <c r="L616" t="s">
        <v>51</v>
      </c>
      <c r="M616">
        <v>28683</v>
      </c>
      <c r="N616">
        <v>0.04</v>
      </c>
      <c r="O616">
        <v>-1376</v>
      </c>
      <c r="P616">
        <v>14</v>
      </c>
      <c r="Q616" t="s">
        <v>55</v>
      </c>
      <c r="R616" t="s">
        <v>61</v>
      </c>
    </row>
    <row r="617" spans="1:18">
      <c r="A617">
        <v>10616</v>
      </c>
      <c r="B617" s="2">
        <v>44812</v>
      </c>
      <c r="C617" s="2">
        <v>44814</v>
      </c>
      <c r="D617" s="2">
        <v>44818</v>
      </c>
      <c r="E617" t="s">
        <v>19</v>
      </c>
      <c r="F617" t="s">
        <v>22</v>
      </c>
      <c r="G617" t="s">
        <v>27</v>
      </c>
      <c r="H617" t="s">
        <v>25</v>
      </c>
      <c r="I617" t="s">
        <v>36</v>
      </c>
      <c r="J617" t="s">
        <v>41</v>
      </c>
      <c r="K617" t="s">
        <v>50</v>
      </c>
      <c r="L617" t="s">
        <v>53</v>
      </c>
      <c r="M617">
        <v>43858</v>
      </c>
      <c r="N617">
        <v>0.03</v>
      </c>
      <c r="O617">
        <v>14134</v>
      </c>
      <c r="P617">
        <v>24</v>
      </c>
      <c r="Q617" t="s">
        <v>58</v>
      </c>
      <c r="R617" t="s">
        <v>61</v>
      </c>
    </row>
    <row r="618" spans="1:18">
      <c r="A618">
        <v>10617</v>
      </c>
      <c r="B618" s="2">
        <v>44813</v>
      </c>
      <c r="C618" s="2">
        <v>44815</v>
      </c>
      <c r="D618" s="2">
        <v>44819</v>
      </c>
      <c r="E618" t="s">
        <v>20</v>
      </c>
      <c r="F618" t="s">
        <v>22</v>
      </c>
      <c r="G618" t="s">
        <v>27</v>
      </c>
      <c r="H618" t="s">
        <v>30</v>
      </c>
      <c r="I618" t="s">
        <v>35</v>
      </c>
      <c r="J618" t="s">
        <v>43</v>
      </c>
      <c r="K618" t="s">
        <v>44</v>
      </c>
      <c r="L618" t="s">
        <v>53</v>
      </c>
      <c r="M618">
        <v>61133</v>
      </c>
      <c r="N618">
        <v>0.27</v>
      </c>
      <c r="O618">
        <v>6901</v>
      </c>
      <c r="P618">
        <v>9</v>
      </c>
      <c r="Q618" t="s">
        <v>55</v>
      </c>
      <c r="R618" t="s">
        <v>61</v>
      </c>
    </row>
    <row r="619" spans="1:18">
      <c r="A619">
        <v>10618</v>
      </c>
      <c r="B619" s="2">
        <v>44814</v>
      </c>
      <c r="C619" s="2">
        <v>44816</v>
      </c>
      <c r="D619" s="2">
        <v>44820</v>
      </c>
      <c r="E619" t="s">
        <v>18</v>
      </c>
      <c r="F619" t="s">
        <v>22</v>
      </c>
      <c r="G619" t="s">
        <v>28</v>
      </c>
      <c r="H619" t="s">
        <v>29</v>
      </c>
      <c r="I619" t="s">
        <v>36</v>
      </c>
      <c r="J619" t="s">
        <v>41</v>
      </c>
      <c r="K619" t="s">
        <v>44</v>
      </c>
      <c r="L619" t="s">
        <v>51</v>
      </c>
      <c r="M619">
        <v>66135</v>
      </c>
      <c r="N619">
        <v>0.05</v>
      </c>
      <c r="O619">
        <v>12717</v>
      </c>
      <c r="P619">
        <v>6</v>
      </c>
      <c r="Q619" t="s">
        <v>56</v>
      </c>
      <c r="R619" t="s">
        <v>59</v>
      </c>
    </row>
    <row r="620" spans="1:18">
      <c r="A620">
        <v>10619</v>
      </c>
      <c r="B620" s="2">
        <v>44815</v>
      </c>
      <c r="C620" s="2">
        <v>44817</v>
      </c>
      <c r="D620" s="2">
        <v>44821</v>
      </c>
      <c r="E620" t="s">
        <v>20</v>
      </c>
      <c r="F620" t="s">
        <v>22</v>
      </c>
      <c r="G620" t="s">
        <v>23</v>
      </c>
      <c r="H620" t="s">
        <v>32</v>
      </c>
      <c r="I620" t="s">
        <v>35</v>
      </c>
      <c r="J620" t="s">
        <v>41</v>
      </c>
      <c r="K620" t="s">
        <v>48</v>
      </c>
      <c r="L620" t="s">
        <v>53</v>
      </c>
      <c r="M620">
        <v>68999</v>
      </c>
      <c r="N620">
        <v>0.11</v>
      </c>
      <c r="O620">
        <v>-146</v>
      </c>
      <c r="P620">
        <v>11</v>
      </c>
      <c r="Q620" t="s">
        <v>58</v>
      </c>
      <c r="R620" t="s">
        <v>62</v>
      </c>
    </row>
    <row r="621" spans="1:18">
      <c r="A621">
        <v>10620</v>
      </c>
      <c r="B621" s="2">
        <v>44816</v>
      </c>
      <c r="C621" s="2">
        <v>44818</v>
      </c>
      <c r="D621" s="2">
        <v>44822</v>
      </c>
      <c r="E621" t="s">
        <v>21</v>
      </c>
      <c r="F621" t="s">
        <v>22</v>
      </c>
      <c r="G621" t="s">
        <v>23</v>
      </c>
      <c r="H621" t="s">
        <v>30</v>
      </c>
      <c r="I621" t="s">
        <v>35</v>
      </c>
      <c r="J621" t="s">
        <v>38</v>
      </c>
      <c r="K621" t="s">
        <v>48</v>
      </c>
      <c r="L621" t="s">
        <v>52</v>
      </c>
      <c r="M621">
        <v>53801</v>
      </c>
      <c r="N621">
        <v>0.18</v>
      </c>
      <c r="O621">
        <v>657</v>
      </c>
      <c r="P621">
        <v>24</v>
      </c>
      <c r="Q621" t="s">
        <v>57</v>
      </c>
      <c r="R621" t="s">
        <v>61</v>
      </c>
    </row>
    <row r="622" spans="1:18">
      <c r="A622">
        <v>10621</v>
      </c>
      <c r="B622" s="2">
        <v>44817</v>
      </c>
      <c r="C622" s="2">
        <v>44819</v>
      </c>
      <c r="D622" s="2">
        <v>44823</v>
      </c>
      <c r="E622" t="s">
        <v>20</v>
      </c>
      <c r="F622" t="s">
        <v>22</v>
      </c>
      <c r="G622" t="s">
        <v>27</v>
      </c>
      <c r="H622" t="s">
        <v>33</v>
      </c>
      <c r="I622" t="s">
        <v>34</v>
      </c>
      <c r="J622" t="s">
        <v>38</v>
      </c>
      <c r="K622" t="s">
        <v>48</v>
      </c>
      <c r="L622" t="s">
        <v>53</v>
      </c>
      <c r="M622">
        <v>28325</v>
      </c>
      <c r="N622">
        <v>0.27</v>
      </c>
      <c r="O622">
        <v>2557</v>
      </c>
      <c r="P622">
        <v>15</v>
      </c>
      <c r="Q622" t="s">
        <v>55</v>
      </c>
      <c r="R622" t="s">
        <v>61</v>
      </c>
    </row>
    <row r="623" spans="1:18">
      <c r="A623">
        <v>10622</v>
      </c>
      <c r="B623" s="2">
        <v>44818</v>
      </c>
      <c r="C623" s="2">
        <v>44820</v>
      </c>
      <c r="D623" s="2">
        <v>44824</v>
      </c>
      <c r="E623" t="s">
        <v>19</v>
      </c>
      <c r="F623" t="s">
        <v>22</v>
      </c>
      <c r="G623" t="s">
        <v>26</v>
      </c>
      <c r="H623" t="s">
        <v>31</v>
      </c>
      <c r="I623" t="s">
        <v>35</v>
      </c>
      <c r="J623" t="s">
        <v>39</v>
      </c>
      <c r="K623" t="s">
        <v>46</v>
      </c>
      <c r="L623" t="s">
        <v>52</v>
      </c>
      <c r="M623">
        <v>18828</v>
      </c>
      <c r="N623">
        <v>0.28000000000000003</v>
      </c>
      <c r="O623">
        <v>-366</v>
      </c>
      <c r="P623">
        <v>1</v>
      </c>
      <c r="Q623" t="s">
        <v>57</v>
      </c>
      <c r="R623" t="s">
        <v>60</v>
      </c>
    </row>
    <row r="624" spans="1:18">
      <c r="A624">
        <v>10623</v>
      </c>
      <c r="B624" s="2">
        <v>44819</v>
      </c>
      <c r="C624" s="2">
        <v>44821</v>
      </c>
      <c r="D624" s="2">
        <v>44825</v>
      </c>
      <c r="E624" t="s">
        <v>19</v>
      </c>
      <c r="F624" t="s">
        <v>22</v>
      </c>
      <c r="G624" t="s">
        <v>23</v>
      </c>
      <c r="H624" t="s">
        <v>30</v>
      </c>
      <c r="I624" t="s">
        <v>34</v>
      </c>
      <c r="J624" t="s">
        <v>37</v>
      </c>
      <c r="K624" t="s">
        <v>44</v>
      </c>
      <c r="L624" t="s">
        <v>51</v>
      </c>
      <c r="M624">
        <v>50078</v>
      </c>
      <c r="N624">
        <v>0.1</v>
      </c>
      <c r="O624">
        <v>14517</v>
      </c>
      <c r="P624">
        <v>8</v>
      </c>
      <c r="Q624" t="s">
        <v>58</v>
      </c>
      <c r="R624" t="s">
        <v>59</v>
      </c>
    </row>
    <row r="625" spans="1:18">
      <c r="A625">
        <v>10624</v>
      </c>
      <c r="B625" s="2">
        <v>44820</v>
      </c>
      <c r="C625" s="2">
        <v>44822</v>
      </c>
      <c r="D625" s="2">
        <v>44826</v>
      </c>
      <c r="E625" t="s">
        <v>21</v>
      </c>
      <c r="F625" t="s">
        <v>22</v>
      </c>
      <c r="G625" t="s">
        <v>24</v>
      </c>
      <c r="H625" t="s">
        <v>33</v>
      </c>
      <c r="I625" t="s">
        <v>35</v>
      </c>
      <c r="J625" t="s">
        <v>39</v>
      </c>
      <c r="K625" t="s">
        <v>46</v>
      </c>
      <c r="L625" t="s">
        <v>52</v>
      </c>
      <c r="M625">
        <v>22365</v>
      </c>
      <c r="N625">
        <v>0.35</v>
      </c>
      <c r="O625">
        <v>15303</v>
      </c>
      <c r="P625">
        <v>12</v>
      </c>
      <c r="Q625" t="s">
        <v>56</v>
      </c>
      <c r="R625" t="s">
        <v>60</v>
      </c>
    </row>
    <row r="626" spans="1:18">
      <c r="A626">
        <v>10625</v>
      </c>
      <c r="B626" s="2">
        <v>44821</v>
      </c>
      <c r="C626" s="2">
        <v>44823</v>
      </c>
      <c r="D626" s="2">
        <v>44827</v>
      </c>
      <c r="E626" t="s">
        <v>18</v>
      </c>
      <c r="F626" t="s">
        <v>22</v>
      </c>
      <c r="G626" t="s">
        <v>27</v>
      </c>
      <c r="H626" t="s">
        <v>33</v>
      </c>
      <c r="I626" t="s">
        <v>35</v>
      </c>
      <c r="J626" t="s">
        <v>39</v>
      </c>
      <c r="K626" t="s">
        <v>50</v>
      </c>
      <c r="L626" t="s">
        <v>52</v>
      </c>
      <c r="M626">
        <v>29755</v>
      </c>
      <c r="N626">
        <v>0.18</v>
      </c>
      <c r="O626">
        <v>2246</v>
      </c>
      <c r="P626">
        <v>11</v>
      </c>
      <c r="Q626" t="s">
        <v>54</v>
      </c>
      <c r="R626" t="s">
        <v>59</v>
      </c>
    </row>
    <row r="627" spans="1:18">
      <c r="A627">
        <v>10626</v>
      </c>
      <c r="B627" s="2">
        <v>44822</v>
      </c>
      <c r="C627" s="2">
        <v>44824</v>
      </c>
      <c r="D627" s="2">
        <v>44828</v>
      </c>
      <c r="E627" t="s">
        <v>19</v>
      </c>
      <c r="F627" t="s">
        <v>22</v>
      </c>
      <c r="G627" t="s">
        <v>24</v>
      </c>
      <c r="H627" t="s">
        <v>29</v>
      </c>
      <c r="I627" t="s">
        <v>35</v>
      </c>
      <c r="J627" t="s">
        <v>37</v>
      </c>
      <c r="K627" t="s">
        <v>45</v>
      </c>
      <c r="L627" t="s">
        <v>52</v>
      </c>
      <c r="M627">
        <v>73750</v>
      </c>
      <c r="N627">
        <v>0.16</v>
      </c>
      <c r="O627">
        <v>12993</v>
      </c>
      <c r="P627">
        <v>22</v>
      </c>
      <c r="Q627" t="s">
        <v>56</v>
      </c>
      <c r="R627" t="s">
        <v>61</v>
      </c>
    </row>
    <row r="628" spans="1:18">
      <c r="A628">
        <v>10627</v>
      </c>
      <c r="B628" s="2">
        <v>44823</v>
      </c>
      <c r="C628" s="2">
        <v>44825</v>
      </c>
      <c r="D628" s="2">
        <v>44829</v>
      </c>
      <c r="E628" t="s">
        <v>18</v>
      </c>
      <c r="F628" t="s">
        <v>22</v>
      </c>
      <c r="G628" t="s">
        <v>23</v>
      </c>
      <c r="H628" t="s">
        <v>25</v>
      </c>
      <c r="I628" t="s">
        <v>34</v>
      </c>
      <c r="J628" t="s">
        <v>38</v>
      </c>
      <c r="K628" t="s">
        <v>44</v>
      </c>
      <c r="L628" t="s">
        <v>51</v>
      </c>
      <c r="M628">
        <v>24368</v>
      </c>
      <c r="N628">
        <v>0.1</v>
      </c>
      <c r="O628">
        <v>3968</v>
      </c>
      <c r="P628">
        <v>6</v>
      </c>
      <c r="Q628" t="s">
        <v>58</v>
      </c>
      <c r="R628" t="s">
        <v>62</v>
      </c>
    </row>
    <row r="629" spans="1:18">
      <c r="A629">
        <v>10628</v>
      </c>
      <c r="B629" s="2">
        <v>44824</v>
      </c>
      <c r="C629" s="2">
        <v>44826</v>
      </c>
      <c r="D629" s="2">
        <v>44830</v>
      </c>
      <c r="E629" t="s">
        <v>18</v>
      </c>
      <c r="F629" t="s">
        <v>22</v>
      </c>
      <c r="G629" t="s">
        <v>26</v>
      </c>
      <c r="H629" t="s">
        <v>31</v>
      </c>
      <c r="I629" t="s">
        <v>36</v>
      </c>
      <c r="J629" t="s">
        <v>38</v>
      </c>
      <c r="K629" t="s">
        <v>48</v>
      </c>
      <c r="L629" t="s">
        <v>52</v>
      </c>
      <c r="M629">
        <v>63149</v>
      </c>
      <c r="N629">
        <v>0.13</v>
      </c>
      <c r="O629">
        <v>1866</v>
      </c>
      <c r="P629">
        <v>15</v>
      </c>
      <c r="Q629" t="s">
        <v>55</v>
      </c>
      <c r="R629" t="s">
        <v>61</v>
      </c>
    </row>
    <row r="630" spans="1:18">
      <c r="A630">
        <v>10629</v>
      </c>
      <c r="B630" s="2">
        <v>44825</v>
      </c>
      <c r="C630" s="2">
        <v>44827</v>
      </c>
      <c r="D630" s="2">
        <v>44831</v>
      </c>
      <c r="E630" t="s">
        <v>19</v>
      </c>
      <c r="F630" t="s">
        <v>22</v>
      </c>
      <c r="G630" t="s">
        <v>23</v>
      </c>
      <c r="H630" t="s">
        <v>25</v>
      </c>
      <c r="I630" t="s">
        <v>36</v>
      </c>
      <c r="J630" t="s">
        <v>41</v>
      </c>
      <c r="K630" t="s">
        <v>50</v>
      </c>
      <c r="L630" t="s">
        <v>51</v>
      </c>
      <c r="M630">
        <v>58632</v>
      </c>
      <c r="N630">
        <v>0.21</v>
      </c>
      <c r="O630">
        <v>778</v>
      </c>
      <c r="P630">
        <v>5</v>
      </c>
      <c r="Q630" t="s">
        <v>55</v>
      </c>
      <c r="R630" t="s">
        <v>60</v>
      </c>
    </row>
    <row r="631" spans="1:18">
      <c r="A631">
        <v>10630</v>
      </c>
      <c r="B631" s="2">
        <v>44826</v>
      </c>
      <c r="C631" s="2">
        <v>44828</v>
      </c>
      <c r="D631" s="2">
        <v>44832</v>
      </c>
      <c r="E631" t="s">
        <v>18</v>
      </c>
      <c r="F631" t="s">
        <v>22</v>
      </c>
      <c r="G631" t="s">
        <v>27</v>
      </c>
      <c r="H631" t="s">
        <v>32</v>
      </c>
      <c r="I631" t="s">
        <v>35</v>
      </c>
      <c r="J631" t="s">
        <v>41</v>
      </c>
      <c r="K631" t="s">
        <v>48</v>
      </c>
      <c r="L631" t="s">
        <v>52</v>
      </c>
      <c r="M631">
        <v>34448</v>
      </c>
      <c r="N631">
        <v>0.08</v>
      </c>
      <c r="O631">
        <v>4475</v>
      </c>
      <c r="P631">
        <v>16</v>
      </c>
      <c r="Q631" t="s">
        <v>54</v>
      </c>
      <c r="R631" t="s">
        <v>59</v>
      </c>
    </row>
    <row r="632" spans="1:18">
      <c r="A632">
        <v>10631</v>
      </c>
      <c r="B632" s="2">
        <v>44827</v>
      </c>
      <c r="C632" s="2">
        <v>44829</v>
      </c>
      <c r="D632" s="2">
        <v>44833</v>
      </c>
      <c r="E632" t="s">
        <v>20</v>
      </c>
      <c r="F632" t="s">
        <v>22</v>
      </c>
      <c r="G632" t="s">
        <v>28</v>
      </c>
      <c r="H632" t="s">
        <v>25</v>
      </c>
      <c r="I632" t="s">
        <v>34</v>
      </c>
      <c r="J632" t="s">
        <v>43</v>
      </c>
      <c r="K632" t="s">
        <v>49</v>
      </c>
      <c r="L632" t="s">
        <v>53</v>
      </c>
      <c r="M632">
        <v>4838</v>
      </c>
      <c r="N632">
        <v>0.25</v>
      </c>
      <c r="O632">
        <v>10274</v>
      </c>
      <c r="P632">
        <v>10</v>
      </c>
      <c r="Q632" t="s">
        <v>57</v>
      </c>
      <c r="R632" t="s">
        <v>61</v>
      </c>
    </row>
    <row r="633" spans="1:18">
      <c r="A633">
        <v>10632</v>
      </c>
      <c r="B633" s="2">
        <v>44828</v>
      </c>
      <c r="C633" s="2">
        <v>44830</v>
      </c>
      <c r="D633" s="2">
        <v>44834</v>
      </c>
      <c r="E633" t="s">
        <v>21</v>
      </c>
      <c r="F633" t="s">
        <v>22</v>
      </c>
      <c r="G633" t="s">
        <v>25</v>
      </c>
      <c r="H633" t="s">
        <v>33</v>
      </c>
      <c r="I633" t="s">
        <v>35</v>
      </c>
      <c r="J633" t="s">
        <v>39</v>
      </c>
      <c r="K633" t="s">
        <v>50</v>
      </c>
      <c r="L633" t="s">
        <v>51</v>
      </c>
      <c r="M633">
        <v>3780</v>
      </c>
      <c r="N633">
        <v>0.17</v>
      </c>
      <c r="O633">
        <v>13445</v>
      </c>
      <c r="P633">
        <v>23</v>
      </c>
      <c r="Q633" t="s">
        <v>54</v>
      </c>
      <c r="R633" t="s">
        <v>61</v>
      </c>
    </row>
    <row r="634" spans="1:18">
      <c r="A634">
        <v>10633</v>
      </c>
      <c r="B634" s="2">
        <v>44829</v>
      </c>
      <c r="C634" s="2">
        <v>44831</v>
      </c>
      <c r="D634" s="2">
        <v>44835</v>
      </c>
      <c r="E634" t="s">
        <v>19</v>
      </c>
      <c r="F634" t="s">
        <v>22</v>
      </c>
      <c r="G634" t="s">
        <v>25</v>
      </c>
      <c r="H634" t="s">
        <v>25</v>
      </c>
      <c r="I634" t="s">
        <v>36</v>
      </c>
      <c r="J634" t="s">
        <v>40</v>
      </c>
      <c r="K634" t="s">
        <v>46</v>
      </c>
      <c r="L634" t="s">
        <v>51</v>
      </c>
      <c r="M634">
        <v>53415</v>
      </c>
      <c r="N634">
        <v>0.27</v>
      </c>
      <c r="O634">
        <v>2053</v>
      </c>
      <c r="P634">
        <v>24</v>
      </c>
      <c r="Q634" t="s">
        <v>57</v>
      </c>
      <c r="R634" t="s">
        <v>62</v>
      </c>
    </row>
    <row r="635" spans="1:18">
      <c r="A635">
        <v>10634</v>
      </c>
      <c r="B635" s="2">
        <v>44830</v>
      </c>
      <c r="C635" s="2">
        <v>44832</v>
      </c>
      <c r="D635" s="2">
        <v>44836</v>
      </c>
      <c r="E635" t="s">
        <v>19</v>
      </c>
      <c r="F635" t="s">
        <v>22</v>
      </c>
      <c r="G635" t="s">
        <v>23</v>
      </c>
      <c r="H635" t="s">
        <v>29</v>
      </c>
      <c r="I635" t="s">
        <v>35</v>
      </c>
      <c r="J635" t="s">
        <v>42</v>
      </c>
      <c r="K635" t="s">
        <v>47</v>
      </c>
      <c r="L635" t="s">
        <v>51</v>
      </c>
      <c r="M635">
        <v>68627</v>
      </c>
      <c r="N635">
        <v>0.39</v>
      </c>
      <c r="O635">
        <v>19310</v>
      </c>
      <c r="P635">
        <v>21</v>
      </c>
      <c r="Q635" t="s">
        <v>55</v>
      </c>
      <c r="R635" t="s">
        <v>60</v>
      </c>
    </row>
    <row r="636" spans="1:18">
      <c r="A636">
        <v>10635</v>
      </c>
      <c r="B636" s="2">
        <v>44831</v>
      </c>
      <c r="C636" s="2">
        <v>44833</v>
      </c>
      <c r="D636" s="2">
        <v>44837</v>
      </c>
      <c r="E636" t="s">
        <v>21</v>
      </c>
      <c r="F636" t="s">
        <v>22</v>
      </c>
      <c r="G636" t="s">
        <v>26</v>
      </c>
      <c r="H636" t="s">
        <v>25</v>
      </c>
      <c r="I636" t="s">
        <v>35</v>
      </c>
      <c r="J636" t="s">
        <v>41</v>
      </c>
      <c r="K636" t="s">
        <v>50</v>
      </c>
      <c r="L636" t="s">
        <v>51</v>
      </c>
      <c r="M636">
        <v>57034</v>
      </c>
      <c r="N636">
        <v>0.34</v>
      </c>
      <c r="O636">
        <v>561</v>
      </c>
      <c r="P636">
        <v>7</v>
      </c>
      <c r="Q636" t="s">
        <v>54</v>
      </c>
      <c r="R636" t="s">
        <v>62</v>
      </c>
    </row>
    <row r="637" spans="1:18">
      <c r="A637">
        <v>10636</v>
      </c>
      <c r="B637" s="2">
        <v>44832</v>
      </c>
      <c r="C637" s="2">
        <v>44834</v>
      </c>
      <c r="D637" s="2">
        <v>44838</v>
      </c>
      <c r="E637" t="s">
        <v>20</v>
      </c>
      <c r="F637" t="s">
        <v>22</v>
      </c>
      <c r="G637" t="s">
        <v>27</v>
      </c>
      <c r="H637" t="s">
        <v>33</v>
      </c>
      <c r="I637" t="s">
        <v>36</v>
      </c>
      <c r="J637" t="s">
        <v>38</v>
      </c>
      <c r="K637" t="s">
        <v>44</v>
      </c>
      <c r="L637" t="s">
        <v>51</v>
      </c>
      <c r="M637">
        <v>6185</v>
      </c>
      <c r="N637">
        <v>0.25</v>
      </c>
      <c r="O637">
        <v>14453</v>
      </c>
      <c r="P637">
        <v>8</v>
      </c>
      <c r="Q637" t="s">
        <v>56</v>
      </c>
      <c r="R637" t="s">
        <v>62</v>
      </c>
    </row>
    <row r="638" spans="1:18">
      <c r="A638">
        <v>10637</v>
      </c>
      <c r="B638" s="2">
        <v>44833</v>
      </c>
      <c r="C638" s="2">
        <v>44835</v>
      </c>
      <c r="D638" s="2">
        <v>44839</v>
      </c>
      <c r="E638" t="s">
        <v>18</v>
      </c>
      <c r="F638" t="s">
        <v>22</v>
      </c>
      <c r="G638" t="s">
        <v>25</v>
      </c>
      <c r="H638" t="s">
        <v>32</v>
      </c>
      <c r="I638" t="s">
        <v>36</v>
      </c>
      <c r="J638" t="s">
        <v>39</v>
      </c>
      <c r="K638" t="s">
        <v>46</v>
      </c>
      <c r="L638" t="s">
        <v>51</v>
      </c>
      <c r="M638">
        <v>24717</v>
      </c>
      <c r="N638">
        <v>0.39</v>
      </c>
      <c r="O638">
        <v>-252</v>
      </c>
      <c r="P638">
        <v>19</v>
      </c>
      <c r="Q638" t="s">
        <v>58</v>
      </c>
      <c r="R638" t="s">
        <v>59</v>
      </c>
    </row>
    <row r="639" spans="1:18">
      <c r="A639">
        <v>10638</v>
      </c>
      <c r="B639" s="2">
        <v>44834</v>
      </c>
      <c r="C639" s="2">
        <v>44836</v>
      </c>
      <c r="D639" s="2">
        <v>44840</v>
      </c>
      <c r="E639" t="s">
        <v>20</v>
      </c>
      <c r="F639" t="s">
        <v>22</v>
      </c>
      <c r="G639" t="s">
        <v>26</v>
      </c>
      <c r="H639" t="s">
        <v>29</v>
      </c>
      <c r="I639" t="s">
        <v>34</v>
      </c>
      <c r="J639" t="s">
        <v>37</v>
      </c>
      <c r="K639" t="s">
        <v>49</v>
      </c>
      <c r="L639" t="s">
        <v>53</v>
      </c>
      <c r="M639">
        <v>9351</v>
      </c>
      <c r="N639">
        <v>0.04</v>
      </c>
      <c r="O639">
        <v>17447</v>
      </c>
      <c r="P639">
        <v>8</v>
      </c>
      <c r="Q639" t="s">
        <v>54</v>
      </c>
      <c r="R639" t="s">
        <v>62</v>
      </c>
    </row>
    <row r="640" spans="1:18">
      <c r="A640">
        <v>10639</v>
      </c>
      <c r="B640" s="2">
        <v>44835</v>
      </c>
      <c r="C640" s="2">
        <v>44837</v>
      </c>
      <c r="D640" s="2">
        <v>44841</v>
      </c>
      <c r="E640" t="s">
        <v>21</v>
      </c>
      <c r="F640" t="s">
        <v>22</v>
      </c>
      <c r="G640" t="s">
        <v>26</v>
      </c>
      <c r="H640" t="s">
        <v>33</v>
      </c>
      <c r="I640" t="s">
        <v>36</v>
      </c>
      <c r="J640" t="s">
        <v>42</v>
      </c>
      <c r="K640" t="s">
        <v>49</v>
      </c>
      <c r="L640" t="s">
        <v>51</v>
      </c>
      <c r="M640">
        <v>19421</v>
      </c>
      <c r="N640">
        <v>0.03</v>
      </c>
      <c r="O640">
        <v>4095</v>
      </c>
      <c r="P640">
        <v>24</v>
      </c>
      <c r="Q640" t="s">
        <v>54</v>
      </c>
      <c r="R640" t="s">
        <v>59</v>
      </c>
    </row>
    <row r="641" spans="1:18">
      <c r="A641">
        <v>10640</v>
      </c>
      <c r="B641" s="2">
        <v>44836</v>
      </c>
      <c r="C641" s="2">
        <v>44838</v>
      </c>
      <c r="D641" s="2">
        <v>44842</v>
      </c>
      <c r="E641" t="s">
        <v>21</v>
      </c>
      <c r="F641" t="s">
        <v>22</v>
      </c>
      <c r="G641" t="s">
        <v>28</v>
      </c>
      <c r="H641" t="s">
        <v>32</v>
      </c>
      <c r="I641" t="s">
        <v>34</v>
      </c>
      <c r="J641" t="s">
        <v>37</v>
      </c>
      <c r="K641" t="s">
        <v>44</v>
      </c>
      <c r="L641" t="s">
        <v>51</v>
      </c>
      <c r="M641">
        <v>1204</v>
      </c>
      <c r="N641">
        <v>0.27</v>
      </c>
      <c r="O641">
        <v>5098</v>
      </c>
      <c r="P641">
        <v>22</v>
      </c>
      <c r="Q641" t="s">
        <v>55</v>
      </c>
      <c r="R641" t="s">
        <v>59</v>
      </c>
    </row>
    <row r="642" spans="1:18">
      <c r="A642">
        <v>10641</v>
      </c>
      <c r="B642" s="2">
        <v>44837</v>
      </c>
      <c r="C642" s="2">
        <v>44839</v>
      </c>
      <c r="D642" s="2">
        <v>44843</v>
      </c>
      <c r="E642" t="s">
        <v>21</v>
      </c>
      <c r="F642" t="s">
        <v>22</v>
      </c>
      <c r="G642" t="s">
        <v>23</v>
      </c>
      <c r="H642" t="s">
        <v>31</v>
      </c>
      <c r="I642" t="s">
        <v>34</v>
      </c>
      <c r="J642" t="s">
        <v>42</v>
      </c>
      <c r="K642" t="s">
        <v>45</v>
      </c>
      <c r="L642" t="s">
        <v>51</v>
      </c>
      <c r="M642">
        <v>45281</v>
      </c>
      <c r="N642">
        <v>0.24</v>
      </c>
      <c r="O642">
        <v>2689</v>
      </c>
      <c r="P642">
        <v>3</v>
      </c>
      <c r="Q642" t="s">
        <v>55</v>
      </c>
      <c r="R642" t="s">
        <v>59</v>
      </c>
    </row>
    <row r="643" spans="1:18">
      <c r="A643">
        <v>10642</v>
      </c>
      <c r="B643" s="2">
        <v>44838</v>
      </c>
      <c r="C643" s="2">
        <v>44840</v>
      </c>
      <c r="D643" s="2">
        <v>44844</v>
      </c>
      <c r="E643" t="s">
        <v>19</v>
      </c>
      <c r="F643" t="s">
        <v>22</v>
      </c>
      <c r="G643" t="s">
        <v>23</v>
      </c>
      <c r="H643" t="s">
        <v>32</v>
      </c>
      <c r="I643" t="s">
        <v>36</v>
      </c>
      <c r="J643" t="s">
        <v>41</v>
      </c>
      <c r="K643" t="s">
        <v>46</v>
      </c>
      <c r="L643" t="s">
        <v>51</v>
      </c>
      <c r="M643">
        <v>57196</v>
      </c>
      <c r="N643">
        <v>0.1</v>
      </c>
      <c r="O643">
        <v>-1154</v>
      </c>
      <c r="P643">
        <v>10</v>
      </c>
      <c r="Q643" t="s">
        <v>58</v>
      </c>
      <c r="R643" t="s">
        <v>62</v>
      </c>
    </row>
    <row r="644" spans="1:18">
      <c r="A644">
        <v>10643</v>
      </c>
      <c r="B644" s="2">
        <v>44839</v>
      </c>
      <c r="C644" s="2">
        <v>44841</v>
      </c>
      <c r="D644" s="2">
        <v>44845</v>
      </c>
      <c r="E644" t="s">
        <v>21</v>
      </c>
      <c r="F644" t="s">
        <v>22</v>
      </c>
      <c r="G644" t="s">
        <v>24</v>
      </c>
      <c r="H644" t="s">
        <v>33</v>
      </c>
      <c r="I644" t="s">
        <v>35</v>
      </c>
      <c r="J644" t="s">
        <v>40</v>
      </c>
      <c r="K644" t="s">
        <v>44</v>
      </c>
      <c r="L644" t="s">
        <v>51</v>
      </c>
      <c r="M644">
        <v>36141</v>
      </c>
      <c r="N644">
        <v>0.37</v>
      </c>
      <c r="O644">
        <v>13230</v>
      </c>
      <c r="P644">
        <v>11</v>
      </c>
      <c r="Q644" t="s">
        <v>57</v>
      </c>
      <c r="R644" t="s">
        <v>61</v>
      </c>
    </row>
    <row r="645" spans="1:18">
      <c r="A645">
        <v>10644</v>
      </c>
      <c r="B645" s="2">
        <v>44840</v>
      </c>
      <c r="C645" s="2">
        <v>44842</v>
      </c>
      <c r="D645" s="2">
        <v>44846</v>
      </c>
      <c r="E645" t="s">
        <v>21</v>
      </c>
      <c r="F645" t="s">
        <v>22</v>
      </c>
      <c r="G645" t="s">
        <v>27</v>
      </c>
      <c r="H645" t="s">
        <v>31</v>
      </c>
      <c r="I645" t="s">
        <v>34</v>
      </c>
      <c r="J645" t="s">
        <v>38</v>
      </c>
      <c r="K645" t="s">
        <v>49</v>
      </c>
      <c r="L645" t="s">
        <v>53</v>
      </c>
      <c r="M645">
        <v>42119</v>
      </c>
      <c r="N645">
        <v>0.09</v>
      </c>
      <c r="O645">
        <v>8137</v>
      </c>
      <c r="P645">
        <v>19</v>
      </c>
      <c r="Q645" t="s">
        <v>58</v>
      </c>
      <c r="R645" t="s">
        <v>61</v>
      </c>
    </row>
    <row r="646" spans="1:18">
      <c r="A646">
        <v>10645</v>
      </c>
      <c r="B646" s="2">
        <v>44841</v>
      </c>
      <c r="C646" s="2">
        <v>44843</v>
      </c>
      <c r="D646" s="2">
        <v>44847</v>
      </c>
      <c r="E646" t="s">
        <v>20</v>
      </c>
      <c r="F646" t="s">
        <v>22</v>
      </c>
      <c r="G646" t="s">
        <v>26</v>
      </c>
      <c r="H646" t="s">
        <v>30</v>
      </c>
      <c r="I646" t="s">
        <v>36</v>
      </c>
      <c r="J646" t="s">
        <v>43</v>
      </c>
      <c r="K646" t="s">
        <v>45</v>
      </c>
      <c r="L646" t="s">
        <v>51</v>
      </c>
      <c r="M646">
        <v>64702</v>
      </c>
      <c r="N646">
        <v>0.28000000000000003</v>
      </c>
      <c r="O646">
        <v>10866</v>
      </c>
      <c r="P646">
        <v>18</v>
      </c>
      <c r="Q646" t="s">
        <v>56</v>
      </c>
      <c r="R646" t="s">
        <v>60</v>
      </c>
    </row>
    <row r="647" spans="1:18">
      <c r="A647">
        <v>10646</v>
      </c>
      <c r="B647" s="2">
        <v>44842</v>
      </c>
      <c r="C647" s="2">
        <v>44844</v>
      </c>
      <c r="D647" s="2">
        <v>44848</v>
      </c>
      <c r="E647" t="s">
        <v>19</v>
      </c>
      <c r="F647" t="s">
        <v>22</v>
      </c>
      <c r="G647" t="s">
        <v>25</v>
      </c>
      <c r="H647" t="s">
        <v>29</v>
      </c>
      <c r="I647" t="s">
        <v>35</v>
      </c>
      <c r="J647" t="s">
        <v>39</v>
      </c>
      <c r="K647" t="s">
        <v>50</v>
      </c>
      <c r="L647" t="s">
        <v>51</v>
      </c>
      <c r="M647">
        <v>21165</v>
      </c>
      <c r="N647">
        <v>0.24</v>
      </c>
      <c r="O647">
        <v>13170</v>
      </c>
      <c r="P647">
        <v>6</v>
      </c>
      <c r="Q647" t="s">
        <v>56</v>
      </c>
      <c r="R647" t="s">
        <v>62</v>
      </c>
    </row>
    <row r="648" spans="1:18">
      <c r="A648">
        <v>10647</v>
      </c>
      <c r="B648" s="2">
        <v>44843</v>
      </c>
      <c r="C648" s="2">
        <v>44845</v>
      </c>
      <c r="D648" s="2">
        <v>44849</v>
      </c>
      <c r="E648" t="s">
        <v>18</v>
      </c>
      <c r="F648" t="s">
        <v>22</v>
      </c>
      <c r="G648" t="s">
        <v>24</v>
      </c>
      <c r="H648" t="s">
        <v>30</v>
      </c>
      <c r="I648" t="s">
        <v>36</v>
      </c>
      <c r="J648" t="s">
        <v>39</v>
      </c>
      <c r="K648" t="s">
        <v>44</v>
      </c>
      <c r="L648" t="s">
        <v>52</v>
      </c>
      <c r="M648">
        <v>61118</v>
      </c>
      <c r="N648">
        <v>0.03</v>
      </c>
      <c r="O648">
        <v>18260</v>
      </c>
      <c r="P648">
        <v>1</v>
      </c>
      <c r="Q648" t="s">
        <v>57</v>
      </c>
      <c r="R648" t="s">
        <v>62</v>
      </c>
    </row>
    <row r="649" spans="1:18">
      <c r="A649">
        <v>10648</v>
      </c>
      <c r="B649" s="2">
        <v>44844</v>
      </c>
      <c r="C649" s="2">
        <v>44846</v>
      </c>
      <c r="D649" s="2">
        <v>44850</v>
      </c>
      <c r="E649" t="s">
        <v>21</v>
      </c>
      <c r="F649" t="s">
        <v>22</v>
      </c>
      <c r="G649" t="s">
        <v>27</v>
      </c>
      <c r="H649" t="s">
        <v>30</v>
      </c>
      <c r="I649" t="s">
        <v>34</v>
      </c>
      <c r="J649" t="s">
        <v>40</v>
      </c>
      <c r="K649" t="s">
        <v>46</v>
      </c>
      <c r="L649" t="s">
        <v>53</v>
      </c>
      <c r="M649">
        <v>4045</v>
      </c>
      <c r="N649">
        <v>0.3</v>
      </c>
      <c r="O649">
        <v>13915</v>
      </c>
      <c r="P649">
        <v>21</v>
      </c>
      <c r="Q649" t="s">
        <v>57</v>
      </c>
      <c r="R649" t="s">
        <v>59</v>
      </c>
    </row>
    <row r="650" spans="1:18">
      <c r="A650">
        <v>10649</v>
      </c>
      <c r="B650" s="2">
        <v>44845</v>
      </c>
      <c r="C650" s="2">
        <v>44847</v>
      </c>
      <c r="D650" s="2">
        <v>44851</v>
      </c>
      <c r="E650" t="s">
        <v>19</v>
      </c>
      <c r="F650" t="s">
        <v>22</v>
      </c>
      <c r="G650" t="s">
        <v>27</v>
      </c>
      <c r="H650" t="s">
        <v>32</v>
      </c>
      <c r="I650" t="s">
        <v>34</v>
      </c>
      <c r="J650" t="s">
        <v>40</v>
      </c>
      <c r="K650" t="s">
        <v>49</v>
      </c>
      <c r="L650" t="s">
        <v>52</v>
      </c>
      <c r="M650">
        <v>41991</v>
      </c>
      <c r="N650">
        <v>0.28999999999999998</v>
      </c>
      <c r="O650">
        <v>9971</v>
      </c>
      <c r="P650">
        <v>4</v>
      </c>
      <c r="Q650" t="s">
        <v>58</v>
      </c>
      <c r="R650" t="s">
        <v>62</v>
      </c>
    </row>
    <row r="651" spans="1:18">
      <c r="A651">
        <v>10650</v>
      </c>
      <c r="B651" s="2">
        <v>44846</v>
      </c>
      <c r="C651" s="2">
        <v>44848</v>
      </c>
      <c r="D651" s="2">
        <v>44852</v>
      </c>
      <c r="E651" t="s">
        <v>20</v>
      </c>
      <c r="F651" t="s">
        <v>22</v>
      </c>
      <c r="G651" t="s">
        <v>27</v>
      </c>
      <c r="H651" t="s">
        <v>31</v>
      </c>
      <c r="I651" t="s">
        <v>36</v>
      </c>
      <c r="J651" t="s">
        <v>37</v>
      </c>
      <c r="K651" t="s">
        <v>49</v>
      </c>
      <c r="L651" t="s">
        <v>53</v>
      </c>
      <c r="M651">
        <v>25039</v>
      </c>
      <c r="N651">
        <v>0.09</v>
      </c>
      <c r="O651">
        <v>13052</v>
      </c>
      <c r="P651">
        <v>5</v>
      </c>
      <c r="Q651" t="s">
        <v>54</v>
      </c>
      <c r="R651" t="s">
        <v>61</v>
      </c>
    </row>
    <row r="652" spans="1:18">
      <c r="A652">
        <v>10651</v>
      </c>
      <c r="B652" s="2">
        <v>44847</v>
      </c>
      <c r="C652" s="2">
        <v>44849</v>
      </c>
      <c r="D652" s="2">
        <v>44853</v>
      </c>
      <c r="E652" t="s">
        <v>19</v>
      </c>
      <c r="F652" t="s">
        <v>22</v>
      </c>
      <c r="G652" t="s">
        <v>25</v>
      </c>
      <c r="H652" t="s">
        <v>33</v>
      </c>
      <c r="I652" t="s">
        <v>35</v>
      </c>
      <c r="J652" t="s">
        <v>42</v>
      </c>
      <c r="K652" t="s">
        <v>45</v>
      </c>
      <c r="L652" t="s">
        <v>53</v>
      </c>
      <c r="M652">
        <v>50362</v>
      </c>
      <c r="N652">
        <v>0.08</v>
      </c>
      <c r="O652">
        <v>3553</v>
      </c>
      <c r="P652">
        <v>8</v>
      </c>
      <c r="Q652" t="s">
        <v>54</v>
      </c>
      <c r="R652" t="s">
        <v>59</v>
      </c>
    </row>
    <row r="653" spans="1:18">
      <c r="A653">
        <v>10652</v>
      </c>
      <c r="B653" s="2">
        <v>44848</v>
      </c>
      <c r="C653" s="2">
        <v>44850</v>
      </c>
      <c r="D653" s="2">
        <v>44854</v>
      </c>
      <c r="E653" t="s">
        <v>21</v>
      </c>
      <c r="F653" t="s">
        <v>22</v>
      </c>
      <c r="G653" t="s">
        <v>27</v>
      </c>
      <c r="H653" t="s">
        <v>25</v>
      </c>
      <c r="I653" t="s">
        <v>34</v>
      </c>
      <c r="J653" t="s">
        <v>37</v>
      </c>
      <c r="K653" t="s">
        <v>49</v>
      </c>
      <c r="L653" t="s">
        <v>52</v>
      </c>
      <c r="M653">
        <v>59453</v>
      </c>
      <c r="N653">
        <v>0.2</v>
      </c>
      <c r="O653">
        <v>13288</v>
      </c>
      <c r="P653">
        <v>23</v>
      </c>
      <c r="Q653" t="s">
        <v>56</v>
      </c>
      <c r="R653" t="s">
        <v>61</v>
      </c>
    </row>
    <row r="654" spans="1:18">
      <c r="A654">
        <v>10653</v>
      </c>
      <c r="B654" s="2">
        <v>44849</v>
      </c>
      <c r="C654" s="2">
        <v>44851</v>
      </c>
      <c r="D654" s="2">
        <v>44855</v>
      </c>
      <c r="E654" t="s">
        <v>21</v>
      </c>
      <c r="F654" t="s">
        <v>22</v>
      </c>
      <c r="G654" t="s">
        <v>24</v>
      </c>
      <c r="H654" t="s">
        <v>30</v>
      </c>
      <c r="I654" t="s">
        <v>34</v>
      </c>
      <c r="J654" t="s">
        <v>39</v>
      </c>
      <c r="K654" t="s">
        <v>50</v>
      </c>
      <c r="L654" t="s">
        <v>52</v>
      </c>
      <c r="M654">
        <v>57583</v>
      </c>
      <c r="N654">
        <v>0.13</v>
      </c>
      <c r="O654">
        <v>5375</v>
      </c>
      <c r="P654">
        <v>22</v>
      </c>
      <c r="Q654" t="s">
        <v>56</v>
      </c>
      <c r="R654" t="s">
        <v>62</v>
      </c>
    </row>
    <row r="655" spans="1:18">
      <c r="A655">
        <v>10654</v>
      </c>
      <c r="B655" s="2">
        <v>44850</v>
      </c>
      <c r="C655" s="2">
        <v>44852</v>
      </c>
      <c r="D655" s="2">
        <v>44856</v>
      </c>
      <c r="E655" t="s">
        <v>18</v>
      </c>
      <c r="F655" t="s">
        <v>22</v>
      </c>
      <c r="G655" t="s">
        <v>28</v>
      </c>
      <c r="H655" t="s">
        <v>29</v>
      </c>
      <c r="I655" t="s">
        <v>34</v>
      </c>
      <c r="J655" t="s">
        <v>38</v>
      </c>
      <c r="K655" t="s">
        <v>47</v>
      </c>
      <c r="L655" t="s">
        <v>53</v>
      </c>
      <c r="M655">
        <v>48130</v>
      </c>
      <c r="N655">
        <v>0.26</v>
      </c>
      <c r="O655">
        <v>9164</v>
      </c>
      <c r="P655">
        <v>8</v>
      </c>
      <c r="Q655" t="s">
        <v>56</v>
      </c>
      <c r="R655" t="s">
        <v>59</v>
      </c>
    </row>
    <row r="656" spans="1:18">
      <c r="A656">
        <v>10655</v>
      </c>
      <c r="B656" s="2">
        <v>44851</v>
      </c>
      <c r="C656" s="2">
        <v>44853</v>
      </c>
      <c r="D656" s="2">
        <v>44857</v>
      </c>
      <c r="E656" t="s">
        <v>19</v>
      </c>
      <c r="F656" t="s">
        <v>22</v>
      </c>
      <c r="G656" t="s">
        <v>25</v>
      </c>
      <c r="H656" t="s">
        <v>31</v>
      </c>
      <c r="I656" t="s">
        <v>34</v>
      </c>
      <c r="J656" t="s">
        <v>39</v>
      </c>
      <c r="K656" t="s">
        <v>48</v>
      </c>
      <c r="L656" t="s">
        <v>51</v>
      </c>
      <c r="M656">
        <v>44900</v>
      </c>
      <c r="N656">
        <v>0.01</v>
      </c>
      <c r="O656">
        <v>7949</v>
      </c>
      <c r="P656">
        <v>21</v>
      </c>
      <c r="Q656" t="s">
        <v>58</v>
      </c>
      <c r="R656" t="s">
        <v>60</v>
      </c>
    </row>
    <row r="657" spans="1:18">
      <c r="A657">
        <v>10656</v>
      </c>
      <c r="B657" s="2">
        <v>44852</v>
      </c>
      <c r="C657" s="2">
        <v>44854</v>
      </c>
      <c r="D657" s="2">
        <v>44858</v>
      </c>
      <c r="E657" t="s">
        <v>18</v>
      </c>
      <c r="F657" t="s">
        <v>22</v>
      </c>
      <c r="G657" t="s">
        <v>26</v>
      </c>
      <c r="H657" t="s">
        <v>30</v>
      </c>
      <c r="I657" t="s">
        <v>34</v>
      </c>
      <c r="J657" t="s">
        <v>42</v>
      </c>
      <c r="K657" t="s">
        <v>46</v>
      </c>
      <c r="L657" t="s">
        <v>53</v>
      </c>
      <c r="M657">
        <v>59243</v>
      </c>
      <c r="N657">
        <v>0.03</v>
      </c>
      <c r="O657">
        <v>-619</v>
      </c>
      <c r="P657">
        <v>10</v>
      </c>
      <c r="Q657" t="s">
        <v>58</v>
      </c>
      <c r="R657" t="s">
        <v>59</v>
      </c>
    </row>
    <row r="658" spans="1:18">
      <c r="A658">
        <v>10657</v>
      </c>
      <c r="B658" s="2">
        <v>44853</v>
      </c>
      <c r="C658" s="2">
        <v>44855</v>
      </c>
      <c r="D658" s="2">
        <v>44859</v>
      </c>
      <c r="E658" t="s">
        <v>21</v>
      </c>
      <c r="F658" t="s">
        <v>22</v>
      </c>
      <c r="G658" t="s">
        <v>25</v>
      </c>
      <c r="H658" t="s">
        <v>25</v>
      </c>
      <c r="I658" t="s">
        <v>35</v>
      </c>
      <c r="J658" t="s">
        <v>38</v>
      </c>
      <c r="K658" t="s">
        <v>49</v>
      </c>
      <c r="L658" t="s">
        <v>51</v>
      </c>
      <c r="M658">
        <v>53453</v>
      </c>
      <c r="N658">
        <v>0.03</v>
      </c>
      <c r="O658">
        <v>10630</v>
      </c>
      <c r="P658">
        <v>5</v>
      </c>
      <c r="Q658" t="s">
        <v>58</v>
      </c>
      <c r="R658" t="s">
        <v>60</v>
      </c>
    </row>
    <row r="659" spans="1:18">
      <c r="A659">
        <v>10658</v>
      </c>
      <c r="B659" s="2">
        <v>44854</v>
      </c>
      <c r="C659" s="2">
        <v>44856</v>
      </c>
      <c r="D659" s="2">
        <v>44860</v>
      </c>
      <c r="E659" t="s">
        <v>19</v>
      </c>
      <c r="F659" t="s">
        <v>22</v>
      </c>
      <c r="G659" t="s">
        <v>23</v>
      </c>
      <c r="H659" t="s">
        <v>29</v>
      </c>
      <c r="I659" t="s">
        <v>36</v>
      </c>
      <c r="J659" t="s">
        <v>41</v>
      </c>
      <c r="K659" t="s">
        <v>44</v>
      </c>
      <c r="L659" t="s">
        <v>52</v>
      </c>
      <c r="M659">
        <v>68651</v>
      </c>
      <c r="N659">
        <v>0.11</v>
      </c>
      <c r="O659">
        <v>1921</v>
      </c>
      <c r="P659">
        <v>22</v>
      </c>
      <c r="Q659" t="s">
        <v>56</v>
      </c>
      <c r="R659" t="s">
        <v>60</v>
      </c>
    </row>
    <row r="660" spans="1:18">
      <c r="A660">
        <v>10659</v>
      </c>
      <c r="B660" s="2">
        <v>44855</v>
      </c>
      <c r="C660" s="2">
        <v>44857</v>
      </c>
      <c r="D660" s="2">
        <v>44861</v>
      </c>
      <c r="E660" t="s">
        <v>19</v>
      </c>
      <c r="F660" t="s">
        <v>22</v>
      </c>
      <c r="G660" t="s">
        <v>23</v>
      </c>
      <c r="H660" t="s">
        <v>29</v>
      </c>
      <c r="I660" t="s">
        <v>35</v>
      </c>
      <c r="J660" t="s">
        <v>37</v>
      </c>
      <c r="K660" t="s">
        <v>50</v>
      </c>
      <c r="L660" t="s">
        <v>52</v>
      </c>
      <c r="M660">
        <v>8749</v>
      </c>
      <c r="N660">
        <v>0.23</v>
      </c>
      <c r="O660">
        <v>16031</v>
      </c>
      <c r="P660">
        <v>9</v>
      </c>
      <c r="Q660" t="s">
        <v>56</v>
      </c>
      <c r="R660" t="s">
        <v>60</v>
      </c>
    </row>
    <row r="661" spans="1:18">
      <c r="A661">
        <v>10660</v>
      </c>
      <c r="B661" s="2">
        <v>44856</v>
      </c>
      <c r="C661" s="2">
        <v>44858</v>
      </c>
      <c r="D661" s="2">
        <v>44862</v>
      </c>
      <c r="E661" t="s">
        <v>19</v>
      </c>
      <c r="F661" t="s">
        <v>22</v>
      </c>
      <c r="G661" t="s">
        <v>26</v>
      </c>
      <c r="H661" t="s">
        <v>25</v>
      </c>
      <c r="I661" t="s">
        <v>35</v>
      </c>
      <c r="J661" t="s">
        <v>42</v>
      </c>
      <c r="K661" t="s">
        <v>50</v>
      </c>
      <c r="L661" t="s">
        <v>52</v>
      </c>
      <c r="M661">
        <v>5823</v>
      </c>
      <c r="N661">
        <v>0.39</v>
      </c>
      <c r="O661">
        <v>19636</v>
      </c>
      <c r="P661">
        <v>11</v>
      </c>
      <c r="Q661" t="s">
        <v>58</v>
      </c>
      <c r="R661" t="s">
        <v>60</v>
      </c>
    </row>
    <row r="662" spans="1:18">
      <c r="A662">
        <v>10661</v>
      </c>
      <c r="B662" s="2">
        <v>44857</v>
      </c>
      <c r="C662" s="2">
        <v>44859</v>
      </c>
      <c r="D662" s="2">
        <v>44863</v>
      </c>
      <c r="E662" t="s">
        <v>18</v>
      </c>
      <c r="F662" t="s">
        <v>22</v>
      </c>
      <c r="G662" t="s">
        <v>26</v>
      </c>
      <c r="H662" t="s">
        <v>31</v>
      </c>
      <c r="I662" t="s">
        <v>35</v>
      </c>
      <c r="J662" t="s">
        <v>39</v>
      </c>
      <c r="K662" t="s">
        <v>46</v>
      </c>
      <c r="L662" t="s">
        <v>53</v>
      </c>
      <c r="M662">
        <v>68692</v>
      </c>
      <c r="N662">
        <v>0.05</v>
      </c>
      <c r="O662">
        <v>11706</v>
      </c>
      <c r="P662">
        <v>11</v>
      </c>
      <c r="Q662" t="s">
        <v>56</v>
      </c>
      <c r="R662" t="s">
        <v>59</v>
      </c>
    </row>
    <row r="663" spans="1:18">
      <c r="A663">
        <v>10662</v>
      </c>
      <c r="B663" s="2">
        <v>44858</v>
      </c>
      <c r="C663" s="2">
        <v>44860</v>
      </c>
      <c r="D663" s="2">
        <v>44864</v>
      </c>
      <c r="E663" t="s">
        <v>19</v>
      </c>
      <c r="F663" t="s">
        <v>22</v>
      </c>
      <c r="G663" t="s">
        <v>23</v>
      </c>
      <c r="H663" t="s">
        <v>30</v>
      </c>
      <c r="I663" t="s">
        <v>35</v>
      </c>
      <c r="J663" t="s">
        <v>42</v>
      </c>
      <c r="K663" t="s">
        <v>45</v>
      </c>
      <c r="L663" t="s">
        <v>52</v>
      </c>
      <c r="M663">
        <v>71876</v>
      </c>
      <c r="N663">
        <v>0.31</v>
      </c>
      <c r="O663">
        <v>12573</v>
      </c>
      <c r="P663">
        <v>4</v>
      </c>
      <c r="Q663" t="s">
        <v>56</v>
      </c>
      <c r="R663" t="s">
        <v>61</v>
      </c>
    </row>
    <row r="664" spans="1:18">
      <c r="A664">
        <v>10663</v>
      </c>
      <c r="B664" s="2">
        <v>44859</v>
      </c>
      <c r="C664" s="2">
        <v>44861</v>
      </c>
      <c r="D664" s="2">
        <v>44865</v>
      </c>
      <c r="E664" t="s">
        <v>19</v>
      </c>
      <c r="F664" t="s">
        <v>22</v>
      </c>
      <c r="G664" t="s">
        <v>27</v>
      </c>
      <c r="H664" t="s">
        <v>25</v>
      </c>
      <c r="I664" t="s">
        <v>35</v>
      </c>
      <c r="J664" t="s">
        <v>42</v>
      </c>
      <c r="K664" t="s">
        <v>48</v>
      </c>
      <c r="L664" t="s">
        <v>52</v>
      </c>
      <c r="M664">
        <v>38971</v>
      </c>
      <c r="N664">
        <v>0.05</v>
      </c>
      <c r="O664">
        <v>-1110</v>
      </c>
      <c r="P664">
        <v>18</v>
      </c>
      <c r="Q664" t="s">
        <v>57</v>
      </c>
      <c r="R664" t="s">
        <v>60</v>
      </c>
    </row>
    <row r="665" spans="1:18">
      <c r="A665">
        <v>10664</v>
      </c>
      <c r="B665" s="2">
        <v>44860</v>
      </c>
      <c r="C665" s="2">
        <v>44862</v>
      </c>
      <c r="D665" s="2">
        <v>44866</v>
      </c>
      <c r="E665" t="s">
        <v>21</v>
      </c>
      <c r="F665" t="s">
        <v>22</v>
      </c>
      <c r="G665" t="s">
        <v>25</v>
      </c>
      <c r="H665" t="s">
        <v>29</v>
      </c>
      <c r="I665" t="s">
        <v>35</v>
      </c>
      <c r="J665" t="s">
        <v>42</v>
      </c>
      <c r="K665" t="s">
        <v>44</v>
      </c>
      <c r="L665" t="s">
        <v>51</v>
      </c>
      <c r="M665">
        <v>56858</v>
      </c>
      <c r="N665">
        <v>0.32</v>
      </c>
      <c r="O665">
        <v>-1446</v>
      </c>
      <c r="P665">
        <v>15</v>
      </c>
      <c r="Q665" t="s">
        <v>56</v>
      </c>
      <c r="R665" t="s">
        <v>59</v>
      </c>
    </row>
    <row r="666" spans="1:18">
      <c r="A666">
        <v>10665</v>
      </c>
      <c r="B666" s="2">
        <v>44861</v>
      </c>
      <c r="C666" s="2">
        <v>44863</v>
      </c>
      <c r="D666" s="2">
        <v>44867</v>
      </c>
      <c r="E666" t="s">
        <v>20</v>
      </c>
      <c r="F666" t="s">
        <v>22</v>
      </c>
      <c r="G666" t="s">
        <v>25</v>
      </c>
      <c r="H666" t="s">
        <v>33</v>
      </c>
      <c r="I666" t="s">
        <v>34</v>
      </c>
      <c r="J666" t="s">
        <v>41</v>
      </c>
      <c r="K666" t="s">
        <v>45</v>
      </c>
      <c r="L666" t="s">
        <v>53</v>
      </c>
      <c r="M666">
        <v>52441</v>
      </c>
      <c r="N666">
        <v>7.0000000000000007E-2</v>
      </c>
      <c r="O666">
        <v>14375</v>
      </c>
      <c r="P666">
        <v>23</v>
      </c>
      <c r="Q666" t="s">
        <v>57</v>
      </c>
      <c r="R666" t="s">
        <v>59</v>
      </c>
    </row>
    <row r="667" spans="1:18">
      <c r="A667">
        <v>10666</v>
      </c>
      <c r="B667" s="2">
        <v>44862</v>
      </c>
      <c r="C667" s="2">
        <v>44864</v>
      </c>
      <c r="D667" s="2">
        <v>44868</v>
      </c>
      <c r="E667" t="s">
        <v>18</v>
      </c>
      <c r="F667" t="s">
        <v>22</v>
      </c>
      <c r="G667" t="s">
        <v>28</v>
      </c>
      <c r="H667" t="s">
        <v>32</v>
      </c>
      <c r="I667" t="s">
        <v>34</v>
      </c>
      <c r="J667" t="s">
        <v>39</v>
      </c>
      <c r="K667" t="s">
        <v>49</v>
      </c>
      <c r="L667" t="s">
        <v>52</v>
      </c>
      <c r="M667">
        <v>42403</v>
      </c>
      <c r="N667">
        <v>0.04</v>
      </c>
      <c r="O667">
        <v>6974</v>
      </c>
      <c r="P667">
        <v>16</v>
      </c>
      <c r="Q667" t="s">
        <v>55</v>
      </c>
      <c r="R667" t="s">
        <v>61</v>
      </c>
    </row>
    <row r="668" spans="1:18">
      <c r="A668">
        <v>10667</v>
      </c>
      <c r="B668" s="2">
        <v>44863</v>
      </c>
      <c r="C668" s="2">
        <v>44865</v>
      </c>
      <c r="D668" s="2">
        <v>44869</v>
      </c>
      <c r="E668" t="s">
        <v>18</v>
      </c>
      <c r="F668" t="s">
        <v>22</v>
      </c>
      <c r="G668" t="s">
        <v>27</v>
      </c>
      <c r="H668" t="s">
        <v>25</v>
      </c>
      <c r="I668" t="s">
        <v>34</v>
      </c>
      <c r="J668" t="s">
        <v>39</v>
      </c>
      <c r="K668" t="s">
        <v>44</v>
      </c>
      <c r="L668" t="s">
        <v>52</v>
      </c>
      <c r="M668">
        <v>43218</v>
      </c>
      <c r="N668">
        <v>0.03</v>
      </c>
      <c r="O668">
        <v>-1986</v>
      </c>
      <c r="P668">
        <v>1</v>
      </c>
      <c r="Q668" t="s">
        <v>58</v>
      </c>
      <c r="R668" t="s">
        <v>62</v>
      </c>
    </row>
    <row r="669" spans="1:18">
      <c r="A669">
        <v>10668</v>
      </c>
      <c r="B669" s="2">
        <v>44864</v>
      </c>
      <c r="C669" s="2">
        <v>44866</v>
      </c>
      <c r="D669" s="2">
        <v>44870</v>
      </c>
      <c r="E669" t="s">
        <v>19</v>
      </c>
      <c r="F669" t="s">
        <v>22</v>
      </c>
      <c r="G669" t="s">
        <v>23</v>
      </c>
      <c r="H669" t="s">
        <v>25</v>
      </c>
      <c r="I669" t="s">
        <v>35</v>
      </c>
      <c r="J669" t="s">
        <v>43</v>
      </c>
      <c r="K669" t="s">
        <v>48</v>
      </c>
      <c r="L669" t="s">
        <v>53</v>
      </c>
      <c r="M669">
        <v>37168</v>
      </c>
      <c r="N669">
        <v>0.23</v>
      </c>
      <c r="O669">
        <v>5917</v>
      </c>
      <c r="P669">
        <v>17</v>
      </c>
      <c r="Q669" t="s">
        <v>54</v>
      </c>
      <c r="R669" t="s">
        <v>61</v>
      </c>
    </row>
    <row r="670" spans="1:18">
      <c r="A670">
        <v>10669</v>
      </c>
      <c r="B670" s="2">
        <v>44865</v>
      </c>
      <c r="C670" s="2">
        <v>44867</v>
      </c>
      <c r="D670" s="2">
        <v>44871</v>
      </c>
      <c r="E670" t="s">
        <v>19</v>
      </c>
      <c r="F670" t="s">
        <v>22</v>
      </c>
      <c r="G670" t="s">
        <v>27</v>
      </c>
      <c r="H670" t="s">
        <v>31</v>
      </c>
      <c r="I670" t="s">
        <v>36</v>
      </c>
      <c r="J670" t="s">
        <v>40</v>
      </c>
      <c r="K670" t="s">
        <v>49</v>
      </c>
      <c r="L670" t="s">
        <v>53</v>
      </c>
      <c r="M670">
        <v>20147</v>
      </c>
      <c r="N670">
        <v>0.16</v>
      </c>
      <c r="O670">
        <v>14256</v>
      </c>
      <c r="P670">
        <v>12</v>
      </c>
      <c r="Q670" t="s">
        <v>54</v>
      </c>
      <c r="R670" t="s">
        <v>62</v>
      </c>
    </row>
    <row r="671" spans="1:18">
      <c r="A671">
        <v>10670</v>
      </c>
      <c r="B671" s="2">
        <v>44866</v>
      </c>
      <c r="C671" s="2">
        <v>44868</v>
      </c>
      <c r="D671" s="2">
        <v>44872</v>
      </c>
      <c r="E671" t="s">
        <v>18</v>
      </c>
      <c r="F671" t="s">
        <v>22</v>
      </c>
      <c r="G671" t="s">
        <v>24</v>
      </c>
      <c r="H671" t="s">
        <v>32</v>
      </c>
      <c r="I671" t="s">
        <v>36</v>
      </c>
      <c r="J671" t="s">
        <v>37</v>
      </c>
      <c r="K671" t="s">
        <v>50</v>
      </c>
      <c r="L671" t="s">
        <v>52</v>
      </c>
      <c r="M671">
        <v>55662</v>
      </c>
      <c r="N671">
        <v>0.09</v>
      </c>
      <c r="O671">
        <v>-929</v>
      </c>
      <c r="P671">
        <v>15</v>
      </c>
      <c r="Q671" t="s">
        <v>58</v>
      </c>
      <c r="R671" t="s">
        <v>59</v>
      </c>
    </row>
    <row r="672" spans="1:18">
      <c r="A672">
        <v>10671</v>
      </c>
      <c r="B672" s="2">
        <v>44867</v>
      </c>
      <c r="C672" s="2">
        <v>44869</v>
      </c>
      <c r="D672" s="2">
        <v>44873</v>
      </c>
      <c r="E672" t="s">
        <v>18</v>
      </c>
      <c r="F672" t="s">
        <v>22</v>
      </c>
      <c r="G672" t="s">
        <v>27</v>
      </c>
      <c r="H672" t="s">
        <v>25</v>
      </c>
      <c r="I672" t="s">
        <v>35</v>
      </c>
      <c r="J672" t="s">
        <v>37</v>
      </c>
      <c r="K672" t="s">
        <v>49</v>
      </c>
      <c r="L672" t="s">
        <v>53</v>
      </c>
      <c r="M672">
        <v>24061</v>
      </c>
      <c r="N672">
        <v>0.32</v>
      </c>
      <c r="O672">
        <v>3844</v>
      </c>
      <c r="P672">
        <v>9</v>
      </c>
      <c r="Q672" t="s">
        <v>58</v>
      </c>
      <c r="R672" t="s">
        <v>61</v>
      </c>
    </row>
    <row r="673" spans="1:18">
      <c r="A673">
        <v>10672</v>
      </c>
      <c r="B673" s="2">
        <v>44868</v>
      </c>
      <c r="C673" s="2">
        <v>44870</v>
      </c>
      <c r="D673" s="2">
        <v>44874</v>
      </c>
      <c r="E673" t="s">
        <v>21</v>
      </c>
      <c r="F673" t="s">
        <v>22</v>
      </c>
      <c r="G673" t="s">
        <v>28</v>
      </c>
      <c r="H673" t="s">
        <v>25</v>
      </c>
      <c r="I673" t="s">
        <v>34</v>
      </c>
      <c r="J673" t="s">
        <v>42</v>
      </c>
      <c r="K673" t="s">
        <v>45</v>
      </c>
      <c r="L673" t="s">
        <v>53</v>
      </c>
      <c r="M673">
        <v>19639</v>
      </c>
      <c r="N673">
        <v>0.16</v>
      </c>
      <c r="O673">
        <v>17309</v>
      </c>
      <c r="P673">
        <v>5</v>
      </c>
      <c r="Q673" t="s">
        <v>54</v>
      </c>
      <c r="R673" t="s">
        <v>59</v>
      </c>
    </row>
    <row r="674" spans="1:18">
      <c r="A674">
        <v>10673</v>
      </c>
      <c r="B674" s="2">
        <v>44869</v>
      </c>
      <c r="C674" s="2">
        <v>44871</v>
      </c>
      <c r="D674" s="2">
        <v>44875</v>
      </c>
      <c r="E674" t="s">
        <v>20</v>
      </c>
      <c r="F674" t="s">
        <v>22</v>
      </c>
      <c r="G674" t="s">
        <v>26</v>
      </c>
      <c r="H674" t="s">
        <v>30</v>
      </c>
      <c r="I674" t="s">
        <v>34</v>
      </c>
      <c r="J674" t="s">
        <v>41</v>
      </c>
      <c r="K674" t="s">
        <v>48</v>
      </c>
      <c r="L674" t="s">
        <v>53</v>
      </c>
      <c r="M674">
        <v>25766</v>
      </c>
      <c r="N674">
        <v>0.14000000000000001</v>
      </c>
      <c r="O674">
        <v>6751</v>
      </c>
      <c r="P674">
        <v>12</v>
      </c>
      <c r="Q674" t="s">
        <v>55</v>
      </c>
      <c r="R674" t="s">
        <v>61</v>
      </c>
    </row>
    <row r="675" spans="1:18">
      <c r="A675">
        <v>10674</v>
      </c>
      <c r="B675" s="2">
        <v>44870</v>
      </c>
      <c r="C675" s="2">
        <v>44872</v>
      </c>
      <c r="D675" s="2">
        <v>44876</v>
      </c>
      <c r="E675" t="s">
        <v>19</v>
      </c>
      <c r="F675" t="s">
        <v>22</v>
      </c>
      <c r="G675" t="s">
        <v>28</v>
      </c>
      <c r="H675" t="s">
        <v>30</v>
      </c>
      <c r="I675" t="s">
        <v>36</v>
      </c>
      <c r="J675" t="s">
        <v>40</v>
      </c>
      <c r="K675" t="s">
        <v>46</v>
      </c>
      <c r="L675" t="s">
        <v>52</v>
      </c>
      <c r="M675">
        <v>57694</v>
      </c>
      <c r="N675">
        <v>0.23</v>
      </c>
      <c r="O675">
        <v>12247</v>
      </c>
      <c r="P675">
        <v>7</v>
      </c>
      <c r="Q675" t="s">
        <v>58</v>
      </c>
      <c r="R675" t="s">
        <v>59</v>
      </c>
    </row>
    <row r="676" spans="1:18">
      <c r="A676">
        <v>10675</v>
      </c>
      <c r="B676" s="2">
        <v>44871</v>
      </c>
      <c r="C676" s="2">
        <v>44873</v>
      </c>
      <c r="D676" s="2">
        <v>44877</v>
      </c>
      <c r="E676" t="s">
        <v>20</v>
      </c>
      <c r="F676" t="s">
        <v>22</v>
      </c>
      <c r="G676" t="s">
        <v>26</v>
      </c>
      <c r="H676" t="s">
        <v>29</v>
      </c>
      <c r="I676" t="s">
        <v>34</v>
      </c>
      <c r="J676" t="s">
        <v>40</v>
      </c>
      <c r="K676" t="s">
        <v>46</v>
      </c>
      <c r="L676" t="s">
        <v>53</v>
      </c>
      <c r="M676">
        <v>26999</v>
      </c>
      <c r="N676">
        <v>0.35</v>
      </c>
      <c r="O676">
        <v>18602</v>
      </c>
      <c r="P676">
        <v>3</v>
      </c>
      <c r="Q676" t="s">
        <v>54</v>
      </c>
      <c r="R676" t="s">
        <v>62</v>
      </c>
    </row>
    <row r="677" spans="1:18">
      <c r="A677">
        <v>10676</v>
      </c>
      <c r="B677" s="2">
        <v>44872</v>
      </c>
      <c r="C677" s="2">
        <v>44874</v>
      </c>
      <c r="D677" s="2">
        <v>44878</v>
      </c>
      <c r="E677" t="s">
        <v>20</v>
      </c>
      <c r="F677" t="s">
        <v>22</v>
      </c>
      <c r="G677" t="s">
        <v>26</v>
      </c>
      <c r="H677" t="s">
        <v>32</v>
      </c>
      <c r="I677" t="s">
        <v>35</v>
      </c>
      <c r="J677" t="s">
        <v>37</v>
      </c>
      <c r="K677" t="s">
        <v>46</v>
      </c>
      <c r="L677" t="s">
        <v>53</v>
      </c>
      <c r="M677">
        <v>43860</v>
      </c>
      <c r="N677">
        <v>0.08</v>
      </c>
      <c r="O677">
        <v>-396</v>
      </c>
      <c r="P677">
        <v>8</v>
      </c>
      <c r="Q677" t="s">
        <v>55</v>
      </c>
      <c r="R677" t="s">
        <v>61</v>
      </c>
    </row>
    <row r="678" spans="1:18">
      <c r="A678">
        <v>10677</v>
      </c>
      <c r="B678" s="2">
        <v>44873</v>
      </c>
      <c r="C678" s="2">
        <v>44875</v>
      </c>
      <c r="D678" s="2">
        <v>44879</v>
      </c>
      <c r="E678" t="s">
        <v>20</v>
      </c>
      <c r="F678" t="s">
        <v>22</v>
      </c>
      <c r="G678" t="s">
        <v>23</v>
      </c>
      <c r="H678" t="s">
        <v>31</v>
      </c>
      <c r="I678" t="s">
        <v>35</v>
      </c>
      <c r="J678" t="s">
        <v>38</v>
      </c>
      <c r="K678" t="s">
        <v>47</v>
      </c>
      <c r="L678" t="s">
        <v>51</v>
      </c>
      <c r="M678">
        <v>15651</v>
      </c>
      <c r="N678">
        <v>0.28000000000000003</v>
      </c>
      <c r="O678">
        <v>16866</v>
      </c>
      <c r="P678">
        <v>3</v>
      </c>
      <c r="Q678" t="s">
        <v>57</v>
      </c>
      <c r="R678" t="s">
        <v>59</v>
      </c>
    </row>
    <row r="679" spans="1:18">
      <c r="A679">
        <v>10678</v>
      </c>
      <c r="B679" s="2">
        <v>44874</v>
      </c>
      <c r="C679" s="2">
        <v>44876</v>
      </c>
      <c r="D679" s="2">
        <v>44880</v>
      </c>
      <c r="E679" t="s">
        <v>19</v>
      </c>
      <c r="F679" t="s">
        <v>22</v>
      </c>
      <c r="G679" t="s">
        <v>24</v>
      </c>
      <c r="H679" t="s">
        <v>32</v>
      </c>
      <c r="I679" t="s">
        <v>36</v>
      </c>
      <c r="J679" t="s">
        <v>42</v>
      </c>
      <c r="K679" t="s">
        <v>45</v>
      </c>
      <c r="L679" t="s">
        <v>53</v>
      </c>
      <c r="M679">
        <v>14662</v>
      </c>
      <c r="N679">
        <v>0.2</v>
      </c>
      <c r="O679">
        <v>15871</v>
      </c>
      <c r="P679">
        <v>18</v>
      </c>
      <c r="Q679" t="s">
        <v>55</v>
      </c>
      <c r="R679" t="s">
        <v>62</v>
      </c>
    </row>
    <row r="680" spans="1:18">
      <c r="A680">
        <v>10679</v>
      </c>
      <c r="B680" s="2">
        <v>44875</v>
      </c>
      <c r="C680" s="2">
        <v>44877</v>
      </c>
      <c r="D680" s="2">
        <v>44881</v>
      </c>
      <c r="E680" t="s">
        <v>20</v>
      </c>
      <c r="F680" t="s">
        <v>22</v>
      </c>
      <c r="G680" t="s">
        <v>26</v>
      </c>
      <c r="H680" t="s">
        <v>30</v>
      </c>
      <c r="I680" t="s">
        <v>35</v>
      </c>
      <c r="J680" t="s">
        <v>39</v>
      </c>
      <c r="K680" t="s">
        <v>46</v>
      </c>
      <c r="L680" t="s">
        <v>53</v>
      </c>
      <c r="M680">
        <v>24667</v>
      </c>
      <c r="N680">
        <v>0.18</v>
      </c>
      <c r="O680">
        <v>7992</v>
      </c>
      <c r="P680">
        <v>4</v>
      </c>
      <c r="Q680" t="s">
        <v>55</v>
      </c>
      <c r="R680" t="s">
        <v>61</v>
      </c>
    </row>
    <row r="681" spans="1:18">
      <c r="A681">
        <v>10680</v>
      </c>
      <c r="B681" s="2">
        <v>44876</v>
      </c>
      <c r="C681" s="2">
        <v>44878</v>
      </c>
      <c r="D681" s="2">
        <v>44882</v>
      </c>
      <c r="E681" t="s">
        <v>20</v>
      </c>
      <c r="F681" t="s">
        <v>22</v>
      </c>
      <c r="G681" t="s">
        <v>25</v>
      </c>
      <c r="H681" t="s">
        <v>25</v>
      </c>
      <c r="I681" t="s">
        <v>35</v>
      </c>
      <c r="J681" t="s">
        <v>41</v>
      </c>
      <c r="K681" t="s">
        <v>48</v>
      </c>
      <c r="L681" t="s">
        <v>52</v>
      </c>
      <c r="M681">
        <v>36215</v>
      </c>
      <c r="N681">
        <v>0.35</v>
      </c>
      <c r="O681">
        <v>7908</v>
      </c>
      <c r="P681">
        <v>19</v>
      </c>
      <c r="Q681" t="s">
        <v>58</v>
      </c>
      <c r="R681" t="s">
        <v>61</v>
      </c>
    </row>
    <row r="682" spans="1:18">
      <c r="A682">
        <v>10681</v>
      </c>
      <c r="B682" s="2">
        <v>44877</v>
      </c>
      <c r="C682" s="2">
        <v>44879</v>
      </c>
      <c r="D682" s="2">
        <v>44883</v>
      </c>
      <c r="E682" t="s">
        <v>21</v>
      </c>
      <c r="F682" t="s">
        <v>22</v>
      </c>
      <c r="G682" t="s">
        <v>24</v>
      </c>
      <c r="H682" t="s">
        <v>32</v>
      </c>
      <c r="I682" t="s">
        <v>34</v>
      </c>
      <c r="J682" t="s">
        <v>43</v>
      </c>
      <c r="K682" t="s">
        <v>50</v>
      </c>
      <c r="L682" t="s">
        <v>52</v>
      </c>
      <c r="M682">
        <v>6249</v>
      </c>
      <c r="N682">
        <v>0.21</v>
      </c>
      <c r="O682">
        <v>5749</v>
      </c>
      <c r="P682">
        <v>8</v>
      </c>
      <c r="Q682" t="s">
        <v>57</v>
      </c>
      <c r="R682" t="s">
        <v>62</v>
      </c>
    </row>
    <row r="683" spans="1:18">
      <c r="A683">
        <v>10682</v>
      </c>
      <c r="B683" s="2">
        <v>44878</v>
      </c>
      <c r="C683" s="2">
        <v>44880</v>
      </c>
      <c r="D683" s="2">
        <v>44884</v>
      </c>
      <c r="E683" t="s">
        <v>21</v>
      </c>
      <c r="F683" t="s">
        <v>22</v>
      </c>
      <c r="G683" t="s">
        <v>27</v>
      </c>
      <c r="H683" t="s">
        <v>29</v>
      </c>
      <c r="I683" t="s">
        <v>34</v>
      </c>
      <c r="J683" t="s">
        <v>39</v>
      </c>
      <c r="K683" t="s">
        <v>48</v>
      </c>
      <c r="L683" t="s">
        <v>52</v>
      </c>
      <c r="M683">
        <v>35167</v>
      </c>
      <c r="N683">
        <v>0.1</v>
      </c>
      <c r="O683">
        <v>1403</v>
      </c>
      <c r="P683">
        <v>16</v>
      </c>
      <c r="Q683" t="s">
        <v>56</v>
      </c>
      <c r="R683" t="s">
        <v>61</v>
      </c>
    </row>
    <row r="684" spans="1:18">
      <c r="A684">
        <v>10683</v>
      </c>
      <c r="B684" s="2">
        <v>44879</v>
      </c>
      <c r="C684" s="2">
        <v>44881</v>
      </c>
      <c r="D684" s="2">
        <v>44885</v>
      </c>
      <c r="E684" t="s">
        <v>20</v>
      </c>
      <c r="F684" t="s">
        <v>22</v>
      </c>
      <c r="G684" t="s">
        <v>24</v>
      </c>
      <c r="H684" t="s">
        <v>31</v>
      </c>
      <c r="I684" t="s">
        <v>34</v>
      </c>
      <c r="J684" t="s">
        <v>37</v>
      </c>
      <c r="K684" t="s">
        <v>47</v>
      </c>
      <c r="L684" t="s">
        <v>53</v>
      </c>
      <c r="M684">
        <v>71967</v>
      </c>
      <c r="N684">
        <v>0.01</v>
      </c>
      <c r="O684">
        <v>9820</v>
      </c>
      <c r="P684">
        <v>18</v>
      </c>
      <c r="Q684" t="s">
        <v>54</v>
      </c>
      <c r="R684" t="s">
        <v>59</v>
      </c>
    </row>
    <row r="685" spans="1:18">
      <c r="A685">
        <v>10684</v>
      </c>
      <c r="B685" s="2">
        <v>44880</v>
      </c>
      <c r="C685" s="2">
        <v>44882</v>
      </c>
      <c r="D685" s="2">
        <v>44886</v>
      </c>
      <c r="E685" t="s">
        <v>21</v>
      </c>
      <c r="F685" t="s">
        <v>22</v>
      </c>
      <c r="G685" t="s">
        <v>25</v>
      </c>
      <c r="H685" t="s">
        <v>33</v>
      </c>
      <c r="I685" t="s">
        <v>34</v>
      </c>
      <c r="J685" t="s">
        <v>40</v>
      </c>
      <c r="K685" t="s">
        <v>46</v>
      </c>
      <c r="L685" t="s">
        <v>51</v>
      </c>
      <c r="M685">
        <v>10939</v>
      </c>
      <c r="N685">
        <v>0.27</v>
      </c>
      <c r="O685">
        <v>6352</v>
      </c>
      <c r="P685">
        <v>3</v>
      </c>
      <c r="Q685" t="s">
        <v>56</v>
      </c>
      <c r="R685" t="s">
        <v>60</v>
      </c>
    </row>
    <row r="686" spans="1:18">
      <c r="A686">
        <v>10685</v>
      </c>
      <c r="B686" s="2">
        <v>44881</v>
      </c>
      <c r="C686" s="2">
        <v>44883</v>
      </c>
      <c r="D686" s="2">
        <v>44887</v>
      </c>
      <c r="E686" t="s">
        <v>18</v>
      </c>
      <c r="F686" t="s">
        <v>22</v>
      </c>
      <c r="G686" t="s">
        <v>26</v>
      </c>
      <c r="H686" t="s">
        <v>25</v>
      </c>
      <c r="I686" t="s">
        <v>36</v>
      </c>
      <c r="J686" t="s">
        <v>39</v>
      </c>
      <c r="K686" t="s">
        <v>47</v>
      </c>
      <c r="L686" t="s">
        <v>52</v>
      </c>
      <c r="M686">
        <v>49616</v>
      </c>
      <c r="N686">
        <v>0.11</v>
      </c>
      <c r="O686">
        <v>6387</v>
      </c>
      <c r="P686">
        <v>14</v>
      </c>
      <c r="Q686" t="s">
        <v>57</v>
      </c>
      <c r="R686" t="s">
        <v>61</v>
      </c>
    </row>
    <row r="687" spans="1:18">
      <c r="A687">
        <v>10686</v>
      </c>
      <c r="B687" s="2">
        <v>44882</v>
      </c>
      <c r="C687" s="2">
        <v>44884</v>
      </c>
      <c r="D687" s="2">
        <v>44888</v>
      </c>
      <c r="E687" t="s">
        <v>19</v>
      </c>
      <c r="F687" t="s">
        <v>22</v>
      </c>
      <c r="G687" t="s">
        <v>28</v>
      </c>
      <c r="H687" t="s">
        <v>30</v>
      </c>
      <c r="I687" t="s">
        <v>36</v>
      </c>
      <c r="J687" t="s">
        <v>38</v>
      </c>
      <c r="K687" t="s">
        <v>45</v>
      </c>
      <c r="L687" t="s">
        <v>52</v>
      </c>
      <c r="M687">
        <v>38523</v>
      </c>
      <c r="N687">
        <v>0.23</v>
      </c>
      <c r="O687">
        <v>8070</v>
      </c>
      <c r="P687">
        <v>3</v>
      </c>
      <c r="Q687" t="s">
        <v>57</v>
      </c>
      <c r="R687" t="s">
        <v>59</v>
      </c>
    </row>
    <row r="688" spans="1:18">
      <c r="A688">
        <v>10687</v>
      </c>
      <c r="B688" s="2">
        <v>44883</v>
      </c>
      <c r="C688" s="2">
        <v>44885</v>
      </c>
      <c r="D688" s="2">
        <v>44889</v>
      </c>
      <c r="E688" t="s">
        <v>20</v>
      </c>
      <c r="F688" t="s">
        <v>22</v>
      </c>
      <c r="G688" t="s">
        <v>28</v>
      </c>
      <c r="H688" t="s">
        <v>32</v>
      </c>
      <c r="I688" t="s">
        <v>34</v>
      </c>
      <c r="J688" t="s">
        <v>37</v>
      </c>
      <c r="K688" t="s">
        <v>48</v>
      </c>
      <c r="L688" t="s">
        <v>51</v>
      </c>
      <c r="M688">
        <v>7458</v>
      </c>
      <c r="N688">
        <v>0.15</v>
      </c>
      <c r="O688">
        <v>14314</v>
      </c>
      <c r="P688">
        <v>11</v>
      </c>
      <c r="Q688" t="s">
        <v>55</v>
      </c>
      <c r="R688" t="s">
        <v>62</v>
      </c>
    </row>
    <row r="689" spans="1:18">
      <c r="A689">
        <v>10688</v>
      </c>
      <c r="B689" s="2">
        <v>44884</v>
      </c>
      <c r="C689" s="2">
        <v>44886</v>
      </c>
      <c r="D689" s="2">
        <v>44890</v>
      </c>
      <c r="E689" t="s">
        <v>20</v>
      </c>
      <c r="F689" t="s">
        <v>22</v>
      </c>
      <c r="G689" t="s">
        <v>28</v>
      </c>
      <c r="H689" t="s">
        <v>31</v>
      </c>
      <c r="I689" t="s">
        <v>36</v>
      </c>
      <c r="J689" t="s">
        <v>37</v>
      </c>
      <c r="K689" t="s">
        <v>46</v>
      </c>
      <c r="L689" t="s">
        <v>51</v>
      </c>
      <c r="M689">
        <v>73087</v>
      </c>
      <c r="N689">
        <v>0.1</v>
      </c>
      <c r="O689">
        <v>3326</v>
      </c>
      <c r="P689">
        <v>17</v>
      </c>
      <c r="Q689" t="s">
        <v>57</v>
      </c>
      <c r="R689" t="s">
        <v>61</v>
      </c>
    </row>
    <row r="690" spans="1:18">
      <c r="A690">
        <v>10689</v>
      </c>
      <c r="B690" s="2">
        <v>44885</v>
      </c>
      <c r="C690" s="2">
        <v>44887</v>
      </c>
      <c r="D690" s="2">
        <v>44891</v>
      </c>
      <c r="E690" t="s">
        <v>21</v>
      </c>
      <c r="F690" t="s">
        <v>22</v>
      </c>
      <c r="G690" t="s">
        <v>27</v>
      </c>
      <c r="H690" t="s">
        <v>32</v>
      </c>
      <c r="I690" t="s">
        <v>35</v>
      </c>
      <c r="J690" t="s">
        <v>40</v>
      </c>
      <c r="K690" t="s">
        <v>46</v>
      </c>
      <c r="L690" t="s">
        <v>53</v>
      </c>
      <c r="M690">
        <v>20849</v>
      </c>
      <c r="N690">
        <v>0.05</v>
      </c>
      <c r="O690">
        <v>5170</v>
      </c>
      <c r="P690">
        <v>19</v>
      </c>
      <c r="Q690" t="s">
        <v>58</v>
      </c>
      <c r="R690" t="s">
        <v>60</v>
      </c>
    </row>
    <row r="691" spans="1:18">
      <c r="A691">
        <v>10690</v>
      </c>
      <c r="B691" s="2">
        <v>44886</v>
      </c>
      <c r="C691" s="2">
        <v>44888</v>
      </c>
      <c r="D691" s="2">
        <v>44892</v>
      </c>
      <c r="E691" t="s">
        <v>19</v>
      </c>
      <c r="F691" t="s">
        <v>22</v>
      </c>
      <c r="G691" t="s">
        <v>26</v>
      </c>
      <c r="H691" t="s">
        <v>29</v>
      </c>
      <c r="I691" t="s">
        <v>36</v>
      </c>
      <c r="J691" t="s">
        <v>38</v>
      </c>
      <c r="K691" t="s">
        <v>48</v>
      </c>
      <c r="L691" t="s">
        <v>51</v>
      </c>
      <c r="M691">
        <v>46161</v>
      </c>
      <c r="N691">
        <v>0.16</v>
      </c>
      <c r="O691">
        <v>2823</v>
      </c>
      <c r="P691">
        <v>1</v>
      </c>
      <c r="Q691" t="s">
        <v>54</v>
      </c>
      <c r="R691" t="s">
        <v>62</v>
      </c>
    </row>
    <row r="692" spans="1:18">
      <c r="A692">
        <v>10691</v>
      </c>
      <c r="B692" s="2">
        <v>44887</v>
      </c>
      <c r="C692" s="2">
        <v>44889</v>
      </c>
      <c r="D692" s="2">
        <v>44893</v>
      </c>
      <c r="E692" t="s">
        <v>20</v>
      </c>
      <c r="F692" t="s">
        <v>22</v>
      </c>
      <c r="G692" t="s">
        <v>23</v>
      </c>
      <c r="H692" t="s">
        <v>33</v>
      </c>
      <c r="I692" t="s">
        <v>35</v>
      </c>
      <c r="J692" t="s">
        <v>43</v>
      </c>
      <c r="K692" t="s">
        <v>45</v>
      </c>
      <c r="L692" t="s">
        <v>52</v>
      </c>
      <c r="M692">
        <v>69639</v>
      </c>
      <c r="N692">
        <v>0.26</v>
      </c>
      <c r="O692">
        <v>6352</v>
      </c>
      <c r="P692">
        <v>11</v>
      </c>
      <c r="Q692" t="s">
        <v>56</v>
      </c>
      <c r="R692" t="s">
        <v>60</v>
      </c>
    </row>
    <row r="693" spans="1:18">
      <c r="A693">
        <v>10692</v>
      </c>
      <c r="B693" s="2">
        <v>44888</v>
      </c>
      <c r="C693" s="2">
        <v>44890</v>
      </c>
      <c r="D693" s="2">
        <v>44894</v>
      </c>
      <c r="E693" t="s">
        <v>21</v>
      </c>
      <c r="F693" t="s">
        <v>22</v>
      </c>
      <c r="G693" t="s">
        <v>23</v>
      </c>
      <c r="H693" t="s">
        <v>33</v>
      </c>
      <c r="I693" t="s">
        <v>35</v>
      </c>
      <c r="J693" t="s">
        <v>39</v>
      </c>
      <c r="K693" t="s">
        <v>50</v>
      </c>
      <c r="L693" t="s">
        <v>53</v>
      </c>
      <c r="M693">
        <v>40112</v>
      </c>
      <c r="N693">
        <v>0.4</v>
      </c>
      <c r="O693">
        <v>4851</v>
      </c>
      <c r="P693">
        <v>12</v>
      </c>
      <c r="Q693" t="s">
        <v>58</v>
      </c>
      <c r="R693" t="s">
        <v>59</v>
      </c>
    </row>
    <row r="694" spans="1:18">
      <c r="A694">
        <v>10693</v>
      </c>
      <c r="B694" s="2">
        <v>44889</v>
      </c>
      <c r="C694" s="2">
        <v>44891</v>
      </c>
      <c r="D694" s="2">
        <v>44895</v>
      </c>
      <c r="E694" t="s">
        <v>19</v>
      </c>
      <c r="F694" t="s">
        <v>22</v>
      </c>
      <c r="G694" t="s">
        <v>28</v>
      </c>
      <c r="H694" t="s">
        <v>30</v>
      </c>
      <c r="I694" t="s">
        <v>34</v>
      </c>
      <c r="J694" t="s">
        <v>43</v>
      </c>
      <c r="K694" t="s">
        <v>50</v>
      </c>
      <c r="L694" t="s">
        <v>51</v>
      </c>
      <c r="M694">
        <v>8534</v>
      </c>
      <c r="N694">
        <v>0.2</v>
      </c>
      <c r="O694">
        <v>5802</v>
      </c>
      <c r="P694">
        <v>20</v>
      </c>
      <c r="Q694" t="s">
        <v>58</v>
      </c>
      <c r="R694" t="s">
        <v>60</v>
      </c>
    </row>
    <row r="695" spans="1:18">
      <c r="A695">
        <v>10694</v>
      </c>
      <c r="B695" s="2">
        <v>44890</v>
      </c>
      <c r="C695" s="2">
        <v>44892</v>
      </c>
      <c r="D695" s="2">
        <v>44896</v>
      </c>
      <c r="E695" t="s">
        <v>18</v>
      </c>
      <c r="F695" t="s">
        <v>22</v>
      </c>
      <c r="G695" t="s">
        <v>25</v>
      </c>
      <c r="H695" t="s">
        <v>32</v>
      </c>
      <c r="I695" t="s">
        <v>36</v>
      </c>
      <c r="J695" t="s">
        <v>43</v>
      </c>
      <c r="K695" t="s">
        <v>50</v>
      </c>
      <c r="L695" t="s">
        <v>53</v>
      </c>
      <c r="M695">
        <v>57109</v>
      </c>
      <c r="N695">
        <v>0.36</v>
      </c>
      <c r="O695">
        <v>6044</v>
      </c>
      <c r="P695">
        <v>13</v>
      </c>
      <c r="Q695" t="s">
        <v>56</v>
      </c>
      <c r="R695" t="s">
        <v>61</v>
      </c>
    </row>
    <row r="696" spans="1:18">
      <c r="A696">
        <v>10695</v>
      </c>
      <c r="B696" s="2">
        <v>44891</v>
      </c>
      <c r="C696" s="2">
        <v>44893</v>
      </c>
      <c r="D696" s="2">
        <v>44897</v>
      </c>
      <c r="E696" t="s">
        <v>21</v>
      </c>
      <c r="F696" t="s">
        <v>22</v>
      </c>
      <c r="G696" t="s">
        <v>28</v>
      </c>
      <c r="H696" t="s">
        <v>33</v>
      </c>
      <c r="I696" t="s">
        <v>36</v>
      </c>
      <c r="J696" t="s">
        <v>39</v>
      </c>
      <c r="K696" t="s">
        <v>49</v>
      </c>
      <c r="L696" t="s">
        <v>52</v>
      </c>
      <c r="M696">
        <v>61887</v>
      </c>
      <c r="N696">
        <v>0.15</v>
      </c>
      <c r="O696">
        <v>19471</v>
      </c>
      <c r="P696">
        <v>22</v>
      </c>
      <c r="Q696" t="s">
        <v>57</v>
      </c>
      <c r="R696" t="s">
        <v>61</v>
      </c>
    </row>
    <row r="697" spans="1:18">
      <c r="A697">
        <v>10696</v>
      </c>
      <c r="B697" s="2">
        <v>44892</v>
      </c>
      <c r="C697" s="2">
        <v>44894</v>
      </c>
      <c r="D697" s="2">
        <v>44898</v>
      </c>
      <c r="E697" t="s">
        <v>21</v>
      </c>
      <c r="F697" t="s">
        <v>22</v>
      </c>
      <c r="G697" t="s">
        <v>25</v>
      </c>
      <c r="H697" t="s">
        <v>29</v>
      </c>
      <c r="I697" t="s">
        <v>34</v>
      </c>
      <c r="J697" t="s">
        <v>43</v>
      </c>
      <c r="K697" t="s">
        <v>48</v>
      </c>
      <c r="L697" t="s">
        <v>52</v>
      </c>
      <c r="M697">
        <v>46159</v>
      </c>
      <c r="N697">
        <v>0.3</v>
      </c>
      <c r="O697">
        <v>-213</v>
      </c>
      <c r="P697">
        <v>7</v>
      </c>
      <c r="Q697" t="s">
        <v>56</v>
      </c>
      <c r="R697" t="s">
        <v>62</v>
      </c>
    </row>
    <row r="698" spans="1:18">
      <c r="A698">
        <v>10697</v>
      </c>
      <c r="B698" s="2">
        <v>44893</v>
      </c>
      <c r="C698" s="2">
        <v>44895</v>
      </c>
      <c r="D698" s="2">
        <v>44899</v>
      </c>
      <c r="E698" t="s">
        <v>21</v>
      </c>
      <c r="F698" t="s">
        <v>22</v>
      </c>
      <c r="G698" t="s">
        <v>27</v>
      </c>
      <c r="H698" t="s">
        <v>31</v>
      </c>
      <c r="I698" t="s">
        <v>36</v>
      </c>
      <c r="J698" t="s">
        <v>38</v>
      </c>
      <c r="K698" t="s">
        <v>47</v>
      </c>
      <c r="L698" t="s">
        <v>53</v>
      </c>
      <c r="M698">
        <v>40725</v>
      </c>
      <c r="N698">
        <v>0.13</v>
      </c>
      <c r="O698">
        <v>10524</v>
      </c>
      <c r="P698">
        <v>4</v>
      </c>
      <c r="Q698" t="s">
        <v>56</v>
      </c>
      <c r="R698" t="s">
        <v>59</v>
      </c>
    </row>
    <row r="699" spans="1:18">
      <c r="A699">
        <v>10698</v>
      </c>
      <c r="B699" s="2">
        <v>44894</v>
      </c>
      <c r="C699" s="2">
        <v>44896</v>
      </c>
      <c r="D699" s="2">
        <v>44900</v>
      </c>
      <c r="E699" t="s">
        <v>20</v>
      </c>
      <c r="F699" t="s">
        <v>22</v>
      </c>
      <c r="G699" t="s">
        <v>23</v>
      </c>
      <c r="H699" t="s">
        <v>30</v>
      </c>
      <c r="I699" t="s">
        <v>35</v>
      </c>
      <c r="J699" t="s">
        <v>39</v>
      </c>
      <c r="K699" t="s">
        <v>48</v>
      </c>
      <c r="L699" t="s">
        <v>51</v>
      </c>
      <c r="M699">
        <v>62090</v>
      </c>
      <c r="N699">
        <v>0.16</v>
      </c>
      <c r="O699">
        <v>-1156</v>
      </c>
      <c r="P699">
        <v>23</v>
      </c>
      <c r="Q699" t="s">
        <v>57</v>
      </c>
      <c r="R699" t="s">
        <v>59</v>
      </c>
    </row>
    <row r="700" spans="1:18">
      <c r="A700">
        <v>10699</v>
      </c>
      <c r="B700" s="2">
        <v>44895</v>
      </c>
      <c r="C700" s="2">
        <v>44897</v>
      </c>
      <c r="D700" s="2">
        <v>44901</v>
      </c>
      <c r="E700" t="s">
        <v>18</v>
      </c>
      <c r="F700" t="s">
        <v>22</v>
      </c>
      <c r="G700" t="s">
        <v>24</v>
      </c>
      <c r="H700" t="s">
        <v>31</v>
      </c>
      <c r="I700" t="s">
        <v>35</v>
      </c>
      <c r="J700" t="s">
        <v>37</v>
      </c>
      <c r="K700" t="s">
        <v>50</v>
      </c>
      <c r="L700" t="s">
        <v>51</v>
      </c>
      <c r="M700">
        <v>72224</v>
      </c>
      <c r="N700">
        <v>0.25</v>
      </c>
      <c r="O700">
        <v>18931</v>
      </c>
      <c r="P700">
        <v>4</v>
      </c>
      <c r="Q700" t="s">
        <v>56</v>
      </c>
      <c r="R700" t="s">
        <v>61</v>
      </c>
    </row>
    <row r="701" spans="1:18">
      <c r="A701">
        <v>10700</v>
      </c>
      <c r="B701" s="2">
        <v>44896</v>
      </c>
      <c r="C701" s="2">
        <v>44898</v>
      </c>
      <c r="D701" s="2">
        <v>44902</v>
      </c>
      <c r="E701" t="s">
        <v>20</v>
      </c>
      <c r="F701" t="s">
        <v>22</v>
      </c>
      <c r="G701" t="s">
        <v>27</v>
      </c>
      <c r="H701" t="s">
        <v>33</v>
      </c>
      <c r="I701" t="s">
        <v>34</v>
      </c>
      <c r="J701" t="s">
        <v>40</v>
      </c>
      <c r="K701" t="s">
        <v>48</v>
      </c>
      <c r="L701" t="s">
        <v>52</v>
      </c>
      <c r="M701">
        <v>74123</v>
      </c>
      <c r="N701">
        <v>0.25</v>
      </c>
      <c r="O701">
        <v>2506</v>
      </c>
      <c r="P701">
        <v>12</v>
      </c>
      <c r="Q701" t="s">
        <v>58</v>
      </c>
      <c r="R701" t="s">
        <v>60</v>
      </c>
    </row>
    <row r="702" spans="1:18">
      <c r="A702">
        <v>10701</v>
      </c>
      <c r="B702" s="2">
        <v>44897</v>
      </c>
      <c r="C702" s="2">
        <v>44899</v>
      </c>
      <c r="D702" s="2">
        <v>44903</v>
      </c>
      <c r="E702" t="s">
        <v>21</v>
      </c>
      <c r="F702" t="s">
        <v>22</v>
      </c>
      <c r="G702" t="s">
        <v>25</v>
      </c>
      <c r="H702" t="s">
        <v>33</v>
      </c>
      <c r="I702" t="s">
        <v>34</v>
      </c>
      <c r="J702" t="s">
        <v>40</v>
      </c>
      <c r="K702" t="s">
        <v>45</v>
      </c>
      <c r="L702" t="s">
        <v>53</v>
      </c>
      <c r="M702">
        <v>9026</v>
      </c>
      <c r="N702">
        <v>0.33</v>
      </c>
      <c r="O702">
        <v>499</v>
      </c>
      <c r="P702">
        <v>5</v>
      </c>
      <c r="Q702" t="s">
        <v>58</v>
      </c>
      <c r="R702" t="s">
        <v>61</v>
      </c>
    </row>
    <row r="703" spans="1:18">
      <c r="A703">
        <v>10702</v>
      </c>
      <c r="B703" s="2">
        <v>44898</v>
      </c>
      <c r="C703" s="2">
        <v>44900</v>
      </c>
      <c r="D703" s="2">
        <v>44904</v>
      </c>
      <c r="E703" t="s">
        <v>18</v>
      </c>
      <c r="F703" t="s">
        <v>22</v>
      </c>
      <c r="G703" t="s">
        <v>28</v>
      </c>
      <c r="H703" t="s">
        <v>29</v>
      </c>
      <c r="I703" t="s">
        <v>36</v>
      </c>
      <c r="J703" t="s">
        <v>42</v>
      </c>
      <c r="K703" t="s">
        <v>48</v>
      </c>
      <c r="L703" t="s">
        <v>52</v>
      </c>
      <c r="M703">
        <v>24170</v>
      </c>
      <c r="N703">
        <v>0.18</v>
      </c>
      <c r="O703">
        <v>14048</v>
      </c>
      <c r="P703">
        <v>8</v>
      </c>
      <c r="Q703" t="s">
        <v>56</v>
      </c>
      <c r="R703" t="s">
        <v>61</v>
      </c>
    </row>
    <row r="704" spans="1:18">
      <c r="A704">
        <v>10703</v>
      </c>
      <c r="B704" s="2">
        <v>44899</v>
      </c>
      <c r="C704" s="2">
        <v>44901</v>
      </c>
      <c r="D704" s="2">
        <v>44905</v>
      </c>
      <c r="E704" t="s">
        <v>19</v>
      </c>
      <c r="F704" t="s">
        <v>22</v>
      </c>
      <c r="G704" t="s">
        <v>24</v>
      </c>
      <c r="H704" t="s">
        <v>33</v>
      </c>
      <c r="I704" t="s">
        <v>35</v>
      </c>
      <c r="J704" t="s">
        <v>37</v>
      </c>
      <c r="K704" t="s">
        <v>45</v>
      </c>
      <c r="L704" t="s">
        <v>51</v>
      </c>
      <c r="M704">
        <v>58074</v>
      </c>
      <c r="N704">
        <v>0.06</v>
      </c>
      <c r="O704">
        <v>5194</v>
      </c>
      <c r="P704">
        <v>10</v>
      </c>
      <c r="Q704" t="s">
        <v>57</v>
      </c>
      <c r="R704" t="s">
        <v>59</v>
      </c>
    </row>
    <row r="705" spans="1:18">
      <c r="A705">
        <v>10704</v>
      </c>
      <c r="B705" s="2">
        <v>44900</v>
      </c>
      <c r="C705" s="2">
        <v>44902</v>
      </c>
      <c r="D705" s="2">
        <v>44906</v>
      </c>
      <c r="E705" t="s">
        <v>19</v>
      </c>
      <c r="F705" t="s">
        <v>22</v>
      </c>
      <c r="G705" t="s">
        <v>24</v>
      </c>
      <c r="H705" t="s">
        <v>30</v>
      </c>
      <c r="I705" t="s">
        <v>35</v>
      </c>
      <c r="J705" t="s">
        <v>38</v>
      </c>
      <c r="K705" t="s">
        <v>49</v>
      </c>
      <c r="L705" t="s">
        <v>52</v>
      </c>
      <c r="M705">
        <v>43626</v>
      </c>
      <c r="N705">
        <v>0.22</v>
      </c>
      <c r="O705">
        <v>3985</v>
      </c>
      <c r="P705">
        <v>15</v>
      </c>
      <c r="Q705" t="s">
        <v>54</v>
      </c>
      <c r="R705" t="s">
        <v>59</v>
      </c>
    </row>
    <row r="706" spans="1:18">
      <c r="A706">
        <v>10705</v>
      </c>
      <c r="B706" s="2">
        <v>44901</v>
      </c>
      <c r="C706" s="2">
        <v>44903</v>
      </c>
      <c r="D706" s="2">
        <v>44907</v>
      </c>
      <c r="E706" t="s">
        <v>19</v>
      </c>
      <c r="F706" t="s">
        <v>22</v>
      </c>
      <c r="G706" t="s">
        <v>26</v>
      </c>
      <c r="H706" t="s">
        <v>32</v>
      </c>
      <c r="I706" t="s">
        <v>34</v>
      </c>
      <c r="J706" t="s">
        <v>39</v>
      </c>
      <c r="K706" t="s">
        <v>45</v>
      </c>
      <c r="L706" t="s">
        <v>53</v>
      </c>
      <c r="M706">
        <v>73727</v>
      </c>
      <c r="N706">
        <v>0.13</v>
      </c>
      <c r="O706">
        <v>14951</v>
      </c>
      <c r="P706">
        <v>7</v>
      </c>
      <c r="Q706" t="s">
        <v>55</v>
      </c>
      <c r="R706" t="s">
        <v>61</v>
      </c>
    </row>
    <row r="707" spans="1:18">
      <c r="A707">
        <v>10706</v>
      </c>
      <c r="B707" s="2">
        <v>44902</v>
      </c>
      <c r="C707" s="2">
        <v>44904</v>
      </c>
      <c r="D707" s="2">
        <v>44908</v>
      </c>
      <c r="E707" t="s">
        <v>18</v>
      </c>
      <c r="F707" t="s">
        <v>22</v>
      </c>
      <c r="G707" t="s">
        <v>26</v>
      </c>
      <c r="H707" t="s">
        <v>30</v>
      </c>
      <c r="I707" t="s">
        <v>36</v>
      </c>
      <c r="J707" t="s">
        <v>39</v>
      </c>
      <c r="K707" t="s">
        <v>49</v>
      </c>
      <c r="L707" t="s">
        <v>51</v>
      </c>
      <c r="M707">
        <v>16307</v>
      </c>
      <c r="N707">
        <v>0.2</v>
      </c>
      <c r="O707">
        <v>5601</v>
      </c>
      <c r="P707">
        <v>15</v>
      </c>
      <c r="Q707" t="s">
        <v>54</v>
      </c>
      <c r="R707" t="s">
        <v>60</v>
      </c>
    </row>
    <row r="708" spans="1:18">
      <c r="A708">
        <v>10707</v>
      </c>
      <c r="B708" s="2">
        <v>44903</v>
      </c>
      <c r="C708" s="2">
        <v>44905</v>
      </c>
      <c r="D708" s="2">
        <v>44909</v>
      </c>
      <c r="E708" t="s">
        <v>19</v>
      </c>
      <c r="F708" t="s">
        <v>22</v>
      </c>
      <c r="G708" t="s">
        <v>23</v>
      </c>
      <c r="H708" t="s">
        <v>31</v>
      </c>
      <c r="I708" t="s">
        <v>34</v>
      </c>
      <c r="J708" t="s">
        <v>37</v>
      </c>
      <c r="K708" t="s">
        <v>47</v>
      </c>
      <c r="L708" t="s">
        <v>52</v>
      </c>
      <c r="M708">
        <v>66261</v>
      </c>
      <c r="N708">
        <v>0.19</v>
      </c>
      <c r="O708">
        <v>1866</v>
      </c>
      <c r="P708">
        <v>20</v>
      </c>
      <c r="Q708" t="s">
        <v>56</v>
      </c>
      <c r="R708" t="s">
        <v>61</v>
      </c>
    </row>
    <row r="709" spans="1:18">
      <c r="A709">
        <v>10708</v>
      </c>
      <c r="B709" s="2">
        <v>44904</v>
      </c>
      <c r="C709" s="2">
        <v>44906</v>
      </c>
      <c r="D709" s="2">
        <v>44910</v>
      </c>
      <c r="E709" t="s">
        <v>21</v>
      </c>
      <c r="F709" t="s">
        <v>22</v>
      </c>
      <c r="G709" t="s">
        <v>24</v>
      </c>
      <c r="H709" t="s">
        <v>33</v>
      </c>
      <c r="I709" t="s">
        <v>34</v>
      </c>
      <c r="J709" t="s">
        <v>37</v>
      </c>
      <c r="K709" t="s">
        <v>46</v>
      </c>
      <c r="L709" t="s">
        <v>52</v>
      </c>
      <c r="M709">
        <v>70842</v>
      </c>
      <c r="N709">
        <v>0.28000000000000003</v>
      </c>
      <c r="O709">
        <v>16543</v>
      </c>
      <c r="P709">
        <v>23</v>
      </c>
      <c r="Q709" t="s">
        <v>55</v>
      </c>
      <c r="R709" t="s">
        <v>61</v>
      </c>
    </row>
    <row r="710" spans="1:18">
      <c r="A710">
        <v>10709</v>
      </c>
      <c r="B710" s="2">
        <v>44905</v>
      </c>
      <c r="C710" s="2">
        <v>44907</v>
      </c>
      <c r="D710" s="2">
        <v>44911</v>
      </c>
      <c r="E710" t="s">
        <v>20</v>
      </c>
      <c r="F710" t="s">
        <v>22</v>
      </c>
      <c r="G710" t="s">
        <v>26</v>
      </c>
      <c r="H710" t="s">
        <v>31</v>
      </c>
      <c r="I710" t="s">
        <v>35</v>
      </c>
      <c r="J710" t="s">
        <v>40</v>
      </c>
      <c r="K710" t="s">
        <v>44</v>
      </c>
      <c r="L710" t="s">
        <v>51</v>
      </c>
      <c r="M710">
        <v>44227</v>
      </c>
      <c r="N710">
        <v>0.02</v>
      </c>
      <c r="O710">
        <v>16139</v>
      </c>
      <c r="P710">
        <v>16</v>
      </c>
      <c r="Q710" t="s">
        <v>58</v>
      </c>
      <c r="R710" t="s">
        <v>62</v>
      </c>
    </row>
    <row r="711" spans="1:18">
      <c r="A711">
        <v>10710</v>
      </c>
      <c r="B711" s="2">
        <v>44906</v>
      </c>
      <c r="C711" s="2">
        <v>44908</v>
      </c>
      <c r="D711" s="2">
        <v>44912</v>
      </c>
      <c r="E711" t="s">
        <v>21</v>
      </c>
      <c r="F711" t="s">
        <v>22</v>
      </c>
      <c r="G711" t="s">
        <v>27</v>
      </c>
      <c r="H711" t="s">
        <v>29</v>
      </c>
      <c r="I711" t="s">
        <v>36</v>
      </c>
      <c r="J711" t="s">
        <v>39</v>
      </c>
      <c r="K711" t="s">
        <v>44</v>
      </c>
      <c r="L711" t="s">
        <v>53</v>
      </c>
      <c r="M711">
        <v>72372</v>
      </c>
      <c r="N711">
        <v>0.16</v>
      </c>
      <c r="O711">
        <v>17170</v>
      </c>
      <c r="P711">
        <v>15</v>
      </c>
      <c r="Q711" t="s">
        <v>54</v>
      </c>
      <c r="R711" t="s">
        <v>62</v>
      </c>
    </row>
    <row r="712" spans="1:18">
      <c r="A712">
        <v>10711</v>
      </c>
      <c r="B712" s="2">
        <v>44907</v>
      </c>
      <c r="C712" s="2">
        <v>44909</v>
      </c>
      <c r="D712" s="2">
        <v>44913</v>
      </c>
      <c r="E712" t="s">
        <v>20</v>
      </c>
      <c r="F712" t="s">
        <v>22</v>
      </c>
      <c r="G712" t="s">
        <v>26</v>
      </c>
      <c r="H712" t="s">
        <v>32</v>
      </c>
      <c r="I712" t="s">
        <v>34</v>
      </c>
      <c r="J712" t="s">
        <v>42</v>
      </c>
      <c r="K712" t="s">
        <v>49</v>
      </c>
      <c r="L712" t="s">
        <v>51</v>
      </c>
      <c r="M712">
        <v>6475</v>
      </c>
      <c r="N712">
        <v>0.14000000000000001</v>
      </c>
      <c r="O712">
        <v>1309</v>
      </c>
      <c r="P712">
        <v>3</v>
      </c>
      <c r="Q712" t="s">
        <v>56</v>
      </c>
      <c r="R712" t="s">
        <v>61</v>
      </c>
    </row>
    <row r="713" spans="1:18">
      <c r="A713">
        <v>10712</v>
      </c>
      <c r="B713" s="2">
        <v>44908</v>
      </c>
      <c r="C713" s="2">
        <v>44910</v>
      </c>
      <c r="D713" s="2">
        <v>44914</v>
      </c>
      <c r="E713" t="s">
        <v>21</v>
      </c>
      <c r="F713" t="s">
        <v>22</v>
      </c>
      <c r="G713" t="s">
        <v>28</v>
      </c>
      <c r="H713" t="s">
        <v>33</v>
      </c>
      <c r="I713" t="s">
        <v>36</v>
      </c>
      <c r="J713" t="s">
        <v>38</v>
      </c>
      <c r="K713" t="s">
        <v>47</v>
      </c>
      <c r="L713" t="s">
        <v>53</v>
      </c>
      <c r="M713">
        <v>68769</v>
      </c>
      <c r="N713">
        <v>0.28999999999999998</v>
      </c>
      <c r="O713">
        <v>18384</v>
      </c>
      <c r="P713">
        <v>23</v>
      </c>
      <c r="Q713" t="s">
        <v>57</v>
      </c>
      <c r="R713" t="s">
        <v>59</v>
      </c>
    </row>
    <row r="714" spans="1:18">
      <c r="A714">
        <v>10713</v>
      </c>
      <c r="B714" s="2">
        <v>44909</v>
      </c>
      <c r="C714" s="2">
        <v>44911</v>
      </c>
      <c r="D714" s="2">
        <v>44915</v>
      </c>
      <c r="E714" t="s">
        <v>21</v>
      </c>
      <c r="F714" t="s">
        <v>22</v>
      </c>
      <c r="G714" t="s">
        <v>26</v>
      </c>
      <c r="H714" t="s">
        <v>31</v>
      </c>
      <c r="I714" t="s">
        <v>35</v>
      </c>
      <c r="J714" t="s">
        <v>37</v>
      </c>
      <c r="K714" t="s">
        <v>46</v>
      </c>
      <c r="L714" t="s">
        <v>51</v>
      </c>
      <c r="M714">
        <v>60568</v>
      </c>
      <c r="N714">
        <v>0.38</v>
      </c>
      <c r="O714">
        <v>13918</v>
      </c>
      <c r="P714">
        <v>17</v>
      </c>
      <c r="Q714" t="s">
        <v>55</v>
      </c>
      <c r="R714" t="s">
        <v>59</v>
      </c>
    </row>
    <row r="715" spans="1:18">
      <c r="A715">
        <v>10714</v>
      </c>
      <c r="B715" s="2">
        <v>44910</v>
      </c>
      <c r="C715" s="2">
        <v>44912</v>
      </c>
      <c r="D715" s="2">
        <v>44916</v>
      </c>
      <c r="E715" t="s">
        <v>21</v>
      </c>
      <c r="F715" t="s">
        <v>22</v>
      </c>
      <c r="G715" t="s">
        <v>23</v>
      </c>
      <c r="H715" t="s">
        <v>33</v>
      </c>
      <c r="I715" t="s">
        <v>36</v>
      </c>
      <c r="J715" t="s">
        <v>42</v>
      </c>
      <c r="K715" t="s">
        <v>50</v>
      </c>
      <c r="L715" t="s">
        <v>52</v>
      </c>
      <c r="M715">
        <v>6187</v>
      </c>
      <c r="N715">
        <v>0.25</v>
      </c>
      <c r="O715">
        <v>8449</v>
      </c>
      <c r="P715">
        <v>2</v>
      </c>
      <c r="Q715" t="s">
        <v>54</v>
      </c>
      <c r="R715" t="s">
        <v>59</v>
      </c>
    </row>
    <row r="716" spans="1:18">
      <c r="A716">
        <v>10715</v>
      </c>
      <c r="B716" s="2">
        <v>44911</v>
      </c>
      <c r="C716" s="2">
        <v>44913</v>
      </c>
      <c r="D716" s="2">
        <v>44917</v>
      </c>
      <c r="E716" t="s">
        <v>21</v>
      </c>
      <c r="F716" t="s">
        <v>22</v>
      </c>
      <c r="G716" t="s">
        <v>27</v>
      </c>
      <c r="H716" t="s">
        <v>30</v>
      </c>
      <c r="I716" t="s">
        <v>34</v>
      </c>
      <c r="J716" t="s">
        <v>39</v>
      </c>
      <c r="K716" t="s">
        <v>46</v>
      </c>
      <c r="L716" t="s">
        <v>52</v>
      </c>
      <c r="M716">
        <v>23704</v>
      </c>
      <c r="N716">
        <v>0.19</v>
      </c>
      <c r="O716">
        <v>15567</v>
      </c>
      <c r="P716">
        <v>21</v>
      </c>
      <c r="Q716" t="s">
        <v>55</v>
      </c>
      <c r="R716" t="s">
        <v>60</v>
      </c>
    </row>
    <row r="717" spans="1:18">
      <c r="A717">
        <v>10716</v>
      </c>
      <c r="B717" s="2">
        <v>44912</v>
      </c>
      <c r="C717" s="2">
        <v>44914</v>
      </c>
      <c r="D717" s="2">
        <v>44918</v>
      </c>
      <c r="E717" t="s">
        <v>18</v>
      </c>
      <c r="F717" t="s">
        <v>22</v>
      </c>
      <c r="G717" t="s">
        <v>28</v>
      </c>
      <c r="H717" t="s">
        <v>30</v>
      </c>
      <c r="I717" t="s">
        <v>35</v>
      </c>
      <c r="J717" t="s">
        <v>38</v>
      </c>
      <c r="K717" t="s">
        <v>44</v>
      </c>
      <c r="L717" t="s">
        <v>53</v>
      </c>
      <c r="M717">
        <v>7407</v>
      </c>
      <c r="N717">
        <v>0.31</v>
      </c>
      <c r="O717">
        <v>6355</v>
      </c>
      <c r="P717">
        <v>23</v>
      </c>
      <c r="Q717" t="s">
        <v>58</v>
      </c>
      <c r="R717" t="s">
        <v>62</v>
      </c>
    </row>
    <row r="718" spans="1:18">
      <c r="A718">
        <v>10717</v>
      </c>
      <c r="B718" s="2">
        <v>44913</v>
      </c>
      <c r="C718" s="2">
        <v>44915</v>
      </c>
      <c r="D718" s="2">
        <v>44919</v>
      </c>
      <c r="E718" t="s">
        <v>19</v>
      </c>
      <c r="F718" t="s">
        <v>22</v>
      </c>
      <c r="G718" t="s">
        <v>24</v>
      </c>
      <c r="H718" t="s">
        <v>33</v>
      </c>
      <c r="I718" t="s">
        <v>34</v>
      </c>
      <c r="J718" t="s">
        <v>39</v>
      </c>
      <c r="K718" t="s">
        <v>46</v>
      </c>
      <c r="L718" t="s">
        <v>53</v>
      </c>
      <c r="M718">
        <v>48057</v>
      </c>
      <c r="N718">
        <v>0.4</v>
      </c>
      <c r="O718">
        <v>3108</v>
      </c>
      <c r="P718">
        <v>3</v>
      </c>
      <c r="Q718" t="s">
        <v>55</v>
      </c>
      <c r="R718" t="s">
        <v>61</v>
      </c>
    </row>
    <row r="719" spans="1:18">
      <c r="A719">
        <v>10718</v>
      </c>
      <c r="B719" s="2">
        <v>44914</v>
      </c>
      <c r="C719" s="2">
        <v>44916</v>
      </c>
      <c r="D719" s="2">
        <v>44920</v>
      </c>
      <c r="E719" t="s">
        <v>20</v>
      </c>
      <c r="F719" t="s">
        <v>22</v>
      </c>
      <c r="G719" t="s">
        <v>26</v>
      </c>
      <c r="H719" t="s">
        <v>30</v>
      </c>
      <c r="I719" t="s">
        <v>34</v>
      </c>
      <c r="J719" t="s">
        <v>39</v>
      </c>
      <c r="K719" t="s">
        <v>47</v>
      </c>
      <c r="L719" t="s">
        <v>52</v>
      </c>
      <c r="M719">
        <v>25314</v>
      </c>
      <c r="N719">
        <v>0.39</v>
      </c>
      <c r="O719">
        <v>11439</v>
      </c>
      <c r="P719">
        <v>4</v>
      </c>
      <c r="Q719" t="s">
        <v>54</v>
      </c>
      <c r="R719" t="s">
        <v>61</v>
      </c>
    </row>
    <row r="720" spans="1:18">
      <c r="A720">
        <v>10719</v>
      </c>
      <c r="B720" s="2">
        <v>44915</v>
      </c>
      <c r="C720" s="2">
        <v>44917</v>
      </c>
      <c r="D720" s="2">
        <v>44921</v>
      </c>
      <c r="E720" t="s">
        <v>19</v>
      </c>
      <c r="F720" t="s">
        <v>22</v>
      </c>
      <c r="G720" t="s">
        <v>27</v>
      </c>
      <c r="H720" t="s">
        <v>25</v>
      </c>
      <c r="I720" t="s">
        <v>34</v>
      </c>
      <c r="J720" t="s">
        <v>38</v>
      </c>
      <c r="K720" t="s">
        <v>49</v>
      </c>
      <c r="L720" t="s">
        <v>53</v>
      </c>
      <c r="M720">
        <v>5192</v>
      </c>
      <c r="N720">
        <v>0.05</v>
      </c>
      <c r="O720">
        <v>11931</v>
      </c>
      <c r="P720">
        <v>1</v>
      </c>
      <c r="Q720" t="s">
        <v>58</v>
      </c>
      <c r="R720" t="s">
        <v>60</v>
      </c>
    </row>
    <row r="721" spans="1:18">
      <c r="A721">
        <v>10720</v>
      </c>
      <c r="B721" s="2">
        <v>44916</v>
      </c>
      <c r="C721" s="2">
        <v>44918</v>
      </c>
      <c r="D721" s="2">
        <v>44922</v>
      </c>
      <c r="E721" t="s">
        <v>20</v>
      </c>
      <c r="F721" t="s">
        <v>22</v>
      </c>
      <c r="G721" t="s">
        <v>23</v>
      </c>
      <c r="H721" t="s">
        <v>32</v>
      </c>
      <c r="I721" t="s">
        <v>36</v>
      </c>
      <c r="J721" t="s">
        <v>42</v>
      </c>
      <c r="K721" t="s">
        <v>48</v>
      </c>
      <c r="L721" t="s">
        <v>52</v>
      </c>
      <c r="M721">
        <v>2472</v>
      </c>
      <c r="N721">
        <v>0</v>
      </c>
      <c r="O721">
        <v>16136</v>
      </c>
      <c r="P721">
        <v>18</v>
      </c>
      <c r="Q721" t="s">
        <v>54</v>
      </c>
      <c r="R721" t="s">
        <v>59</v>
      </c>
    </row>
    <row r="722" spans="1:18">
      <c r="A722">
        <v>10721</v>
      </c>
      <c r="B722" s="2">
        <v>44917</v>
      </c>
      <c r="C722" s="2">
        <v>44919</v>
      </c>
      <c r="D722" s="2">
        <v>44923</v>
      </c>
      <c r="E722" t="s">
        <v>21</v>
      </c>
      <c r="F722" t="s">
        <v>22</v>
      </c>
      <c r="G722" t="s">
        <v>25</v>
      </c>
      <c r="H722" t="s">
        <v>29</v>
      </c>
      <c r="I722" t="s">
        <v>34</v>
      </c>
      <c r="J722" t="s">
        <v>42</v>
      </c>
      <c r="K722" t="s">
        <v>44</v>
      </c>
      <c r="L722" t="s">
        <v>52</v>
      </c>
      <c r="M722">
        <v>7388</v>
      </c>
      <c r="N722">
        <v>0.23</v>
      </c>
      <c r="O722">
        <v>7819</v>
      </c>
      <c r="P722">
        <v>10</v>
      </c>
      <c r="Q722" t="s">
        <v>56</v>
      </c>
      <c r="R722" t="s">
        <v>62</v>
      </c>
    </row>
    <row r="723" spans="1:18">
      <c r="A723">
        <v>10722</v>
      </c>
      <c r="B723" s="2">
        <v>44918</v>
      </c>
      <c r="C723" s="2">
        <v>44920</v>
      </c>
      <c r="D723" s="2">
        <v>44924</v>
      </c>
      <c r="E723" t="s">
        <v>18</v>
      </c>
      <c r="F723" t="s">
        <v>22</v>
      </c>
      <c r="G723" t="s">
        <v>24</v>
      </c>
      <c r="H723" t="s">
        <v>29</v>
      </c>
      <c r="I723" t="s">
        <v>35</v>
      </c>
      <c r="J723" t="s">
        <v>39</v>
      </c>
      <c r="K723" t="s">
        <v>50</v>
      </c>
      <c r="L723" t="s">
        <v>53</v>
      </c>
      <c r="M723">
        <v>52658</v>
      </c>
      <c r="N723">
        <v>0.18</v>
      </c>
      <c r="O723">
        <v>5659</v>
      </c>
      <c r="P723">
        <v>19</v>
      </c>
      <c r="Q723" t="s">
        <v>58</v>
      </c>
      <c r="R723" t="s">
        <v>59</v>
      </c>
    </row>
    <row r="724" spans="1:18">
      <c r="A724">
        <v>10723</v>
      </c>
      <c r="B724" s="2">
        <v>44919</v>
      </c>
      <c r="C724" s="2">
        <v>44921</v>
      </c>
      <c r="D724" s="2">
        <v>44925</v>
      </c>
      <c r="E724" t="s">
        <v>21</v>
      </c>
      <c r="F724" t="s">
        <v>22</v>
      </c>
      <c r="G724" t="s">
        <v>25</v>
      </c>
      <c r="H724" t="s">
        <v>30</v>
      </c>
      <c r="I724" t="s">
        <v>36</v>
      </c>
      <c r="J724" t="s">
        <v>43</v>
      </c>
      <c r="K724" t="s">
        <v>49</v>
      </c>
      <c r="L724" t="s">
        <v>52</v>
      </c>
      <c r="M724">
        <v>35873</v>
      </c>
      <c r="N724">
        <v>0.2</v>
      </c>
      <c r="O724">
        <v>7780</v>
      </c>
      <c r="P724">
        <v>14</v>
      </c>
      <c r="Q724" t="s">
        <v>54</v>
      </c>
      <c r="R724" t="s">
        <v>60</v>
      </c>
    </row>
    <row r="725" spans="1:18">
      <c r="A725">
        <v>10724</v>
      </c>
      <c r="B725" s="2">
        <v>44920</v>
      </c>
      <c r="C725" s="2">
        <v>44922</v>
      </c>
      <c r="D725" s="2">
        <v>44926</v>
      </c>
      <c r="E725" t="s">
        <v>19</v>
      </c>
      <c r="F725" t="s">
        <v>22</v>
      </c>
      <c r="G725" t="s">
        <v>23</v>
      </c>
      <c r="H725" t="s">
        <v>29</v>
      </c>
      <c r="I725" t="s">
        <v>35</v>
      </c>
      <c r="J725" t="s">
        <v>39</v>
      </c>
      <c r="K725" t="s">
        <v>50</v>
      </c>
      <c r="L725" t="s">
        <v>52</v>
      </c>
      <c r="M725">
        <v>5982</v>
      </c>
      <c r="N725">
        <v>0.3</v>
      </c>
      <c r="O725">
        <v>13244</v>
      </c>
      <c r="P725">
        <v>21</v>
      </c>
      <c r="Q725" t="s">
        <v>56</v>
      </c>
      <c r="R725" t="s">
        <v>59</v>
      </c>
    </row>
    <row r="726" spans="1:18">
      <c r="A726">
        <v>10725</v>
      </c>
      <c r="B726" s="2">
        <v>44921</v>
      </c>
      <c r="C726" s="2">
        <v>44923</v>
      </c>
      <c r="D726" s="2">
        <v>44927</v>
      </c>
      <c r="E726" t="s">
        <v>18</v>
      </c>
      <c r="F726" t="s">
        <v>22</v>
      </c>
      <c r="G726" t="s">
        <v>23</v>
      </c>
      <c r="H726" t="s">
        <v>33</v>
      </c>
      <c r="I726" t="s">
        <v>35</v>
      </c>
      <c r="J726" t="s">
        <v>41</v>
      </c>
      <c r="K726" t="s">
        <v>48</v>
      </c>
      <c r="L726" t="s">
        <v>51</v>
      </c>
      <c r="M726">
        <v>73871</v>
      </c>
      <c r="N726">
        <v>0.04</v>
      </c>
      <c r="O726">
        <v>12123</v>
      </c>
      <c r="P726">
        <v>17</v>
      </c>
      <c r="Q726" t="s">
        <v>58</v>
      </c>
      <c r="R726" t="s">
        <v>60</v>
      </c>
    </row>
    <row r="727" spans="1:18">
      <c r="A727">
        <v>10726</v>
      </c>
      <c r="B727" s="2">
        <v>44922</v>
      </c>
      <c r="C727" s="2">
        <v>44924</v>
      </c>
      <c r="D727" s="2">
        <v>44928</v>
      </c>
      <c r="E727" t="s">
        <v>18</v>
      </c>
      <c r="F727" t="s">
        <v>22</v>
      </c>
      <c r="G727" t="s">
        <v>25</v>
      </c>
      <c r="H727" t="s">
        <v>30</v>
      </c>
      <c r="I727" t="s">
        <v>36</v>
      </c>
      <c r="J727" t="s">
        <v>43</v>
      </c>
      <c r="K727" t="s">
        <v>49</v>
      </c>
      <c r="L727" t="s">
        <v>52</v>
      </c>
      <c r="M727">
        <v>68351</v>
      </c>
      <c r="N727">
        <v>0.05</v>
      </c>
      <c r="O727">
        <v>12997</v>
      </c>
      <c r="P727">
        <v>13</v>
      </c>
      <c r="Q727" t="s">
        <v>56</v>
      </c>
      <c r="R727" t="s">
        <v>61</v>
      </c>
    </row>
    <row r="728" spans="1:18">
      <c r="A728">
        <v>10727</v>
      </c>
      <c r="B728" s="2">
        <v>44923</v>
      </c>
      <c r="C728" s="2">
        <v>44925</v>
      </c>
      <c r="D728" s="2">
        <v>44929</v>
      </c>
      <c r="E728" t="s">
        <v>19</v>
      </c>
      <c r="F728" t="s">
        <v>22</v>
      </c>
      <c r="G728" t="s">
        <v>28</v>
      </c>
      <c r="H728" t="s">
        <v>33</v>
      </c>
      <c r="I728" t="s">
        <v>36</v>
      </c>
      <c r="J728" t="s">
        <v>42</v>
      </c>
      <c r="K728" t="s">
        <v>48</v>
      </c>
      <c r="L728" t="s">
        <v>51</v>
      </c>
      <c r="M728">
        <v>22425</v>
      </c>
      <c r="N728">
        <v>0.28000000000000003</v>
      </c>
      <c r="O728">
        <v>11997</v>
      </c>
      <c r="P728">
        <v>23</v>
      </c>
      <c r="Q728" t="s">
        <v>56</v>
      </c>
      <c r="R728" t="s">
        <v>59</v>
      </c>
    </row>
    <row r="729" spans="1:18">
      <c r="A729">
        <v>10728</v>
      </c>
      <c r="B729" s="2">
        <v>44924</v>
      </c>
      <c r="C729" s="2">
        <v>44926</v>
      </c>
      <c r="D729" s="2">
        <v>44930</v>
      </c>
      <c r="E729" t="s">
        <v>19</v>
      </c>
      <c r="F729" t="s">
        <v>22</v>
      </c>
      <c r="G729" t="s">
        <v>28</v>
      </c>
      <c r="H729" t="s">
        <v>33</v>
      </c>
      <c r="I729" t="s">
        <v>34</v>
      </c>
      <c r="J729" t="s">
        <v>41</v>
      </c>
      <c r="K729" t="s">
        <v>45</v>
      </c>
      <c r="L729" t="s">
        <v>53</v>
      </c>
      <c r="M729">
        <v>2395</v>
      </c>
      <c r="N729">
        <v>0.39</v>
      </c>
      <c r="O729">
        <v>4838</v>
      </c>
      <c r="P729">
        <v>20</v>
      </c>
      <c r="Q729" t="s">
        <v>58</v>
      </c>
      <c r="R729" t="s">
        <v>60</v>
      </c>
    </row>
    <row r="730" spans="1:18">
      <c r="A730">
        <v>10729</v>
      </c>
      <c r="B730" s="2">
        <v>44925</v>
      </c>
      <c r="C730" s="2">
        <v>44927</v>
      </c>
      <c r="D730" s="2">
        <v>44931</v>
      </c>
      <c r="E730" t="s">
        <v>18</v>
      </c>
      <c r="F730" t="s">
        <v>22</v>
      </c>
      <c r="G730" t="s">
        <v>24</v>
      </c>
      <c r="H730" t="s">
        <v>25</v>
      </c>
      <c r="I730" t="s">
        <v>36</v>
      </c>
      <c r="J730" t="s">
        <v>41</v>
      </c>
      <c r="K730" t="s">
        <v>48</v>
      </c>
      <c r="L730" t="s">
        <v>51</v>
      </c>
      <c r="M730">
        <v>22343</v>
      </c>
      <c r="N730">
        <v>0.27</v>
      </c>
      <c r="O730">
        <v>1336</v>
      </c>
      <c r="P730">
        <v>20</v>
      </c>
      <c r="Q730" t="s">
        <v>54</v>
      </c>
      <c r="R730" t="s">
        <v>62</v>
      </c>
    </row>
    <row r="731" spans="1:18">
      <c r="A731">
        <v>10730</v>
      </c>
      <c r="B731" s="2">
        <v>44926</v>
      </c>
      <c r="C731" s="2">
        <v>44928</v>
      </c>
      <c r="D731" s="2">
        <v>44932</v>
      </c>
      <c r="E731" t="s">
        <v>20</v>
      </c>
      <c r="F731" t="s">
        <v>22</v>
      </c>
      <c r="G731" t="s">
        <v>24</v>
      </c>
      <c r="H731" t="s">
        <v>30</v>
      </c>
      <c r="I731" t="s">
        <v>36</v>
      </c>
      <c r="J731" t="s">
        <v>43</v>
      </c>
      <c r="K731" t="s">
        <v>47</v>
      </c>
      <c r="L731" t="s">
        <v>52</v>
      </c>
      <c r="M731">
        <v>22761</v>
      </c>
      <c r="N731">
        <v>0.02</v>
      </c>
      <c r="O731">
        <v>-186</v>
      </c>
      <c r="P731">
        <v>22</v>
      </c>
      <c r="Q731" t="s">
        <v>54</v>
      </c>
      <c r="R731" t="s">
        <v>60</v>
      </c>
    </row>
    <row r="732" spans="1:18">
      <c r="A732">
        <v>10731</v>
      </c>
      <c r="B732" s="2">
        <v>44927</v>
      </c>
      <c r="C732" s="2">
        <v>44929</v>
      </c>
      <c r="D732" s="2">
        <v>44933</v>
      </c>
      <c r="E732" t="s">
        <v>18</v>
      </c>
      <c r="F732" t="s">
        <v>22</v>
      </c>
      <c r="G732" t="s">
        <v>24</v>
      </c>
      <c r="H732" t="s">
        <v>32</v>
      </c>
      <c r="I732" t="s">
        <v>35</v>
      </c>
      <c r="J732" t="s">
        <v>42</v>
      </c>
      <c r="K732" t="s">
        <v>48</v>
      </c>
      <c r="L732" t="s">
        <v>51</v>
      </c>
      <c r="M732">
        <v>12282</v>
      </c>
      <c r="N732">
        <v>7.0000000000000007E-2</v>
      </c>
      <c r="O732">
        <v>2093</v>
      </c>
      <c r="P732">
        <v>2</v>
      </c>
      <c r="Q732" t="s">
        <v>54</v>
      </c>
      <c r="R732" t="s">
        <v>62</v>
      </c>
    </row>
    <row r="733" spans="1:18">
      <c r="A733">
        <v>10732</v>
      </c>
      <c r="B733" s="2">
        <v>44928</v>
      </c>
      <c r="C733" s="2">
        <v>44930</v>
      </c>
      <c r="D733" s="2">
        <v>44934</v>
      </c>
      <c r="E733" t="s">
        <v>20</v>
      </c>
      <c r="F733" t="s">
        <v>22</v>
      </c>
      <c r="G733" t="s">
        <v>27</v>
      </c>
      <c r="H733" t="s">
        <v>31</v>
      </c>
      <c r="I733" t="s">
        <v>34</v>
      </c>
      <c r="J733" t="s">
        <v>41</v>
      </c>
      <c r="K733" t="s">
        <v>50</v>
      </c>
      <c r="L733" t="s">
        <v>51</v>
      </c>
      <c r="M733">
        <v>46663</v>
      </c>
      <c r="N733">
        <v>0.39</v>
      </c>
      <c r="O733">
        <v>1303</v>
      </c>
      <c r="P733">
        <v>9</v>
      </c>
      <c r="Q733" t="s">
        <v>56</v>
      </c>
      <c r="R733" t="s">
        <v>60</v>
      </c>
    </row>
    <row r="734" spans="1:18">
      <c r="A734">
        <v>10733</v>
      </c>
      <c r="B734" s="2">
        <v>44929</v>
      </c>
      <c r="C734" s="2">
        <v>44931</v>
      </c>
      <c r="D734" s="2">
        <v>44935</v>
      </c>
      <c r="E734" t="s">
        <v>20</v>
      </c>
      <c r="F734" t="s">
        <v>22</v>
      </c>
      <c r="G734" t="s">
        <v>27</v>
      </c>
      <c r="H734" t="s">
        <v>32</v>
      </c>
      <c r="I734" t="s">
        <v>34</v>
      </c>
      <c r="J734" t="s">
        <v>37</v>
      </c>
      <c r="K734" t="s">
        <v>45</v>
      </c>
      <c r="L734" t="s">
        <v>52</v>
      </c>
      <c r="M734">
        <v>42904</v>
      </c>
      <c r="N734">
        <v>0.39</v>
      </c>
      <c r="O734">
        <v>-1105</v>
      </c>
      <c r="P734">
        <v>20</v>
      </c>
      <c r="Q734" t="s">
        <v>58</v>
      </c>
      <c r="R734" t="s">
        <v>59</v>
      </c>
    </row>
    <row r="735" spans="1:18">
      <c r="A735">
        <v>10734</v>
      </c>
      <c r="B735" s="2">
        <v>44930</v>
      </c>
      <c r="C735" s="2">
        <v>44932</v>
      </c>
      <c r="D735" s="2">
        <v>44936</v>
      </c>
      <c r="E735" t="s">
        <v>19</v>
      </c>
      <c r="F735" t="s">
        <v>22</v>
      </c>
      <c r="G735" t="s">
        <v>27</v>
      </c>
      <c r="H735" t="s">
        <v>25</v>
      </c>
      <c r="I735" t="s">
        <v>34</v>
      </c>
      <c r="J735" t="s">
        <v>37</v>
      </c>
      <c r="K735" t="s">
        <v>45</v>
      </c>
      <c r="L735" t="s">
        <v>52</v>
      </c>
      <c r="M735">
        <v>37167</v>
      </c>
      <c r="N735">
        <v>0.01</v>
      </c>
      <c r="O735">
        <v>17909</v>
      </c>
      <c r="P735">
        <v>10</v>
      </c>
      <c r="Q735" t="s">
        <v>57</v>
      </c>
      <c r="R735" t="s">
        <v>60</v>
      </c>
    </row>
    <row r="736" spans="1:18">
      <c r="A736">
        <v>10735</v>
      </c>
      <c r="B736" s="2">
        <v>44931</v>
      </c>
      <c r="C736" s="2">
        <v>44933</v>
      </c>
      <c r="D736" s="2">
        <v>44937</v>
      </c>
      <c r="E736" t="s">
        <v>20</v>
      </c>
      <c r="F736" t="s">
        <v>22</v>
      </c>
      <c r="G736" t="s">
        <v>28</v>
      </c>
      <c r="H736" t="s">
        <v>32</v>
      </c>
      <c r="I736" t="s">
        <v>35</v>
      </c>
      <c r="J736" t="s">
        <v>41</v>
      </c>
      <c r="K736" t="s">
        <v>46</v>
      </c>
      <c r="L736" t="s">
        <v>51</v>
      </c>
      <c r="M736">
        <v>32607</v>
      </c>
      <c r="N736">
        <v>0.01</v>
      </c>
      <c r="O736">
        <v>14616</v>
      </c>
      <c r="P736">
        <v>5</v>
      </c>
      <c r="Q736" t="s">
        <v>57</v>
      </c>
      <c r="R736" t="s">
        <v>61</v>
      </c>
    </row>
    <row r="737" spans="1:18">
      <c r="A737">
        <v>10736</v>
      </c>
      <c r="B737" s="2">
        <v>44932</v>
      </c>
      <c r="C737" s="2">
        <v>44934</v>
      </c>
      <c r="D737" s="2">
        <v>44938</v>
      </c>
      <c r="E737" t="s">
        <v>19</v>
      </c>
      <c r="F737" t="s">
        <v>22</v>
      </c>
      <c r="G737" t="s">
        <v>28</v>
      </c>
      <c r="H737" t="s">
        <v>32</v>
      </c>
      <c r="I737" t="s">
        <v>34</v>
      </c>
      <c r="J737" t="s">
        <v>41</v>
      </c>
      <c r="K737" t="s">
        <v>49</v>
      </c>
      <c r="L737" t="s">
        <v>51</v>
      </c>
      <c r="M737">
        <v>39563</v>
      </c>
      <c r="N737">
        <v>0.14000000000000001</v>
      </c>
      <c r="O737">
        <v>16405</v>
      </c>
      <c r="P737">
        <v>8</v>
      </c>
      <c r="Q737" t="s">
        <v>57</v>
      </c>
      <c r="R737" t="s">
        <v>60</v>
      </c>
    </row>
    <row r="738" spans="1:18">
      <c r="A738">
        <v>10737</v>
      </c>
      <c r="B738" s="2">
        <v>44933</v>
      </c>
      <c r="C738" s="2">
        <v>44935</v>
      </c>
      <c r="D738" s="2">
        <v>44939</v>
      </c>
      <c r="E738" t="s">
        <v>18</v>
      </c>
      <c r="F738" t="s">
        <v>22</v>
      </c>
      <c r="G738" t="s">
        <v>24</v>
      </c>
      <c r="H738" t="s">
        <v>30</v>
      </c>
      <c r="I738" t="s">
        <v>35</v>
      </c>
      <c r="J738" t="s">
        <v>37</v>
      </c>
      <c r="K738" t="s">
        <v>48</v>
      </c>
      <c r="L738" t="s">
        <v>51</v>
      </c>
      <c r="M738">
        <v>55095</v>
      </c>
      <c r="N738">
        <v>0.25</v>
      </c>
      <c r="O738">
        <v>10693</v>
      </c>
      <c r="P738">
        <v>15</v>
      </c>
      <c r="Q738" t="s">
        <v>57</v>
      </c>
      <c r="R738" t="s">
        <v>60</v>
      </c>
    </row>
    <row r="739" spans="1:18">
      <c r="A739">
        <v>10738</v>
      </c>
      <c r="B739" s="2">
        <v>44934</v>
      </c>
      <c r="C739" s="2">
        <v>44936</v>
      </c>
      <c r="D739" s="2">
        <v>44940</v>
      </c>
      <c r="E739" t="s">
        <v>21</v>
      </c>
      <c r="F739" t="s">
        <v>22</v>
      </c>
      <c r="G739" t="s">
        <v>25</v>
      </c>
      <c r="H739" t="s">
        <v>30</v>
      </c>
      <c r="I739" t="s">
        <v>36</v>
      </c>
      <c r="J739" t="s">
        <v>41</v>
      </c>
      <c r="K739" t="s">
        <v>46</v>
      </c>
      <c r="L739" t="s">
        <v>52</v>
      </c>
      <c r="M739">
        <v>11488</v>
      </c>
      <c r="N739">
        <v>0.34</v>
      </c>
      <c r="O739">
        <v>1588</v>
      </c>
      <c r="P739">
        <v>7</v>
      </c>
      <c r="Q739" t="s">
        <v>55</v>
      </c>
      <c r="R739" t="s">
        <v>59</v>
      </c>
    </row>
    <row r="740" spans="1:18">
      <c r="A740">
        <v>10739</v>
      </c>
      <c r="B740" s="2">
        <v>44935</v>
      </c>
      <c r="C740" s="2">
        <v>44937</v>
      </c>
      <c r="D740" s="2">
        <v>44941</v>
      </c>
      <c r="E740" t="s">
        <v>19</v>
      </c>
      <c r="F740" t="s">
        <v>22</v>
      </c>
      <c r="G740" t="s">
        <v>25</v>
      </c>
      <c r="H740" t="s">
        <v>25</v>
      </c>
      <c r="I740" t="s">
        <v>36</v>
      </c>
      <c r="J740" t="s">
        <v>38</v>
      </c>
      <c r="K740" t="s">
        <v>49</v>
      </c>
      <c r="L740" t="s">
        <v>53</v>
      </c>
      <c r="M740">
        <v>28689</v>
      </c>
      <c r="N740">
        <v>0.12</v>
      </c>
      <c r="O740">
        <v>15772</v>
      </c>
      <c r="P740">
        <v>15</v>
      </c>
      <c r="Q740" t="s">
        <v>58</v>
      </c>
      <c r="R740" t="s">
        <v>59</v>
      </c>
    </row>
    <row r="741" spans="1:18">
      <c r="A741">
        <v>10740</v>
      </c>
      <c r="B741" s="2">
        <v>44936</v>
      </c>
      <c r="C741" s="2">
        <v>44938</v>
      </c>
      <c r="D741" s="2">
        <v>44942</v>
      </c>
      <c r="E741" t="s">
        <v>21</v>
      </c>
      <c r="F741" t="s">
        <v>22</v>
      </c>
      <c r="G741" t="s">
        <v>28</v>
      </c>
      <c r="H741" t="s">
        <v>33</v>
      </c>
      <c r="I741" t="s">
        <v>35</v>
      </c>
      <c r="J741" t="s">
        <v>39</v>
      </c>
      <c r="K741" t="s">
        <v>46</v>
      </c>
      <c r="L741" t="s">
        <v>53</v>
      </c>
      <c r="M741">
        <v>25933</v>
      </c>
      <c r="N741">
        <v>0.38</v>
      </c>
      <c r="O741">
        <v>3127</v>
      </c>
      <c r="P741">
        <v>6</v>
      </c>
      <c r="Q741" t="s">
        <v>56</v>
      </c>
      <c r="R741" t="s">
        <v>60</v>
      </c>
    </row>
    <row r="742" spans="1:18">
      <c r="A742">
        <v>10741</v>
      </c>
      <c r="B742" s="2">
        <v>44937</v>
      </c>
      <c r="C742" s="2">
        <v>44939</v>
      </c>
      <c r="D742" s="2">
        <v>44943</v>
      </c>
      <c r="E742" t="s">
        <v>18</v>
      </c>
      <c r="F742" t="s">
        <v>22</v>
      </c>
      <c r="G742" t="s">
        <v>26</v>
      </c>
      <c r="H742" t="s">
        <v>31</v>
      </c>
      <c r="I742" t="s">
        <v>35</v>
      </c>
      <c r="J742" t="s">
        <v>40</v>
      </c>
      <c r="K742" t="s">
        <v>46</v>
      </c>
      <c r="L742" t="s">
        <v>52</v>
      </c>
      <c r="M742">
        <v>53231</v>
      </c>
      <c r="N742">
        <v>0.27</v>
      </c>
      <c r="O742">
        <v>-1216</v>
      </c>
      <c r="P742">
        <v>9</v>
      </c>
      <c r="Q742" t="s">
        <v>56</v>
      </c>
      <c r="R742" t="s">
        <v>60</v>
      </c>
    </row>
    <row r="743" spans="1:18">
      <c r="A743">
        <v>10742</v>
      </c>
      <c r="B743" s="2">
        <v>44938</v>
      </c>
      <c r="C743" s="2">
        <v>44940</v>
      </c>
      <c r="D743" s="2">
        <v>44944</v>
      </c>
      <c r="E743" t="s">
        <v>21</v>
      </c>
      <c r="F743" t="s">
        <v>22</v>
      </c>
      <c r="G743" t="s">
        <v>27</v>
      </c>
      <c r="H743" t="s">
        <v>29</v>
      </c>
      <c r="I743" t="s">
        <v>36</v>
      </c>
      <c r="J743" t="s">
        <v>39</v>
      </c>
      <c r="K743" t="s">
        <v>45</v>
      </c>
      <c r="L743" t="s">
        <v>51</v>
      </c>
      <c r="M743">
        <v>57545</v>
      </c>
      <c r="N743">
        <v>0.06</v>
      </c>
      <c r="O743">
        <v>11118</v>
      </c>
      <c r="P743">
        <v>19</v>
      </c>
      <c r="Q743" t="s">
        <v>54</v>
      </c>
      <c r="R743" t="s">
        <v>59</v>
      </c>
    </row>
    <row r="744" spans="1:18">
      <c r="A744">
        <v>10743</v>
      </c>
      <c r="B744" s="2">
        <v>44939</v>
      </c>
      <c r="C744" s="2">
        <v>44941</v>
      </c>
      <c r="D744" s="2">
        <v>44945</v>
      </c>
      <c r="E744" t="s">
        <v>18</v>
      </c>
      <c r="F744" t="s">
        <v>22</v>
      </c>
      <c r="G744" t="s">
        <v>26</v>
      </c>
      <c r="H744" t="s">
        <v>32</v>
      </c>
      <c r="I744" t="s">
        <v>36</v>
      </c>
      <c r="J744" t="s">
        <v>38</v>
      </c>
      <c r="K744" t="s">
        <v>45</v>
      </c>
      <c r="L744" t="s">
        <v>53</v>
      </c>
      <c r="M744">
        <v>16820</v>
      </c>
      <c r="N744">
        <v>0.19</v>
      </c>
      <c r="O744">
        <v>14843</v>
      </c>
      <c r="P744">
        <v>16</v>
      </c>
      <c r="Q744" t="s">
        <v>55</v>
      </c>
      <c r="R744" t="s">
        <v>62</v>
      </c>
    </row>
    <row r="745" spans="1:18">
      <c r="A745">
        <v>10744</v>
      </c>
      <c r="B745" s="2">
        <v>44940</v>
      </c>
      <c r="C745" s="2">
        <v>44942</v>
      </c>
      <c r="D745" s="2">
        <v>44946</v>
      </c>
      <c r="E745" t="s">
        <v>20</v>
      </c>
      <c r="F745" t="s">
        <v>22</v>
      </c>
      <c r="G745" t="s">
        <v>28</v>
      </c>
      <c r="H745" t="s">
        <v>33</v>
      </c>
      <c r="I745" t="s">
        <v>35</v>
      </c>
      <c r="J745" t="s">
        <v>43</v>
      </c>
      <c r="K745" t="s">
        <v>48</v>
      </c>
      <c r="L745" t="s">
        <v>52</v>
      </c>
      <c r="M745">
        <v>37164</v>
      </c>
      <c r="N745">
        <v>0.2</v>
      </c>
      <c r="O745">
        <v>3458</v>
      </c>
      <c r="P745">
        <v>7</v>
      </c>
      <c r="Q745" t="s">
        <v>58</v>
      </c>
      <c r="R745" t="s">
        <v>59</v>
      </c>
    </row>
    <row r="746" spans="1:18">
      <c r="A746">
        <v>10745</v>
      </c>
      <c r="B746" s="2">
        <v>44941</v>
      </c>
      <c r="C746" s="2">
        <v>44943</v>
      </c>
      <c r="D746" s="2">
        <v>44947</v>
      </c>
      <c r="E746" t="s">
        <v>19</v>
      </c>
      <c r="F746" t="s">
        <v>22</v>
      </c>
      <c r="G746" t="s">
        <v>28</v>
      </c>
      <c r="H746" t="s">
        <v>31</v>
      </c>
      <c r="I746" t="s">
        <v>36</v>
      </c>
      <c r="J746" t="s">
        <v>39</v>
      </c>
      <c r="K746" t="s">
        <v>47</v>
      </c>
      <c r="L746" t="s">
        <v>53</v>
      </c>
      <c r="M746">
        <v>33709</v>
      </c>
      <c r="N746">
        <v>7.0000000000000007E-2</v>
      </c>
      <c r="O746">
        <v>-1471</v>
      </c>
      <c r="P746">
        <v>23</v>
      </c>
      <c r="Q746" t="s">
        <v>57</v>
      </c>
      <c r="R746" t="s">
        <v>60</v>
      </c>
    </row>
    <row r="747" spans="1:18">
      <c r="A747">
        <v>10746</v>
      </c>
      <c r="B747" s="2">
        <v>44942</v>
      </c>
      <c r="C747" s="2">
        <v>44944</v>
      </c>
      <c r="D747" s="2">
        <v>44948</v>
      </c>
      <c r="E747" t="s">
        <v>19</v>
      </c>
      <c r="F747" t="s">
        <v>22</v>
      </c>
      <c r="G747" t="s">
        <v>27</v>
      </c>
      <c r="H747" t="s">
        <v>25</v>
      </c>
      <c r="I747" t="s">
        <v>34</v>
      </c>
      <c r="J747" t="s">
        <v>43</v>
      </c>
      <c r="K747" t="s">
        <v>47</v>
      </c>
      <c r="L747" t="s">
        <v>51</v>
      </c>
      <c r="M747">
        <v>65517</v>
      </c>
      <c r="N747">
        <v>7.0000000000000007E-2</v>
      </c>
      <c r="O747">
        <v>18502</v>
      </c>
      <c r="P747">
        <v>23</v>
      </c>
      <c r="Q747" t="s">
        <v>57</v>
      </c>
      <c r="R747" t="s">
        <v>62</v>
      </c>
    </row>
    <row r="748" spans="1:18">
      <c r="A748">
        <v>10747</v>
      </c>
      <c r="B748" s="2">
        <v>44943</v>
      </c>
      <c r="C748" s="2">
        <v>44945</v>
      </c>
      <c r="D748" s="2">
        <v>44949</v>
      </c>
      <c r="E748" t="s">
        <v>18</v>
      </c>
      <c r="F748" t="s">
        <v>22</v>
      </c>
      <c r="G748" t="s">
        <v>26</v>
      </c>
      <c r="H748" t="s">
        <v>32</v>
      </c>
      <c r="I748" t="s">
        <v>34</v>
      </c>
      <c r="J748" t="s">
        <v>38</v>
      </c>
      <c r="K748" t="s">
        <v>46</v>
      </c>
      <c r="L748" t="s">
        <v>51</v>
      </c>
      <c r="M748">
        <v>40118</v>
      </c>
      <c r="N748">
        <v>0.37</v>
      </c>
      <c r="O748">
        <v>5832</v>
      </c>
      <c r="P748">
        <v>15</v>
      </c>
      <c r="Q748" t="s">
        <v>54</v>
      </c>
      <c r="R748" t="s">
        <v>59</v>
      </c>
    </row>
    <row r="749" spans="1:18">
      <c r="A749">
        <v>10748</v>
      </c>
      <c r="B749" s="2">
        <v>44944</v>
      </c>
      <c r="C749" s="2">
        <v>44946</v>
      </c>
      <c r="D749" s="2">
        <v>44950</v>
      </c>
      <c r="E749" t="s">
        <v>21</v>
      </c>
      <c r="F749" t="s">
        <v>22</v>
      </c>
      <c r="G749" t="s">
        <v>24</v>
      </c>
      <c r="H749" t="s">
        <v>29</v>
      </c>
      <c r="I749" t="s">
        <v>34</v>
      </c>
      <c r="J749" t="s">
        <v>39</v>
      </c>
      <c r="K749" t="s">
        <v>49</v>
      </c>
      <c r="L749" t="s">
        <v>52</v>
      </c>
      <c r="M749">
        <v>22753</v>
      </c>
      <c r="N749">
        <v>0.03</v>
      </c>
      <c r="O749">
        <v>5292</v>
      </c>
      <c r="P749">
        <v>18</v>
      </c>
      <c r="Q749" t="s">
        <v>54</v>
      </c>
      <c r="R749" t="s">
        <v>61</v>
      </c>
    </row>
    <row r="750" spans="1:18">
      <c r="A750">
        <v>10749</v>
      </c>
      <c r="B750" s="2">
        <v>44945</v>
      </c>
      <c r="C750" s="2">
        <v>44947</v>
      </c>
      <c r="D750" s="2">
        <v>44951</v>
      </c>
      <c r="E750" t="s">
        <v>18</v>
      </c>
      <c r="F750" t="s">
        <v>22</v>
      </c>
      <c r="G750" t="s">
        <v>23</v>
      </c>
      <c r="H750" t="s">
        <v>33</v>
      </c>
      <c r="I750" t="s">
        <v>36</v>
      </c>
      <c r="J750" t="s">
        <v>41</v>
      </c>
      <c r="K750" t="s">
        <v>44</v>
      </c>
      <c r="L750" t="s">
        <v>53</v>
      </c>
      <c r="M750">
        <v>47438</v>
      </c>
      <c r="N750">
        <v>0.15</v>
      </c>
      <c r="O750">
        <v>11915</v>
      </c>
      <c r="P750">
        <v>13</v>
      </c>
      <c r="Q750" t="s">
        <v>55</v>
      </c>
      <c r="R750" t="s">
        <v>62</v>
      </c>
    </row>
    <row r="751" spans="1:18">
      <c r="A751">
        <v>10750</v>
      </c>
      <c r="B751" s="2">
        <v>44946</v>
      </c>
      <c r="C751" s="2">
        <v>44948</v>
      </c>
      <c r="D751" s="2">
        <v>44952</v>
      </c>
      <c r="E751" t="s">
        <v>20</v>
      </c>
      <c r="F751" t="s">
        <v>22</v>
      </c>
      <c r="G751" t="s">
        <v>26</v>
      </c>
      <c r="H751" t="s">
        <v>31</v>
      </c>
      <c r="I751" t="s">
        <v>36</v>
      </c>
      <c r="J751" t="s">
        <v>38</v>
      </c>
      <c r="K751" t="s">
        <v>44</v>
      </c>
      <c r="L751" t="s">
        <v>53</v>
      </c>
      <c r="M751">
        <v>17117</v>
      </c>
      <c r="N751">
        <v>0.12</v>
      </c>
      <c r="O751">
        <v>15431</v>
      </c>
      <c r="P751">
        <v>7</v>
      </c>
      <c r="Q751" t="s">
        <v>54</v>
      </c>
      <c r="R751" t="s">
        <v>61</v>
      </c>
    </row>
    <row r="752" spans="1:18">
      <c r="A752">
        <v>10751</v>
      </c>
      <c r="B752" s="2">
        <v>44947</v>
      </c>
      <c r="C752" s="2">
        <v>44949</v>
      </c>
      <c r="D752" s="2">
        <v>44953</v>
      </c>
      <c r="E752" t="s">
        <v>18</v>
      </c>
      <c r="F752" t="s">
        <v>22</v>
      </c>
      <c r="G752" t="s">
        <v>25</v>
      </c>
      <c r="H752" t="s">
        <v>25</v>
      </c>
      <c r="I752" t="s">
        <v>36</v>
      </c>
      <c r="J752" t="s">
        <v>43</v>
      </c>
      <c r="K752" t="s">
        <v>49</v>
      </c>
      <c r="L752" t="s">
        <v>51</v>
      </c>
      <c r="M752">
        <v>53624</v>
      </c>
      <c r="N752">
        <v>0.28999999999999998</v>
      </c>
      <c r="O752">
        <v>18048</v>
      </c>
      <c r="P752">
        <v>16</v>
      </c>
      <c r="Q752" t="s">
        <v>54</v>
      </c>
      <c r="R752" t="s">
        <v>61</v>
      </c>
    </row>
    <row r="753" spans="1:18">
      <c r="A753">
        <v>10752</v>
      </c>
      <c r="B753" s="2">
        <v>44948</v>
      </c>
      <c r="C753" s="2">
        <v>44950</v>
      </c>
      <c r="D753" s="2">
        <v>44954</v>
      </c>
      <c r="E753" t="s">
        <v>18</v>
      </c>
      <c r="F753" t="s">
        <v>22</v>
      </c>
      <c r="G753" t="s">
        <v>26</v>
      </c>
      <c r="H753" t="s">
        <v>25</v>
      </c>
      <c r="I753" t="s">
        <v>35</v>
      </c>
      <c r="J753" t="s">
        <v>40</v>
      </c>
      <c r="K753" t="s">
        <v>49</v>
      </c>
      <c r="L753" t="s">
        <v>53</v>
      </c>
      <c r="M753">
        <v>696</v>
      </c>
      <c r="N753">
        <v>0.06</v>
      </c>
      <c r="O753">
        <v>7668</v>
      </c>
      <c r="P753">
        <v>5</v>
      </c>
      <c r="Q753" t="s">
        <v>56</v>
      </c>
      <c r="R753" t="s">
        <v>60</v>
      </c>
    </row>
    <row r="754" spans="1:18">
      <c r="A754">
        <v>10753</v>
      </c>
      <c r="B754" s="2">
        <v>44949</v>
      </c>
      <c r="C754" s="2">
        <v>44951</v>
      </c>
      <c r="D754" s="2">
        <v>44955</v>
      </c>
      <c r="E754" t="s">
        <v>21</v>
      </c>
      <c r="F754" t="s">
        <v>22</v>
      </c>
      <c r="G754" t="s">
        <v>27</v>
      </c>
      <c r="H754" t="s">
        <v>25</v>
      </c>
      <c r="I754" t="s">
        <v>35</v>
      </c>
      <c r="J754" t="s">
        <v>43</v>
      </c>
      <c r="K754" t="s">
        <v>46</v>
      </c>
      <c r="L754" t="s">
        <v>52</v>
      </c>
      <c r="M754">
        <v>27552</v>
      </c>
      <c r="N754">
        <v>0.02</v>
      </c>
      <c r="O754">
        <v>17441</v>
      </c>
      <c r="P754">
        <v>7</v>
      </c>
      <c r="Q754" t="s">
        <v>57</v>
      </c>
      <c r="R754" t="s">
        <v>60</v>
      </c>
    </row>
    <row r="755" spans="1:18">
      <c r="A755">
        <v>10754</v>
      </c>
      <c r="B755" s="2">
        <v>44950</v>
      </c>
      <c r="C755" s="2">
        <v>44952</v>
      </c>
      <c r="D755" s="2">
        <v>44956</v>
      </c>
      <c r="E755" t="s">
        <v>21</v>
      </c>
      <c r="F755" t="s">
        <v>22</v>
      </c>
      <c r="G755" t="s">
        <v>24</v>
      </c>
      <c r="H755" t="s">
        <v>29</v>
      </c>
      <c r="I755" t="s">
        <v>34</v>
      </c>
      <c r="J755" t="s">
        <v>39</v>
      </c>
      <c r="K755" t="s">
        <v>47</v>
      </c>
      <c r="L755" t="s">
        <v>51</v>
      </c>
      <c r="M755">
        <v>2646</v>
      </c>
      <c r="N755">
        <v>0.14000000000000001</v>
      </c>
      <c r="O755">
        <v>1631</v>
      </c>
      <c r="P755">
        <v>22</v>
      </c>
      <c r="Q755" t="s">
        <v>55</v>
      </c>
      <c r="R755" t="s">
        <v>60</v>
      </c>
    </row>
    <row r="756" spans="1:18">
      <c r="A756">
        <v>10755</v>
      </c>
      <c r="B756" s="2">
        <v>44951</v>
      </c>
      <c r="C756" s="2">
        <v>44953</v>
      </c>
      <c r="D756" s="2">
        <v>44957</v>
      </c>
      <c r="E756" t="s">
        <v>19</v>
      </c>
      <c r="F756" t="s">
        <v>22</v>
      </c>
      <c r="G756" t="s">
        <v>27</v>
      </c>
      <c r="H756" t="s">
        <v>31</v>
      </c>
      <c r="I756" t="s">
        <v>35</v>
      </c>
      <c r="J756" t="s">
        <v>39</v>
      </c>
      <c r="K756" t="s">
        <v>49</v>
      </c>
      <c r="L756" t="s">
        <v>51</v>
      </c>
      <c r="M756">
        <v>13622</v>
      </c>
      <c r="N756">
        <v>0.15</v>
      </c>
      <c r="O756">
        <v>15680</v>
      </c>
      <c r="P756">
        <v>7</v>
      </c>
      <c r="Q756" t="s">
        <v>54</v>
      </c>
      <c r="R756" t="s">
        <v>59</v>
      </c>
    </row>
    <row r="757" spans="1:18">
      <c r="A757">
        <v>10756</v>
      </c>
      <c r="B757" s="2">
        <v>44952</v>
      </c>
      <c r="C757" s="2">
        <v>44954</v>
      </c>
      <c r="D757" s="2">
        <v>44958</v>
      </c>
      <c r="E757" t="s">
        <v>20</v>
      </c>
      <c r="F757" t="s">
        <v>22</v>
      </c>
      <c r="G757" t="s">
        <v>23</v>
      </c>
      <c r="H757" t="s">
        <v>31</v>
      </c>
      <c r="I757" t="s">
        <v>34</v>
      </c>
      <c r="J757" t="s">
        <v>42</v>
      </c>
      <c r="K757" t="s">
        <v>45</v>
      </c>
      <c r="L757" t="s">
        <v>51</v>
      </c>
      <c r="M757">
        <v>70613</v>
      </c>
      <c r="N757">
        <v>0.19</v>
      </c>
      <c r="O757">
        <v>227</v>
      </c>
      <c r="P757">
        <v>14</v>
      </c>
      <c r="Q757" t="s">
        <v>57</v>
      </c>
      <c r="R757" t="s">
        <v>59</v>
      </c>
    </row>
    <row r="758" spans="1:18">
      <c r="A758">
        <v>10757</v>
      </c>
      <c r="B758" s="2">
        <v>44953</v>
      </c>
      <c r="C758" s="2">
        <v>44955</v>
      </c>
      <c r="D758" s="2">
        <v>44959</v>
      </c>
      <c r="E758" t="s">
        <v>20</v>
      </c>
      <c r="F758" t="s">
        <v>22</v>
      </c>
      <c r="G758" t="s">
        <v>24</v>
      </c>
      <c r="H758" t="s">
        <v>32</v>
      </c>
      <c r="I758" t="s">
        <v>35</v>
      </c>
      <c r="J758" t="s">
        <v>37</v>
      </c>
      <c r="K758" t="s">
        <v>47</v>
      </c>
      <c r="L758" t="s">
        <v>51</v>
      </c>
      <c r="M758">
        <v>72821</v>
      </c>
      <c r="N758">
        <v>0.27</v>
      </c>
      <c r="O758">
        <v>-1249</v>
      </c>
      <c r="P758">
        <v>10</v>
      </c>
      <c r="Q758" t="s">
        <v>57</v>
      </c>
      <c r="R758" t="s">
        <v>60</v>
      </c>
    </row>
    <row r="759" spans="1:18">
      <c r="A759">
        <v>10758</v>
      </c>
      <c r="B759" s="2">
        <v>44954</v>
      </c>
      <c r="C759" s="2">
        <v>44956</v>
      </c>
      <c r="D759" s="2">
        <v>44960</v>
      </c>
      <c r="E759" t="s">
        <v>20</v>
      </c>
      <c r="F759" t="s">
        <v>22</v>
      </c>
      <c r="G759" t="s">
        <v>25</v>
      </c>
      <c r="H759" t="s">
        <v>32</v>
      </c>
      <c r="I759" t="s">
        <v>34</v>
      </c>
      <c r="J759" t="s">
        <v>40</v>
      </c>
      <c r="K759" t="s">
        <v>50</v>
      </c>
      <c r="L759" t="s">
        <v>53</v>
      </c>
      <c r="M759">
        <v>11306</v>
      </c>
      <c r="N759">
        <v>0.3</v>
      </c>
      <c r="O759">
        <v>19895</v>
      </c>
      <c r="P759">
        <v>17</v>
      </c>
      <c r="Q759" t="s">
        <v>57</v>
      </c>
      <c r="R759" t="s">
        <v>59</v>
      </c>
    </row>
    <row r="760" spans="1:18">
      <c r="A760">
        <v>10759</v>
      </c>
      <c r="B760" s="2">
        <v>44955</v>
      </c>
      <c r="C760" s="2">
        <v>44957</v>
      </c>
      <c r="D760" s="2">
        <v>44961</v>
      </c>
      <c r="E760" t="s">
        <v>18</v>
      </c>
      <c r="F760" t="s">
        <v>22</v>
      </c>
      <c r="G760" t="s">
        <v>23</v>
      </c>
      <c r="H760" t="s">
        <v>31</v>
      </c>
      <c r="I760" t="s">
        <v>36</v>
      </c>
      <c r="J760" t="s">
        <v>42</v>
      </c>
      <c r="K760" t="s">
        <v>45</v>
      </c>
      <c r="L760" t="s">
        <v>52</v>
      </c>
      <c r="M760">
        <v>9548</v>
      </c>
      <c r="N760">
        <v>0.15</v>
      </c>
      <c r="O760">
        <v>17274</v>
      </c>
      <c r="P760">
        <v>10</v>
      </c>
      <c r="Q760" t="s">
        <v>57</v>
      </c>
      <c r="R760" t="s">
        <v>61</v>
      </c>
    </row>
    <row r="761" spans="1:18">
      <c r="A761">
        <v>10760</v>
      </c>
      <c r="B761" s="2">
        <v>44956</v>
      </c>
      <c r="C761" s="2">
        <v>44958</v>
      </c>
      <c r="D761" s="2">
        <v>44962</v>
      </c>
      <c r="E761" t="s">
        <v>20</v>
      </c>
      <c r="F761" t="s">
        <v>22</v>
      </c>
      <c r="G761" t="s">
        <v>28</v>
      </c>
      <c r="H761" t="s">
        <v>25</v>
      </c>
      <c r="I761" t="s">
        <v>35</v>
      </c>
      <c r="J761" t="s">
        <v>41</v>
      </c>
      <c r="K761" t="s">
        <v>47</v>
      </c>
      <c r="L761" t="s">
        <v>52</v>
      </c>
      <c r="M761">
        <v>20347</v>
      </c>
      <c r="N761">
        <v>0.25</v>
      </c>
      <c r="O761">
        <v>5735</v>
      </c>
      <c r="P761">
        <v>8</v>
      </c>
      <c r="Q761" t="s">
        <v>54</v>
      </c>
      <c r="R761" t="s">
        <v>61</v>
      </c>
    </row>
    <row r="762" spans="1:18">
      <c r="A762">
        <v>10761</v>
      </c>
      <c r="B762" s="2">
        <v>44957</v>
      </c>
      <c r="C762" s="2">
        <v>44959</v>
      </c>
      <c r="D762" s="2">
        <v>44963</v>
      </c>
      <c r="E762" t="s">
        <v>21</v>
      </c>
      <c r="F762" t="s">
        <v>22</v>
      </c>
      <c r="G762" t="s">
        <v>28</v>
      </c>
      <c r="H762" t="s">
        <v>25</v>
      </c>
      <c r="I762" t="s">
        <v>36</v>
      </c>
      <c r="J762" t="s">
        <v>39</v>
      </c>
      <c r="K762" t="s">
        <v>46</v>
      </c>
      <c r="L762" t="s">
        <v>53</v>
      </c>
      <c r="M762">
        <v>61085</v>
      </c>
      <c r="N762">
        <v>0.19</v>
      </c>
      <c r="O762">
        <v>6366</v>
      </c>
      <c r="P762">
        <v>13</v>
      </c>
      <c r="Q762" t="s">
        <v>58</v>
      </c>
      <c r="R762" t="s">
        <v>62</v>
      </c>
    </row>
    <row r="763" spans="1:18">
      <c r="A763">
        <v>10762</v>
      </c>
      <c r="B763" s="2">
        <v>44958</v>
      </c>
      <c r="C763" s="2">
        <v>44960</v>
      </c>
      <c r="D763" s="2">
        <v>44964</v>
      </c>
      <c r="E763" t="s">
        <v>21</v>
      </c>
      <c r="F763" t="s">
        <v>22</v>
      </c>
      <c r="G763" t="s">
        <v>28</v>
      </c>
      <c r="H763" t="s">
        <v>33</v>
      </c>
      <c r="I763" t="s">
        <v>34</v>
      </c>
      <c r="J763" t="s">
        <v>43</v>
      </c>
      <c r="K763" t="s">
        <v>45</v>
      </c>
      <c r="L763" t="s">
        <v>52</v>
      </c>
      <c r="M763">
        <v>49437</v>
      </c>
      <c r="N763">
        <v>0</v>
      </c>
      <c r="O763">
        <v>14940</v>
      </c>
      <c r="P763">
        <v>8</v>
      </c>
      <c r="Q763" t="s">
        <v>56</v>
      </c>
      <c r="R763" t="s">
        <v>59</v>
      </c>
    </row>
    <row r="764" spans="1:18">
      <c r="A764">
        <v>10763</v>
      </c>
      <c r="B764" s="2">
        <v>44959</v>
      </c>
      <c r="C764" s="2">
        <v>44961</v>
      </c>
      <c r="D764" s="2">
        <v>44965</v>
      </c>
      <c r="E764" t="s">
        <v>21</v>
      </c>
      <c r="F764" t="s">
        <v>22</v>
      </c>
      <c r="G764" t="s">
        <v>24</v>
      </c>
      <c r="H764" t="s">
        <v>33</v>
      </c>
      <c r="I764" t="s">
        <v>34</v>
      </c>
      <c r="J764" t="s">
        <v>39</v>
      </c>
      <c r="K764" t="s">
        <v>50</v>
      </c>
      <c r="L764" t="s">
        <v>51</v>
      </c>
      <c r="M764">
        <v>30127</v>
      </c>
      <c r="N764">
        <v>0.35</v>
      </c>
      <c r="O764">
        <v>18960</v>
      </c>
      <c r="P764">
        <v>23</v>
      </c>
      <c r="Q764" t="s">
        <v>56</v>
      </c>
      <c r="R764" t="s">
        <v>62</v>
      </c>
    </row>
    <row r="765" spans="1:18">
      <c r="A765">
        <v>10764</v>
      </c>
      <c r="B765" s="2">
        <v>44960</v>
      </c>
      <c r="C765" s="2">
        <v>44962</v>
      </c>
      <c r="D765" s="2">
        <v>44966</v>
      </c>
      <c r="E765" t="s">
        <v>19</v>
      </c>
      <c r="F765" t="s">
        <v>22</v>
      </c>
      <c r="G765" t="s">
        <v>27</v>
      </c>
      <c r="H765" t="s">
        <v>33</v>
      </c>
      <c r="I765" t="s">
        <v>36</v>
      </c>
      <c r="J765" t="s">
        <v>37</v>
      </c>
      <c r="K765" t="s">
        <v>49</v>
      </c>
      <c r="L765" t="s">
        <v>51</v>
      </c>
      <c r="M765">
        <v>13711</v>
      </c>
      <c r="N765">
        <v>0.23</v>
      </c>
      <c r="O765">
        <v>12045</v>
      </c>
      <c r="P765">
        <v>3</v>
      </c>
      <c r="Q765" t="s">
        <v>57</v>
      </c>
      <c r="R765" t="s">
        <v>61</v>
      </c>
    </row>
    <row r="766" spans="1:18">
      <c r="A766">
        <v>10765</v>
      </c>
      <c r="B766" s="2">
        <v>44961</v>
      </c>
      <c r="C766" s="2">
        <v>44963</v>
      </c>
      <c r="D766" s="2">
        <v>44967</v>
      </c>
      <c r="E766" t="s">
        <v>20</v>
      </c>
      <c r="F766" t="s">
        <v>22</v>
      </c>
      <c r="G766" t="s">
        <v>28</v>
      </c>
      <c r="H766" t="s">
        <v>32</v>
      </c>
      <c r="I766" t="s">
        <v>34</v>
      </c>
      <c r="J766" t="s">
        <v>39</v>
      </c>
      <c r="K766" t="s">
        <v>47</v>
      </c>
      <c r="L766" t="s">
        <v>52</v>
      </c>
      <c r="M766">
        <v>32458</v>
      </c>
      <c r="N766">
        <v>0.17</v>
      </c>
      <c r="O766">
        <v>14807</v>
      </c>
      <c r="P766">
        <v>24</v>
      </c>
      <c r="Q766" t="s">
        <v>57</v>
      </c>
      <c r="R766" t="s">
        <v>61</v>
      </c>
    </row>
    <row r="767" spans="1:18">
      <c r="A767">
        <v>10766</v>
      </c>
      <c r="B767" s="2">
        <v>44962</v>
      </c>
      <c r="C767" s="2">
        <v>44964</v>
      </c>
      <c r="D767" s="2">
        <v>44968</v>
      </c>
      <c r="E767" t="s">
        <v>21</v>
      </c>
      <c r="F767" t="s">
        <v>22</v>
      </c>
      <c r="G767" t="s">
        <v>23</v>
      </c>
      <c r="H767" t="s">
        <v>30</v>
      </c>
      <c r="I767" t="s">
        <v>36</v>
      </c>
      <c r="J767" t="s">
        <v>41</v>
      </c>
      <c r="K767" t="s">
        <v>46</v>
      </c>
      <c r="L767" t="s">
        <v>52</v>
      </c>
      <c r="M767">
        <v>50227</v>
      </c>
      <c r="N767">
        <v>0.18</v>
      </c>
      <c r="O767">
        <v>8372</v>
      </c>
      <c r="P767">
        <v>11</v>
      </c>
      <c r="Q767" t="s">
        <v>54</v>
      </c>
      <c r="R767" t="s">
        <v>62</v>
      </c>
    </row>
    <row r="768" spans="1:18">
      <c r="A768">
        <v>10767</v>
      </c>
      <c r="B768" s="2">
        <v>44963</v>
      </c>
      <c r="C768" s="2">
        <v>44965</v>
      </c>
      <c r="D768" s="2">
        <v>44969</v>
      </c>
      <c r="E768" t="s">
        <v>20</v>
      </c>
      <c r="F768" t="s">
        <v>22</v>
      </c>
      <c r="G768" t="s">
        <v>23</v>
      </c>
      <c r="H768" t="s">
        <v>30</v>
      </c>
      <c r="I768" t="s">
        <v>34</v>
      </c>
      <c r="J768" t="s">
        <v>39</v>
      </c>
      <c r="K768" t="s">
        <v>48</v>
      </c>
      <c r="L768" t="s">
        <v>52</v>
      </c>
      <c r="M768">
        <v>4208</v>
      </c>
      <c r="N768">
        <v>0.18</v>
      </c>
      <c r="O768">
        <v>17654</v>
      </c>
      <c r="P768">
        <v>21</v>
      </c>
      <c r="Q768" t="s">
        <v>58</v>
      </c>
      <c r="R768" t="s">
        <v>62</v>
      </c>
    </row>
    <row r="769" spans="1:18">
      <c r="A769">
        <v>10768</v>
      </c>
      <c r="B769" s="2">
        <v>44964</v>
      </c>
      <c r="C769" s="2">
        <v>44966</v>
      </c>
      <c r="D769" s="2">
        <v>44970</v>
      </c>
      <c r="E769" t="s">
        <v>18</v>
      </c>
      <c r="F769" t="s">
        <v>22</v>
      </c>
      <c r="G769" t="s">
        <v>25</v>
      </c>
      <c r="H769" t="s">
        <v>29</v>
      </c>
      <c r="I769" t="s">
        <v>35</v>
      </c>
      <c r="J769" t="s">
        <v>40</v>
      </c>
      <c r="K769" t="s">
        <v>48</v>
      </c>
      <c r="L769" t="s">
        <v>53</v>
      </c>
      <c r="M769">
        <v>52609</v>
      </c>
      <c r="N769">
        <v>0.22</v>
      </c>
      <c r="O769">
        <v>-1366</v>
      </c>
      <c r="P769">
        <v>24</v>
      </c>
      <c r="Q769" t="s">
        <v>58</v>
      </c>
      <c r="R769" t="s">
        <v>59</v>
      </c>
    </row>
    <row r="770" spans="1:18">
      <c r="A770">
        <v>10769</v>
      </c>
      <c r="B770" s="2">
        <v>44965</v>
      </c>
      <c r="C770" s="2">
        <v>44967</v>
      </c>
      <c r="D770" s="2">
        <v>44971</v>
      </c>
      <c r="E770" t="s">
        <v>21</v>
      </c>
      <c r="F770" t="s">
        <v>22</v>
      </c>
      <c r="G770" t="s">
        <v>27</v>
      </c>
      <c r="H770" t="s">
        <v>29</v>
      </c>
      <c r="I770" t="s">
        <v>34</v>
      </c>
      <c r="J770" t="s">
        <v>38</v>
      </c>
      <c r="K770" t="s">
        <v>46</v>
      </c>
      <c r="L770" t="s">
        <v>51</v>
      </c>
      <c r="M770">
        <v>30027</v>
      </c>
      <c r="N770">
        <v>0.1</v>
      </c>
      <c r="O770">
        <v>17302</v>
      </c>
      <c r="P770">
        <v>23</v>
      </c>
      <c r="Q770" t="s">
        <v>55</v>
      </c>
      <c r="R770" t="s">
        <v>62</v>
      </c>
    </row>
    <row r="771" spans="1:18">
      <c r="A771">
        <v>10770</v>
      </c>
      <c r="B771" s="2">
        <v>44966</v>
      </c>
      <c r="C771" s="2">
        <v>44968</v>
      </c>
      <c r="D771" s="2">
        <v>44972</v>
      </c>
      <c r="E771" t="s">
        <v>20</v>
      </c>
      <c r="F771" t="s">
        <v>22</v>
      </c>
      <c r="G771" t="s">
        <v>24</v>
      </c>
      <c r="H771" t="s">
        <v>31</v>
      </c>
      <c r="I771" t="s">
        <v>36</v>
      </c>
      <c r="J771" t="s">
        <v>38</v>
      </c>
      <c r="K771" t="s">
        <v>48</v>
      </c>
      <c r="L771" t="s">
        <v>53</v>
      </c>
      <c r="M771">
        <v>38937</v>
      </c>
      <c r="N771">
        <v>0.25</v>
      </c>
      <c r="O771">
        <v>7185</v>
      </c>
      <c r="P771">
        <v>5</v>
      </c>
      <c r="Q771" t="s">
        <v>57</v>
      </c>
      <c r="R771" t="s">
        <v>62</v>
      </c>
    </row>
    <row r="772" spans="1:18">
      <c r="A772">
        <v>10771</v>
      </c>
      <c r="B772" s="2">
        <v>44967</v>
      </c>
      <c r="C772" s="2">
        <v>44969</v>
      </c>
      <c r="D772" s="2">
        <v>44973</v>
      </c>
      <c r="E772" t="s">
        <v>19</v>
      </c>
      <c r="F772" t="s">
        <v>22</v>
      </c>
      <c r="G772" t="s">
        <v>27</v>
      </c>
      <c r="H772" t="s">
        <v>31</v>
      </c>
      <c r="I772" t="s">
        <v>36</v>
      </c>
      <c r="J772" t="s">
        <v>40</v>
      </c>
      <c r="K772" t="s">
        <v>46</v>
      </c>
      <c r="L772" t="s">
        <v>53</v>
      </c>
      <c r="M772">
        <v>17447</v>
      </c>
      <c r="N772">
        <v>0.3</v>
      </c>
      <c r="O772">
        <v>-51</v>
      </c>
      <c r="P772">
        <v>24</v>
      </c>
      <c r="Q772" t="s">
        <v>55</v>
      </c>
      <c r="R772" t="s">
        <v>62</v>
      </c>
    </row>
    <row r="773" spans="1:18">
      <c r="A773">
        <v>10772</v>
      </c>
      <c r="B773" s="2">
        <v>44968</v>
      </c>
      <c r="C773" s="2">
        <v>44970</v>
      </c>
      <c r="D773" s="2">
        <v>44974</v>
      </c>
      <c r="E773" t="s">
        <v>18</v>
      </c>
      <c r="F773" t="s">
        <v>22</v>
      </c>
      <c r="G773" t="s">
        <v>26</v>
      </c>
      <c r="H773" t="s">
        <v>32</v>
      </c>
      <c r="I773" t="s">
        <v>36</v>
      </c>
      <c r="J773" t="s">
        <v>43</v>
      </c>
      <c r="K773" t="s">
        <v>49</v>
      </c>
      <c r="L773" t="s">
        <v>53</v>
      </c>
      <c r="M773">
        <v>71815</v>
      </c>
      <c r="N773">
        <v>0.13</v>
      </c>
      <c r="O773">
        <v>91</v>
      </c>
      <c r="P773">
        <v>18</v>
      </c>
      <c r="Q773" t="s">
        <v>58</v>
      </c>
      <c r="R773" t="s">
        <v>59</v>
      </c>
    </row>
    <row r="774" spans="1:18">
      <c r="A774">
        <v>10773</v>
      </c>
      <c r="B774" s="2">
        <v>44969</v>
      </c>
      <c r="C774" s="2">
        <v>44971</v>
      </c>
      <c r="D774" s="2">
        <v>44975</v>
      </c>
      <c r="E774" t="s">
        <v>19</v>
      </c>
      <c r="F774" t="s">
        <v>22</v>
      </c>
      <c r="G774" t="s">
        <v>28</v>
      </c>
      <c r="H774" t="s">
        <v>30</v>
      </c>
      <c r="I774" t="s">
        <v>36</v>
      </c>
      <c r="J774" t="s">
        <v>39</v>
      </c>
      <c r="K774" t="s">
        <v>48</v>
      </c>
      <c r="L774" t="s">
        <v>52</v>
      </c>
      <c r="M774">
        <v>65421</v>
      </c>
      <c r="N774">
        <v>0.1</v>
      </c>
      <c r="O774">
        <v>19950</v>
      </c>
      <c r="P774">
        <v>15</v>
      </c>
      <c r="Q774" t="s">
        <v>57</v>
      </c>
      <c r="R774" t="s">
        <v>59</v>
      </c>
    </row>
    <row r="775" spans="1:18">
      <c r="A775">
        <v>10774</v>
      </c>
      <c r="B775" s="2">
        <v>44970</v>
      </c>
      <c r="C775" s="2">
        <v>44972</v>
      </c>
      <c r="D775" s="2">
        <v>44976</v>
      </c>
      <c r="E775" t="s">
        <v>21</v>
      </c>
      <c r="F775" t="s">
        <v>22</v>
      </c>
      <c r="G775" t="s">
        <v>26</v>
      </c>
      <c r="H775" t="s">
        <v>29</v>
      </c>
      <c r="I775" t="s">
        <v>35</v>
      </c>
      <c r="J775" t="s">
        <v>40</v>
      </c>
      <c r="K775" t="s">
        <v>49</v>
      </c>
      <c r="L775" t="s">
        <v>51</v>
      </c>
      <c r="M775">
        <v>21797</v>
      </c>
      <c r="N775">
        <v>0.24</v>
      </c>
      <c r="O775">
        <v>15034</v>
      </c>
      <c r="P775">
        <v>23</v>
      </c>
      <c r="Q775" t="s">
        <v>56</v>
      </c>
      <c r="R775" t="s">
        <v>60</v>
      </c>
    </row>
    <row r="776" spans="1:18">
      <c r="A776">
        <v>10775</v>
      </c>
      <c r="B776" s="2">
        <v>44971</v>
      </c>
      <c r="C776" s="2">
        <v>44973</v>
      </c>
      <c r="D776" s="2">
        <v>44977</v>
      </c>
      <c r="E776" t="s">
        <v>18</v>
      </c>
      <c r="F776" t="s">
        <v>22</v>
      </c>
      <c r="G776" t="s">
        <v>24</v>
      </c>
      <c r="H776" t="s">
        <v>31</v>
      </c>
      <c r="I776" t="s">
        <v>34</v>
      </c>
      <c r="J776" t="s">
        <v>41</v>
      </c>
      <c r="K776" t="s">
        <v>45</v>
      </c>
      <c r="L776" t="s">
        <v>53</v>
      </c>
      <c r="M776">
        <v>1681</v>
      </c>
      <c r="N776">
        <v>0.34</v>
      </c>
      <c r="O776">
        <v>-924</v>
      </c>
      <c r="P776">
        <v>18</v>
      </c>
      <c r="Q776" t="s">
        <v>55</v>
      </c>
      <c r="R776" t="s">
        <v>61</v>
      </c>
    </row>
    <row r="777" spans="1:18">
      <c r="A777">
        <v>10776</v>
      </c>
      <c r="B777" s="2">
        <v>44972</v>
      </c>
      <c r="C777" s="2">
        <v>44974</v>
      </c>
      <c r="D777" s="2">
        <v>44978</v>
      </c>
      <c r="E777" t="s">
        <v>21</v>
      </c>
      <c r="F777" t="s">
        <v>22</v>
      </c>
      <c r="G777" t="s">
        <v>27</v>
      </c>
      <c r="H777" t="s">
        <v>33</v>
      </c>
      <c r="I777" t="s">
        <v>34</v>
      </c>
      <c r="J777" t="s">
        <v>40</v>
      </c>
      <c r="K777" t="s">
        <v>49</v>
      </c>
      <c r="L777" t="s">
        <v>52</v>
      </c>
      <c r="M777">
        <v>72391</v>
      </c>
      <c r="N777">
        <v>0.14000000000000001</v>
      </c>
      <c r="O777">
        <v>2601</v>
      </c>
      <c r="P777">
        <v>20</v>
      </c>
      <c r="Q777" t="s">
        <v>55</v>
      </c>
      <c r="R777" t="s">
        <v>62</v>
      </c>
    </row>
    <row r="778" spans="1:18">
      <c r="A778">
        <v>10777</v>
      </c>
      <c r="B778" s="2">
        <v>44973</v>
      </c>
      <c r="C778" s="2">
        <v>44975</v>
      </c>
      <c r="D778" s="2">
        <v>44979</v>
      </c>
      <c r="E778" t="s">
        <v>21</v>
      </c>
      <c r="F778" t="s">
        <v>22</v>
      </c>
      <c r="G778" t="s">
        <v>23</v>
      </c>
      <c r="H778" t="s">
        <v>31</v>
      </c>
      <c r="I778" t="s">
        <v>36</v>
      </c>
      <c r="J778" t="s">
        <v>38</v>
      </c>
      <c r="K778" t="s">
        <v>49</v>
      </c>
      <c r="L778" t="s">
        <v>51</v>
      </c>
      <c r="M778">
        <v>60101</v>
      </c>
      <c r="N778">
        <v>0.39</v>
      </c>
      <c r="O778">
        <v>7245</v>
      </c>
      <c r="P778">
        <v>7</v>
      </c>
      <c r="Q778" t="s">
        <v>58</v>
      </c>
      <c r="R778" t="s">
        <v>61</v>
      </c>
    </row>
    <row r="779" spans="1:18">
      <c r="A779">
        <v>10778</v>
      </c>
      <c r="B779" s="2">
        <v>44974</v>
      </c>
      <c r="C779" s="2">
        <v>44976</v>
      </c>
      <c r="D779" s="2">
        <v>44980</v>
      </c>
      <c r="E779" t="s">
        <v>21</v>
      </c>
      <c r="F779" t="s">
        <v>22</v>
      </c>
      <c r="G779" t="s">
        <v>23</v>
      </c>
      <c r="H779" t="s">
        <v>32</v>
      </c>
      <c r="I779" t="s">
        <v>35</v>
      </c>
      <c r="J779" t="s">
        <v>40</v>
      </c>
      <c r="K779" t="s">
        <v>46</v>
      </c>
      <c r="L779" t="s">
        <v>51</v>
      </c>
      <c r="M779">
        <v>14641</v>
      </c>
      <c r="N779">
        <v>0.23</v>
      </c>
      <c r="O779">
        <v>14555</v>
      </c>
      <c r="P779">
        <v>21</v>
      </c>
      <c r="Q779" t="s">
        <v>57</v>
      </c>
      <c r="R779" t="s">
        <v>61</v>
      </c>
    </row>
    <row r="780" spans="1:18">
      <c r="A780">
        <v>10779</v>
      </c>
      <c r="B780" s="2">
        <v>44975</v>
      </c>
      <c r="C780" s="2">
        <v>44977</v>
      </c>
      <c r="D780" s="2">
        <v>44981</v>
      </c>
      <c r="E780" t="s">
        <v>18</v>
      </c>
      <c r="F780" t="s">
        <v>22</v>
      </c>
      <c r="G780" t="s">
        <v>25</v>
      </c>
      <c r="H780" t="s">
        <v>25</v>
      </c>
      <c r="I780" t="s">
        <v>36</v>
      </c>
      <c r="J780" t="s">
        <v>37</v>
      </c>
      <c r="K780" t="s">
        <v>50</v>
      </c>
      <c r="L780" t="s">
        <v>53</v>
      </c>
      <c r="M780">
        <v>51361</v>
      </c>
      <c r="N780">
        <v>0.11</v>
      </c>
      <c r="O780">
        <v>18498</v>
      </c>
      <c r="P780">
        <v>4</v>
      </c>
      <c r="Q780" t="s">
        <v>56</v>
      </c>
      <c r="R780" t="s">
        <v>62</v>
      </c>
    </row>
    <row r="781" spans="1:18">
      <c r="A781">
        <v>10780</v>
      </c>
      <c r="B781" s="2">
        <v>44976</v>
      </c>
      <c r="C781" s="2">
        <v>44978</v>
      </c>
      <c r="D781" s="2">
        <v>44982</v>
      </c>
      <c r="E781" t="s">
        <v>20</v>
      </c>
      <c r="F781" t="s">
        <v>22</v>
      </c>
      <c r="G781" t="s">
        <v>27</v>
      </c>
      <c r="H781" t="s">
        <v>30</v>
      </c>
      <c r="I781" t="s">
        <v>36</v>
      </c>
      <c r="J781" t="s">
        <v>43</v>
      </c>
      <c r="K781" t="s">
        <v>45</v>
      </c>
      <c r="L781" t="s">
        <v>53</v>
      </c>
      <c r="M781">
        <v>61944</v>
      </c>
      <c r="N781">
        <v>0.13</v>
      </c>
      <c r="O781">
        <v>13538</v>
      </c>
      <c r="P781">
        <v>24</v>
      </c>
      <c r="Q781" t="s">
        <v>54</v>
      </c>
      <c r="R781" t="s">
        <v>59</v>
      </c>
    </row>
    <row r="782" spans="1:18">
      <c r="A782">
        <v>10781</v>
      </c>
      <c r="B782" s="2">
        <v>44977</v>
      </c>
      <c r="C782" s="2">
        <v>44979</v>
      </c>
      <c r="D782" s="2">
        <v>44983</v>
      </c>
      <c r="E782" t="s">
        <v>20</v>
      </c>
      <c r="F782" t="s">
        <v>22</v>
      </c>
      <c r="G782" t="s">
        <v>23</v>
      </c>
      <c r="H782" t="s">
        <v>25</v>
      </c>
      <c r="I782" t="s">
        <v>36</v>
      </c>
      <c r="J782" t="s">
        <v>43</v>
      </c>
      <c r="K782" t="s">
        <v>45</v>
      </c>
      <c r="L782" t="s">
        <v>51</v>
      </c>
      <c r="M782">
        <v>69383</v>
      </c>
      <c r="N782">
        <v>0.2</v>
      </c>
      <c r="O782">
        <v>-344</v>
      </c>
      <c r="P782">
        <v>23</v>
      </c>
      <c r="Q782" t="s">
        <v>56</v>
      </c>
      <c r="R782" t="s">
        <v>60</v>
      </c>
    </row>
    <row r="783" spans="1:18">
      <c r="A783">
        <v>10782</v>
      </c>
      <c r="B783" s="2">
        <v>44978</v>
      </c>
      <c r="C783" s="2">
        <v>44980</v>
      </c>
      <c r="D783" s="2">
        <v>44984</v>
      </c>
      <c r="E783" t="s">
        <v>19</v>
      </c>
      <c r="F783" t="s">
        <v>22</v>
      </c>
      <c r="G783" t="s">
        <v>25</v>
      </c>
      <c r="H783" t="s">
        <v>31</v>
      </c>
      <c r="I783" t="s">
        <v>35</v>
      </c>
      <c r="J783" t="s">
        <v>40</v>
      </c>
      <c r="K783" t="s">
        <v>50</v>
      </c>
      <c r="L783" t="s">
        <v>53</v>
      </c>
      <c r="M783">
        <v>62948</v>
      </c>
      <c r="N783">
        <v>0.16</v>
      </c>
      <c r="O783">
        <v>8519</v>
      </c>
      <c r="P783">
        <v>5</v>
      </c>
      <c r="Q783" t="s">
        <v>58</v>
      </c>
      <c r="R783" t="s">
        <v>59</v>
      </c>
    </row>
    <row r="784" spans="1:18">
      <c r="A784">
        <v>10783</v>
      </c>
      <c r="B784" s="2">
        <v>44979</v>
      </c>
      <c r="C784" s="2">
        <v>44981</v>
      </c>
      <c r="D784" s="2">
        <v>44985</v>
      </c>
      <c r="E784" t="s">
        <v>20</v>
      </c>
      <c r="F784" t="s">
        <v>22</v>
      </c>
      <c r="G784" t="s">
        <v>28</v>
      </c>
      <c r="H784" t="s">
        <v>31</v>
      </c>
      <c r="I784" t="s">
        <v>35</v>
      </c>
      <c r="J784" t="s">
        <v>38</v>
      </c>
      <c r="K784" t="s">
        <v>49</v>
      </c>
      <c r="L784" t="s">
        <v>51</v>
      </c>
      <c r="M784">
        <v>15772</v>
      </c>
      <c r="N784">
        <v>0.22</v>
      </c>
      <c r="O784">
        <v>12860</v>
      </c>
      <c r="P784">
        <v>15</v>
      </c>
      <c r="Q784" t="s">
        <v>54</v>
      </c>
      <c r="R784" t="s">
        <v>61</v>
      </c>
    </row>
    <row r="785" spans="1:18">
      <c r="A785">
        <v>10784</v>
      </c>
      <c r="B785" s="2">
        <v>44980</v>
      </c>
      <c r="C785" s="2">
        <v>44982</v>
      </c>
      <c r="D785" s="2">
        <v>44986</v>
      </c>
      <c r="E785" t="s">
        <v>19</v>
      </c>
      <c r="F785" t="s">
        <v>22</v>
      </c>
      <c r="G785" t="s">
        <v>26</v>
      </c>
      <c r="H785" t="s">
        <v>25</v>
      </c>
      <c r="I785" t="s">
        <v>36</v>
      </c>
      <c r="J785" t="s">
        <v>43</v>
      </c>
      <c r="K785" t="s">
        <v>44</v>
      </c>
      <c r="L785" t="s">
        <v>53</v>
      </c>
      <c r="M785">
        <v>19637</v>
      </c>
      <c r="N785">
        <v>0.01</v>
      </c>
      <c r="O785">
        <v>269</v>
      </c>
      <c r="P785">
        <v>23</v>
      </c>
      <c r="Q785" t="s">
        <v>56</v>
      </c>
      <c r="R785" t="s">
        <v>60</v>
      </c>
    </row>
    <row r="786" spans="1:18">
      <c r="A786">
        <v>10785</v>
      </c>
      <c r="B786" s="2">
        <v>44981</v>
      </c>
      <c r="C786" s="2">
        <v>44983</v>
      </c>
      <c r="D786" s="2">
        <v>44987</v>
      </c>
      <c r="E786" t="s">
        <v>20</v>
      </c>
      <c r="F786" t="s">
        <v>22</v>
      </c>
      <c r="G786" t="s">
        <v>28</v>
      </c>
      <c r="H786" t="s">
        <v>31</v>
      </c>
      <c r="I786" t="s">
        <v>36</v>
      </c>
      <c r="J786" t="s">
        <v>39</v>
      </c>
      <c r="K786" t="s">
        <v>49</v>
      </c>
      <c r="L786" t="s">
        <v>53</v>
      </c>
      <c r="M786">
        <v>9417</v>
      </c>
      <c r="N786">
        <v>0.35</v>
      </c>
      <c r="O786">
        <v>1612</v>
      </c>
      <c r="P786">
        <v>15</v>
      </c>
      <c r="Q786" t="s">
        <v>55</v>
      </c>
      <c r="R786" t="s">
        <v>60</v>
      </c>
    </row>
    <row r="787" spans="1:18">
      <c r="A787">
        <v>10786</v>
      </c>
      <c r="B787" s="2">
        <v>44982</v>
      </c>
      <c r="C787" s="2">
        <v>44984</v>
      </c>
      <c r="D787" s="2">
        <v>44988</v>
      </c>
      <c r="E787" t="s">
        <v>20</v>
      </c>
      <c r="F787" t="s">
        <v>22</v>
      </c>
      <c r="G787" t="s">
        <v>26</v>
      </c>
      <c r="H787" t="s">
        <v>29</v>
      </c>
      <c r="I787" t="s">
        <v>34</v>
      </c>
      <c r="J787" t="s">
        <v>38</v>
      </c>
      <c r="K787" t="s">
        <v>48</v>
      </c>
      <c r="L787" t="s">
        <v>51</v>
      </c>
      <c r="M787">
        <v>42377</v>
      </c>
      <c r="N787">
        <v>0.33</v>
      </c>
      <c r="O787">
        <v>1228</v>
      </c>
      <c r="P787">
        <v>14</v>
      </c>
      <c r="Q787" t="s">
        <v>58</v>
      </c>
      <c r="R787" t="s">
        <v>59</v>
      </c>
    </row>
    <row r="788" spans="1:18">
      <c r="A788">
        <v>10787</v>
      </c>
      <c r="B788" s="2">
        <v>44983</v>
      </c>
      <c r="C788" s="2">
        <v>44985</v>
      </c>
      <c r="D788" s="2">
        <v>44989</v>
      </c>
      <c r="E788" t="s">
        <v>18</v>
      </c>
      <c r="F788" t="s">
        <v>22</v>
      </c>
      <c r="G788" t="s">
        <v>24</v>
      </c>
      <c r="H788" t="s">
        <v>32</v>
      </c>
      <c r="I788" t="s">
        <v>35</v>
      </c>
      <c r="J788" t="s">
        <v>42</v>
      </c>
      <c r="K788" t="s">
        <v>49</v>
      </c>
      <c r="L788" t="s">
        <v>52</v>
      </c>
      <c r="M788">
        <v>58700</v>
      </c>
      <c r="N788">
        <v>0.24</v>
      </c>
      <c r="O788">
        <v>10349</v>
      </c>
      <c r="P788">
        <v>17</v>
      </c>
      <c r="Q788" t="s">
        <v>57</v>
      </c>
      <c r="R788" t="s">
        <v>59</v>
      </c>
    </row>
    <row r="789" spans="1:18">
      <c r="A789">
        <v>10788</v>
      </c>
      <c r="B789" s="2">
        <v>44984</v>
      </c>
      <c r="C789" s="2">
        <v>44986</v>
      </c>
      <c r="D789" s="2">
        <v>44990</v>
      </c>
      <c r="E789" t="s">
        <v>20</v>
      </c>
      <c r="F789" t="s">
        <v>22</v>
      </c>
      <c r="G789" t="s">
        <v>24</v>
      </c>
      <c r="H789" t="s">
        <v>32</v>
      </c>
      <c r="I789" t="s">
        <v>34</v>
      </c>
      <c r="J789" t="s">
        <v>39</v>
      </c>
      <c r="K789" t="s">
        <v>49</v>
      </c>
      <c r="L789" t="s">
        <v>52</v>
      </c>
      <c r="M789">
        <v>45941</v>
      </c>
      <c r="N789">
        <v>0.14000000000000001</v>
      </c>
      <c r="O789">
        <v>18244</v>
      </c>
      <c r="P789">
        <v>12</v>
      </c>
      <c r="Q789" t="s">
        <v>57</v>
      </c>
      <c r="R789" t="s">
        <v>59</v>
      </c>
    </row>
    <row r="790" spans="1:18">
      <c r="A790">
        <v>10789</v>
      </c>
      <c r="B790" s="2">
        <v>44985</v>
      </c>
      <c r="C790" s="2">
        <v>44987</v>
      </c>
      <c r="D790" s="2">
        <v>44991</v>
      </c>
      <c r="E790" t="s">
        <v>21</v>
      </c>
      <c r="F790" t="s">
        <v>22</v>
      </c>
      <c r="G790" t="s">
        <v>23</v>
      </c>
      <c r="H790" t="s">
        <v>32</v>
      </c>
      <c r="I790" t="s">
        <v>36</v>
      </c>
      <c r="J790" t="s">
        <v>39</v>
      </c>
      <c r="K790" t="s">
        <v>50</v>
      </c>
      <c r="L790" t="s">
        <v>51</v>
      </c>
      <c r="M790">
        <v>7522</v>
      </c>
      <c r="N790">
        <v>0.39</v>
      </c>
      <c r="O790">
        <v>10701</v>
      </c>
      <c r="P790">
        <v>13</v>
      </c>
      <c r="Q790" t="s">
        <v>55</v>
      </c>
      <c r="R790" t="s">
        <v>60</v>
      </c>
    </row>
    <row r="791" spans="1:18">
      <c r="A791">
        <v>10790</v>
      </c>
      <c r="B791" s="2">
        <v>44986</v>
      </c>
      <c r="C791" s="2">
        <v>44988</v>
      </c>
      <c r="D791" s="2">
        <v>44992</v>
      </c>
      <c r="E791" t="s">
        <v>18</v>
      </c>
      <c r="F791" t="s">
        <v>22</v>
      </c>
      <c r="G791" t="s">
        <v>25</v>
      </c>
      <c r="H791" t="s">
        <v>31</v>
      </c>
      <c r="I791" t="s">
        <v>36</v>
      </c>
      <c r="J791" t="s">
        <v>42</v>
      </c>
      <c r="K791" t="s">
        <v>49</v>
      </c>
      <c r="L791" t="s">
        <v>52</v>
      </c>
      <c r="M791">
        <v>70896</v>
      </c>
      <c r="N791">
        <v>0.35</v>
      </c>
      <c r="O791">
        <v>13553</v>
      </c>
      <c r="P791">
        <v>14</v>
      </c>
      <c r="Q791" t="s">
        <v>54</v>
      </c>
      <c r="R791" t="s">
        <v>61</v>
      </c>
    </row>
    <row r="792" spans="1:18">
      <c r="A792">
        <v>10791</v>
      </c>
      <c r="B792" s="2">
        <v>44987</v>
      </c>
      <c r="C792" s="2">
        <v>44989</v>
      </c>
      <c r="D792" s="2">
        <v>44993</v>
      </c>
      <c r="E792" t="s">
        <v>21</v>
      </c>
      <c r="F792" t="s">
        <v>22</v>
      </c>
      <c r="G792" t="s">
        <v>28</v>
      </c>
      <c r="H792" t="s">
        <v>31</v>
      </c>
      <c r="I792" t="s">
        <v>34</v>
      </c>
      <c r="J792" t="s">
        <v>37</v>
      </c>
      <c r="K792" t="s">
        <v>50</v>
      </c>
      <c r="L792" t="s">
        <v>53</v>
      </c>
      <c r="M792">
        <v>10841</v>
      </c>
      <c r="N792">
        <v>0.26</v>
      </c>
      <c r="O792">
        <v>10757</v>
      </c>
      <c r="P792">
        <v>14</v>
      </c>
      <c r="Q792" t="s">
        <v>58</v>
      </c>
      <c r="R792" t="s">
        <v>61</v>
      </c>
    </row>
    <row r="793" spans="1:18">
      <c r="A793">
        <v>10792</v>
      </c>
      <c r="B793" s="2">
        <v>44988</v>
      </c>
      <c r="C793" s="2">
        <v>44990</v>
      </c>
      <c r="D793" s="2">
        <v>44994</v>
      </c>
      <c r="E793" t="s">
        <v>18</v>
      </c>
      <c r="F793" t="s">
        <v>22</v>
      </c>
      <c r="G793" t="s">
        <v>24</v>
      </c>
      <c r="H793" t="s">
        <v>29</v>
      </c>
      <c r="I793" t="s">
        <v>36</v>
      </c>
      <c r="J793" t="s">
        <v>39</v>
      </c>
      <c r="K793" t="s">
        <v>44</v>
      </c>
      <c r="L793" t="s">
        <v>53</v>
      </c>
      <c r="M793">
        <v>69928</v>
      </c>
      <c r="N793">
        <v>0.2</v>
      </c>
      <c r="O793">
        <v>3481</v>
      </c>
      <c r="P793">
        <v>2</v>
      </c>
      <c r="Q793" t="s">
        <v>57</v>
      </c>
      <c r="R793" t="s">
        <v>61</v>
      </c>
    </row>
    <row r="794" spans="1:18">
      <c r="A794">
        <v>10793</v>
      </c>
      <c r="B794" s="2">
        <v>44989</v>
      </c>
      <c r="C794" s="2">
        <v>44991</v>
      </c>
      <c r="D794" s="2">
        <v>44995</v>
      </c>
      <c r="E794" t="s">
        <v>21</v>
      </c>
      <c r="F794" t="s">
        <v>22</v>
      </c>
      <c r="G794" t="s">
        <v>28</v>
      </c>
      <c r="H794" t="s">
        <v>32</v>
      </c>
      <c r="I794" t="s">
        <v>36</v>
      </c>
      <c r="J794" t="s">
        <v>37</v>
      </c>
      <c r="K794" t="s">
        <v>44</v>
      </c>
      <c r="L794" t="s">
        <v>51</v>
      </c>
      <c r="M794">
        <v>70702</v>
      </c>
      <c r="N794">
        <v>0.12</v>
      </c>
      <c r="O794">
        <v>-406</v>
      </c>
      <c r="P794">
        <v>9</v>
      </c>
      <c r="Q794" t="s">
        <v>54</v>
      </c>
      <c r="R794" t="s">
        <v>59</v>
      </c>
    </row>
    <row r="795" spans="1:18">
      <c r="A795">
        <v>10794</v>
      </c>
      <c r="B795" s="2">
        <v>44990</v>
      </c>
      <c r="C795" s="2">
        <v>44992</v>
      </c>
      <c r="D795" s="2">
        <v>44996</v>
      </c>
      <c r="E795" t="s">
        <v>20</v>
      </c>
      <c r="F795" t="s">
        <v>22</v>
      </c>
      <c r="G795" t="s">
        <v>23</v>
      </c>
      <c r="H795" t="s">
        <v>30</v>
      </c>
      <c r="I795" t="s">
        <v>35</v>
      </c>
      <c r="J795" t="s">
        <v>38</v>
      </c>
      <c r="K795" t="s">
        <v>47</v>
      </c>
      <c r="L795" t="s">
        <v>52</v>
      </c>
      <c r="M795">
        <v>30981</v>
      </c>
      <c r="N795">
        <v>7.0000000000000007E-2</v>
      </c>
      <c r="O795">
        <v>16130</v>
      </c>
      <c r="P795">
        <v>18</v>
      </c>
      <c r="Q795" t="s">
        <v>56</v>
      </c>
      <c r="R795" t="s">
        <v>59</v>
      </c>
    </row>
    <row r="796" spans="1:18">
      <c r="A796">
        <v>10795</v>
      </c>
      <c r="B796" s="2">
        <v>44991</v>
      </c>
      <c r="C796" s="2">
        <v>44993</v>
      </c>
      <c r="D796" s="2">
        <v>44997</v>
      </c>
      <c r="E796" t="s">
        <v>20</v>
      </c>
      <c r="F796" t="s">
        <v>22</v>
      </c>
      <c r="G796" t="s">
        <v>25</v>
      </c>
      <c r="H796" t="s">
        <v>25</v>
      </c>
      <c r="I796" t="s">
        <v>36</v>
      </c>
      <c r="J796" t="s">
        <v>42</v>
      </c>
      <c r="K796" t="s">
        <v>44</v>
      </c>
      <c r="L796" t="s">
        <v>52</v>
      </c>
      <c r="M796">
        <v>26200</v>
      </c>
      <c r="N796">
        <v>0.11</v>
      </c>
      <c r="O796">
        <v>1952</v>
      </c>
      <c r="P796">
        <v>6</v>
      </c>
      <c r="Q796" t="s">
        <v>57</v>
      </c>
      <c r="R796" t="s">
        <v>62</v>
      </c>
    </row>
    <row r="797" spans="1:18">
      <c r="A797">
        <v>10796</v>
      </c>
      <c r="B797" s="2">
        <v>44992</v>
      </c>
      <c r="C797" s="2">
        <v>44994</v>
      </c>
      <c r="D797" s="2">
        <v>44998</v>
      </c>
      <c r="E797" t="s">
        <v>19</v>
      </c>
      <c r="F797" t="s">
        <v>22</v>
      </c>
      <c r="G797" t="s">
        <v>26</v>
      </c>
      <c r="H797" t="s">
        <v>25</v>
      </c>
      <c r="I797" t="s">
        <v>35</v>
      </c>
      <c r="J797" t="s">
        <v>41</v>
      </c>
      <c r="K797" t="s">
        <v>44</v>
      </c>
      <c r="L797" t="s">
        <v>53</v>
      </c>
      <c r="M797">
        <v>19152</v>
      </c>
      <c r="N797">
        <v>0.01</v>
      </c>
      <c r="O797">
        <v>12472</v>
      </c>
      <c r="P797">
        <v>6</v>
      </c>
      <c r="Q797" t="s">
        <v>55</v>
      </c>
      <c r="R797" t="s">
        <v>62</v>
      </c>
    </row>
    <row r="798" spans="1:18">
      <c r="A798">
        <v>10797</v>
      </c>
      <c r="B798" s="2">
        <v>44993</v>
      </c>
      <c r="C798" s="2">
        <v>44995</v>
      </c>
      <c r="D798" s="2">
        <v>44999</v>
      </c>
      <c r="E798" t="s">
        <v>18</v>
      </c>
      <c r="F798" t="s">
        <v>22</v>
      </c>
      <c r="G798" t="s">
        <v>25</v>
      </c>
      <c r="H798" t="s">
        <v>32</v>
      </c>
      <c r="I798" t="s">
        <v>35</v>
      </c>
      <c r="J798" t="s">
        <v>43</v>
      </c>
      <c r="K798" t="s">
        <v>49</v>
      </c>
      <c r="L798" t="s">
        <v>53</v>
      </c>
      <c r="M798">
        <v>7604</v>
      </c>
      <c r="N798">
        <v>0.38</v>
      </c>
      <c r="O798">
        <v>222</v>
      </c>
      <c r="P798">
        <v>6</v>
      </c>
      <c r="Q798" t="s">
        <v>56</v>
      </c>
      <c r="R798" t="s">
        <v>60</v>
      </c>
    </row>
    <row r="799" spans="1:18">
      <c r="A799">
        <v>10798</v>
      </c>
      <c r="B799" s="2">
        <v>44994</v>
      </c>
      <c r="C799" s="2">
        <v>44996</v>
      </c>
      <c r="D799" s="2">
        <v>45000</v>
      </c>
      <c r="E799" t="s">
        <v>21</v>
      </c>
      <c r="F799" t="s">
        <v>22</v>
      </c>
      <c r="G799" t="s">
        <v>27</v>
      </c>
      <c r="H799" t="s">
        <v>25</v>
      </c>
      <c r="I799" t="s">
        <v>36</v>
      </c>
      <c r="J799" t="s">
        <v>40</v>
      </c>
      <c r="K799" t="s">
        <v>47</v>
      </c>
      <c r="L799" t="s">
        <v>53</v>
      </c>
      <c r="M799">
        <v>70546</v>
      </c>
      <c r="N799">
        <v>0.3</v>
      </c>
      <c r="O799">
        <v>3256</v>
      </c>
      <c r="P799">
        <v>3</v>
      </c>
      <c r="Q799" t="s">
        <v>56</v>
      </c>
      <c r="R799" t="s">
        <v>61</v>
      </c>
    </row>
    <row r="800" spans="1:18">
      <c r="A800">
        <v>10799</v>
      </c>
      <c r="B800" s="2">
        <v>44995</v>
      </c>
      <c r="C800" s="2">
        <v>44997</v>
      </c>
      <c r="D800" s="2">
        <v>45001</v>
      </c>
      <c r="E800" t="s">
        <v>19</v>
      </c>
      <c r="F800" t="s">
        <v>22</v>
      </c>
      <c r="G800" t="s">
        <v>24</v>
      </c>
      <c r="H800" t="s">
        <v>32</v>
      </c>
      <c r="I800" t="s">
        <v>34</v>
      </c>
      <c r="J800" t="s">
        <v>41</v>
      </c>
      <c r="K800" t="s">
        <v>44</v>
      </c>
      <c r="L800" t="s">
        <v>53</v>
      </c>
      <c r="M800">
        <v>51458</v>
      </c>
      <c r="N800">
        <v>0.14000000000000001</v>
      </c>
      <c r="O800">
        <v>11097</v>
      </c>
      <c r="P800">
        <v>7</v>
      </c>
      <c r="Q800" t="s">
        <v>54</v>
      </c>
      <c r="R800" t="s">
        <v>62</v>
      </c>
    </row>
    <row r="801" spans="1:18">
      <c r="A801">
        <v>10800</v>
      </c>
      <c r="B801" s="2">
        <v>44996</v>
      </c>
      <c r="C801" s="2">
        <v>44998</v>
      </c>
      <c r="D801" s="2">
        <v>45002</v>
      </c>
      <c r="E801" t="s">
        <v>21</v>
      </c>
      <c r="F801" t="s">
        <v>22</v>
      </c>
      <c r="G801" t="s">
        <v>24</v>
      </c>
      <c r="H801" t="s">
        <v>32</v>
      </c>
      <c r="I801" t="s">
        <v>34</v>
      </c>
      <c r="J801" t="s">
        <v>43</v>
      </c>
      <c r="K801" t="s">
        <v>48</v>
      </c>
      <c r="L801" t="s">
        <v>51</v>
      </c>
      <c r="M801">
        <v>12028</v>
      </c>
      <c r="N801">
        <v>0.17</v>
      </c>
      <c r="O801">
        <v>3798</v>
      </c>
      <c r="P801">
        <v>15</v>
      </c>
      <c r="Q801" t="s">
        <v>58</v>
      </c>
      <c r="R801" t="s">
        <v>62</v>
      </c>
    </row>
    <row r="802" spans="1:18">
      <c r="A802">
        <v>10801</v>
      </c>
      <c r="B802" s="2">
        <v>44997</v>
      </c>
      <c r="C802" s="2">
        <v>44999</v>
      </c>
      <c r="D802" s="2">
        <v>45003</v>
      </c>
      <c r="E802" t="s">
        <v>19</v>
      </c>
      <c r="F802" t="s">
        <v>22</v>
      </c>
      <c r="G802" t="s">
        <v>28</v>
      </c>
      <c r="H802" t="s">
        <v>33</v>
      </c>
      <c r="I802" t="s">
        <v>34</v>
      </c>
      <c r="J802" t="s">
        <v>41</v>
      </c>
      <c r="K802" t="s">
        <v>47</v>
      </c>
      <c r="L802" t="s">
        <v>53</v>
      </c>
      <c r="M802">
        <v>65227</v>
      </c>
      <c r="N802">
        <v>0.33</v>
      </c>
      <c r="O802">
        <v>4056</v>
      </c>
      <c r="P802">
        <v>19</v>
      </c>
      <c r="Q802" t="s">
        <v>56</v>
      </c>
      <c r="R802" t="s">
        <v>60</v>
      </c>
    </row>
    <row r="803" spans="1:18">
      <c r="A803">
        <v>10802</v>
      </c>
      <c r="B803" s="2">
        <v>44998</v>
      </c>
      <c r="C803" s="2">
        <v>45000</v>
      </c>
      <c r="D803" s="2">
        <v>45004</v>
      </c>
      <c r="E803" t="s">
        <v>19</v>
      </c>
      <c r="F803" t="s">
        <v>22</v>
      </c>
      <c r="G803" t="s">
        <v>23</v>
      </c>
      <c r="H803" t="s">
        <v>30</v>
      </c>
      <c r="I803" t="s">
        <v>36</v>
      </c>
      <c r="J803" t="s">
        <v>42</v>
      </c>
      <c r="K803" t="s">
        <v>47</v>
      </c>
      <c r="L803" t="s">
        <v>52</v>
      </c>
      <c r="M803">
        <v>21710</v>
      </c>
      <c r="N803">
        <v>7.0000000000000007E-2</v>
      </c>
      <c r="O803">
        <v>1572</v>
      </c>
      <c r="P803">
        <v>11</v>
      </c>
      <c r="Q803" t="s">
        <v>58</v>
      </c>
      <c r="R803" t="s">
        <v>60</v>
      </c>
    </row>
    <row r="804" spans="1:18">
      <c r="A804">
        <v>10803</v>
      </c>
      <c r="B804" s="2">
        <v>44999</v>
      </c>
      <c r="C804" s="2">
        <v>45001</v>
      </c>
      <c r="D804" s="2">
        <v>45005</v>
      </c>
      <c r="E804" t="s">
        <v>18</v>
      </c>
      <c r="F804" t="s">
        <v>22</v>
      </c>
      <c r="G804" t="s">
        <v>23</v>
      </c>
      <c r="H804" t="s">
        <v>32</v>
      </c>
      <c r="I804" t="s">
        <v>35</v>
      </c>
      <c r="J804" t="s">
        <v>41</v>
      </c>
      <c r="K804" t="s">
        <v>50</v>
      </c>
      <c r="L804" t="s">
        <v>51</v>
      </c>
      <c r="M804">
        <v>50993</v>
      </c>
      <c r="N804">
        <v>0.22</v>
      </c>
      <c r="O804">
        <v>17887</v>
      </c>
      <c r="P804">
        <v>18</v>
      </c>
      <c r="Q804" t="s">
        <v>56</v>
      </c>
      <c r="R804" t="s">
        <v>60</v>
      </c>
    </row>
    <row r="805" spans="1:18">
      <c r="A805">
        <v>10804</v>
      </c>
      <c r="B805" s="2">
        <v>45000</v>
      </c>
      <c r="C805" s="2">
        <v>45002</v>
      </c>
      <c r="D805" s="2">
        <v>45006</v>
      </c>
      <c r="E805" t="s">
        <v>19</v>
      </c>
      <c r="F805" t="s">
        <v>22</v>
      </c>
      <c r="G805" t="s">
        <v>23</v>
      </c>
      <c r="H805" t="s">
        <v>25</v>
      </c>
      <c r="I805" t="s">
        <v>35</v>
      </c>
      <c r="J805" t="s">
        <v>40</v>
      </c>
      <c r="K805" t="s">
        <v>47</v>
      </c>
      <c r="L805" t="s">
        <v>52</v>
      </c>
      <c r="M805">
        <v>43750</v>
      </c>
      <c r="N805">
        <v>0.05</v>
      </c>
      <c r="O805">
        <v>726</v>
      </c>
      <c r="P805">
        <v>1</v>
      </c>
      <c r="Q805" t="s">
        <v>57</v>
      </c>
      <c r="R805" t="s">
        <v>59</v>
      </c>
    </row>
    <row r="806" spans="1:18">
      <c r="A806">
        <v>10805</v>
      </c>
      <c r="B806" s="2">
        <v>45001</v>
      </c>
      <c r="C806" s="2">
        <v>45003</v>
      </c>
      <c r="D806" s="2">
        <v>45007</v>
      </c>
      <c r="E806" t="s">
        <v>20</v>
      </c>
      <c r="F806" t="s">
        <v>22</v>
      </c>
      <c r="G806" t="s">
        <v>27</v>
      </c>
      <c r="H806" t="s">
        <v>25</v>
      </c>
      <c r="I806" t="s">
        <v>34</v>
      </c>
      <c r="J806" t="s">
        <v>43</v>
      </c>
      <c r="K806" t="s">
        <v>45</v>
      </c>
      <c r="L806" t="s">
        <v>53</v>
      </c>
      <c r="M806">
        <v>36014</v>
      </c>
      <c r="N806">
        <v>0.19</v>
      </c>
      <c r="O806">
        <v>7558</v>
      </c>
      <c r="P806">
        <v>6</v>
      </c>
      <c r="Q806" t="s">
        <v>54</v>
      </c>
      <c r="R806" t="s">
        <v>60</v>
      </c>
    </row>
    <row r="807" spans="1:18">
      <c r="A807">
        <v>10806</v>
      </c>
      <c r="B807" s="2">
        <v>45002</v>
      </c>
      <c r="C807" s="2">
        <v>45004</v>
      </c>
      <c r="D807" s="2">
        <v>45008</v>
      </c>
      <c r="E807" t="s">
        <v>19</v>
      </c>
      <c r="F807" t="s">
        <v>22</v>
      </c>
      <c r="G807" t="s">
        <v>25</v>
      </c>
      <c r="H807" t="s">
        <v>25</v>
      </c>
      <c r="I807" t="s">
        <v>36</v>
      </c>
      <c r="J807" t="s">
        <v>41</v>
      </c>
      <c r="K807" t="s">
        <v>50</v>
      </c>
      <c r="L807" t="s">
        <v>51</v>
      </c>
      <c r="M807">
        <v>74496</v>
      </c>
      <c r="N807">
        <v>0.13</v>
      </c>
      <c r="O807">
        <v>11703</v>
      </c>
      <c r="P807">
        <v>9</v>
      </c>
      <c r="Q807" t="s">
        <v>56</v>
      </c>
      <c r="R807" t="s">
        <v>60</v>
      </c>
    </row>
    <row r="808" spans="1:18">
      <c r="A808">
        <v>10807</v>
      </c>
      <c r="B808" s="2">
        <v>45003</v>
      </c>
      <c r="C808" s="2">
        <v>45005</v>
      </c>
      <c r="D808" s="2">
        <v>45009</v>
      </c>
      <c r="E808" t="s">
        <v>19</v>
      </c>
      <c r="F808" t="s">
        <v>22</v>
      </c>
      <c r="G808" t="s">
        <v>28</v>
      </c>
      <c r="H808" t="s">
        <v>31</v>
      </c>
      <c r="I808" t="s">
        <v>34</v>
      </c>
      <c r="J808" t="s">
        <v>42</v>
      </c>
      <c r="K808" t="s">
        <v>50</v>
      </c>
      <c r="L808" t="s">
        <v>53</v>
      </c>
      <c r="M808">
        <v>18524</v>
      </c>
      <c r="N808">
        <v>0.28000000000000003</v>
      </c>
      <c r="O808">
        <v>13040</v>
      </c>
      <c r="P808">
        <v>8</v>
      </c>
      <c r="Q808" t="s">
        <v>57</v>
      </c>
      <c r="R808" t="s">
        <v>60</v>
      </c>
    </row>
    <row r="809" spans="1:18">
      <c r="A809">
        <v>10808</v>
      </c>
      <c r="B809" s="2">
        <v>45004</v>
      </c>
      <c r="C809" s="2">
        <v>45006</v>
      </c>
      <c r="D809" s="2">
        <v>45010</v>
      </c>
      <c r="E809" t="s">
        <v>20</v>
      </c>
      <c r="F809" t="s">
        <v>22</v>
      </c>
      <c r="G809" t="s">
        <v>28</v>
      </c>
      <c r="H809" t="s">
        <v>30</v>
      </c>
      <c r="I809" t="s">
        <v>36</v>
      </c>
      <c r="J809" t="s">
        <v>38</v>
      </c>
      <c r="K809" t="s">
        <v>46</v>
      </c>
      <c r="L809" t="s">
        <v>51</v>
      </c>
      <c r="M809">
        <v>15041</v>
      </c>
      <c r="N809">
        <v>0.1</v>
      </c>
      <c r="O809">
        <v>16475</v>
      </c>
      <c r="P809">
        <v>16</v>
      </c>
      <c r="Q809" t="s">
        <v>55</v>
      </c>
      <c r="R809" t="s">
        <v>59</v>
      </c>
    </row>
    <row r="810" spans="1:18">
      <c r="A810">
        <v>10809</v>
      </c>
      <c r="B810" s="2">
        <v>45005</v>
      </c>
      <c r="C810" s="2">
        <v>45007</v>
      </c>
      <c r="D810" s="2">
        <v>45011</v>
      </c>
      <c r="E810" t="s">
        <v>19</v>
      </c>
      <c r="F810" t="s">
        <v>22</v>
      </c>
      <c r="G810" t="s">
        <v>24</v>
      </c>
      <c r="H810" t="s">
        <v>32</v>
      </c>
      <c r="I810" t="s">
        <v>35</v>
      </c>
      <c r="J810" t="s">
        <v>43</v>
      </c>
      <c r="K810" t="s">
        <v>50</v>
      </c>
      <c r="L810" t="s">
        <v>52</v>
      </c>
      <c r="M810">
        <v>54826</v>
      </c>
      <c r="N810">
        <v>0.3</v>
      </c>
      <c r="O810">
        <v>12185</v>
      </c>
      <c r="P810">
        <v>11</v>
      </c>
      <c r="Q810" t="s">
        <v>58</v>
      </c>
      <c r="R810" t="s">
        <v>60</v>
      </c>
    </row>
    <row r="811" spans="1:18">
      <c r="A811">
        <v>10810</v>
      </c>
      <c r="B811" s="2">
        <v>45006</v>
      </c>
      <c r="C811" s="2">
        <v>45008</v>
      </c>
      <c r="D811" s="2">
        <v>45012</v>
      </c>
      <c r="E811" t="s">
        <v>19</v>
      </c>
      <c r="F811" t="s">
        <v>22</v>
      </c>
      <c r="G811" t="s">
        <v>27</v>
      </c>
      <c r="H811" t="s">
        <v>33</v>
      </c>
      <c r="I811" t="s">
        <v>36</v>
      </c>
      <c r="J811" t="s">
        <v>43</v>
      </c>
      <c r="K811" t="s">
        <v>44</v>
      </c>
      <c r="L811" t="s">
        <v>51</v>
      </c>
      <c r="M811">
        <v>74391</v>
      </c>
      <c r="N811">
        <v>0.09</v>
      </c>
      <c r="O811">
        <v>11681</v>
      </c>
      <c r="P811">
        <v>11</v>
      </c>
      <c r="Q811" t="s">
        <v>54</v>
      </c>
      <c r="R811" t="s">
        <v>62</v>
      </c>
    </row>
    <row r="812" spans="1:18">
      <c r="A812">
        <v>10811</v>
      </c>
      <c r="B812" s="2">
        <v>45007</v>
      </c>
      <c r="C812" s="2">
        <v>45009</v>
      </c>
      <c r="D812" s="2">
        <v>45013</v>
      </c>
      <c r="E812" t="s">
        <v>18</v>
      </c>
      <c r="F812" t="s">
        <v>22</v>
      </c>
      <c r="G812" t="s">
        <v>27</v>
      </c>
      <c r="H812" t="s">
        <v>30</v>
      </c>
      <c r="I812" t="s">
        <v>34</v>
      </c>
      <c r="J812" t="s">
        <v>43</v>
      </c>
      <c r="K812" t="s">
        <v>50</v>
      </c>
      <c r="L812" t="s">
        <v>52</v>
      </c>
      <c r="M812">
        <v>56555</v>
      </c>
      <c r="N812">
        <v>0.26</v>
      </c>
      <c r="O812">
        <v>13442</v>
      </c>
      <c r="P812">
        <v>10</v>
      </c>
      <c r="Q812" t="s">
        <v>54</v>
      </c>
      <c r="R812" t="s">
        <v>62</v>
      </c>
    </row>
    <row r="813" spans="1:18">
      <c r="A813">
        <v>10812</v>
      </c>
      <c r="B813" s="2">
        <v>45008</v>
      </c>
      <c r="C813" s="2">
        <v>45010</v>
      </c>
      <c r="D813" s="2">
        <v>45014</v>
      </c>
      <c r="E813" t="s">
        <v>21</v>
      </c>
      <c r="F813" t="s">
        <v>22</v>
      </c>
      <c r="G813" t="s">
        <v>23</v>
      </c>
      <c r="H813" t="s">
        <v>29</v>
      </c>
      <c r="I813" t="s">
        <v>35</v>
      </c>
      <c r="J813" t="s">
        <v>38</v>
      </c>
      <c r="K813" t="s">
        <v>49</v>
      </c>
      <c r="L813" t="s">
        <v>51</v>
      </c>
      <c r="M813">
        <v>14578</v>
      </c>
      <c r="N813">
        <v>0.28999999999999998</v>
      </c>
      <c r="O813">
        <v>-1726</v>
      </c>
      <c r="P813">
        <v>17</v>
      </c>
      <c r="Q813" t="s">
        <v>58</v>
      </c>
      <c r="R813" t="s">
        <v>60</v>
      </c>
    </row>
    <row r="814" spans="1:18">
      <c r="A814">
        <v>10813</v>
      </c>
      <c r="B814" s="2">
        <v>45009</v>
      </c>
      <c r="C814" s="2">
        <v>45011</v>
      </c>
      <c r="D814" s="2">
        <v>45015</v>
      </c>
      <c r="E814" t="s">
        <v>19</v>
      </c>
      <c r="F814" t="s">
        <v>22</v>
      </c>
      <c r="G814" t="s">
        <v>25</v>
      </c>
      <c r="H814" t="s">
        <v>30</v>
      </c>
      <c r="I814" t="s">
        <v>35</v>
      </c>
      <c r="J814" t="s">
        <v>40</v>
      </c>
      <c r="K814" t="s">
        <v>50</v>
      </c>
      <c r="L814" t="s">
        <v>51</v>
      </c>
      <c r="M814">
        <v>3283</v>
      </c>
      <c r="N814">
        <v>0.28999999999999998</v>
      </c>
      <c r="O814">
        <v>5978</v>
      </c>
      <c r="P814">
        <v>2</v>
      </c>
      <c r="Q814" t="s">
        <v>55</v>
      </c>
      <c r="R814" t="s">
        <v>61</v>
      </c>
    </row>
    <row r="815" spans="1:18">
      <c r="A815">
        <v>10814</v>
      </c>
      <c r="B815" s="2">
        <v>45010</v>
      </c>
      <c r="C815" s="2">
        <v>45012</v>
      </c>
      <c r="D815" s="2">
        <v>45016</v>
      </c>
      <c r="E815" t="s">
        <v>21</v>
      </c>
      <c r="F815" t="s">
        <v>22</v>
      </c>
      <c r="G815" t="s">
        <v>27</v>
      </c>
      <c r="H815" t="s">
        <v>32</v>
      </c>
      <c r="I815" t="s">
        <v>35</v>
      </c>
      <c r="J815" t="s">
        <v>38</v>
      </c>
      <c r="K815" t="s">
        <v>44</v>
      </c>
      <c r="L815" t="s">
        <v>52</v>
      </c>
      <c r="M815">
        <v>8715</v>
      </c>
      <c r="N815">
        <v>0</v>
      </c>
      <c r="O815">
        <v>2076</v>
      </c>
      <c r="P815">
        <v>16</v>
      </c>
      <c r="Q815" t="s">
        <v>54</v>
      </c>
      <c r="R815" t="s">
        <v>61</v>
      </c>
    </row>
    <row r="816" spans="1:18">
      <c r="A816">
        <v>10815</v>
      </c>
      <c r="B816" s="2">
        <v>45011</v>
      </c>
      <c r="C816" s="2">
        <v>45013</v>
      </c>
      <c r="D816" s="2">
        <v>45017</v>
      </c>
      <c r="E816" t="s">
        <v>18</v>
      </c>
      <c r="F816" t="s">
        <v>22</v>
      </c>
      <c r="G816" t="s">
        <v>25</v>
      </c>
      <c r="H816" t="s">
        <v>33</v>
      </c>
      <c r="I816" t="s">
        <v>35</v>
      </c>
      <c r="J816" t="s">
        <v>43</v>
      </c>
      <c r="K816" t="s">
        <v>45</v>
      </c>
      <c r="L816" t="s">
        <v>53</v>
      </c>
      <c r="M816">
        <v>25768</v>
      </c>
      <c r="N816">
        <v>0.26</v>
      </c>
      <c r="O816">
        <v>8506</v>
      </c>
      <c r="P816">
        <v>20</v>
      </c>
      <c r="Q816" t="s">
        <v>54</v>
      </c>
      <c r="R816" t="s">
        <v>62</v>
      </c>
    </row>
    <row r="817" spans="1:18">
      <c r="A817">
        <v>10816</v>
      </c>
      <c r="B817" s="2">
        <v>45012</v>
      </c>
      <c r="C817" s="2">
        <v>45014</v>
      </c>
      <c r="D817" s="2">
        <v>45018</v>
      </c>
      <c r="E817" t="s">
        <v>18</v>
      </c>
      <c r="F817" t="s">
        <v>22</v>
      </c>
      <c r="G817" t="s">
        <v>28</v>
      </c>
      <c r="H817" t="s">
        <v>31</v>
      </c>
      <c r="I817" t="s">
        <v>35</v>
      </c>
      <c r="J817" t="s">
        <v>40</v>
      </c>
      <c r="K817" t="s">
        <v>44</v>
      </c>
      <c r="L817" t="s">
        <v>51</v>
      </c>
      <c r="M817">
        <v>6060</v>
      </c>
      <c r="N817">
        <v>0.06</v>
      </c>
      <c r="O817">
        <v>17364</v>
      </c>
      <c r="P817">
        <v>20</v>
      </c>
      <c r="Q817" t="s">
        <v>58</v>
      </c>
      <c r="R817" t="s">
        <v>62</v>
      </c>
    </row>
    <row r="818" spans="1:18">
      <c r="A818">
        <v>10817</v>
      </c>
      <c r="B818" s="2">
        <v>45013</v>
      </c>
      <c r="C818" s="2">
        <v>45015</v>
      </c>
      <c r="D818" s="2">
        <v>45019</v>
      </c>
      <c r="E818" t="s">
        <v>20</v>
      </c>
      <c r="F818" t="s">
        <v>22</v>
      </c>
      <c r="G818" t="s">
        <v>28</v>
      </c>
      <c r="H818" t="s">
        <v>29</v>
      </c>
      <c r="I818" t="s">
        <v>34</v>
      </c>
      <c r="J818" t="s">
        <v>41</v>
      </c>
      <c r="K818" t="s">
        <v>50</v>
      </c>
      <c r="L818" t="s">
        <v>53</v>
      </c>
      <c r="M818">
        <v>26493</v>
      </c>
      <c r="N818">
        <v>0.13</v>
      </c>
      <c r="O818">
        <v>8426</v>
      </c>
      <c r="P818">
        <v>9</v>
      </c>
      <c r="Q818" t="s">
        <v>55</v>
      </c>
      <c r="R818" t="s">
        <v>59</v>
      </c>
    </row>
    <row r="819" spans="1:18">
      <c r="A819">
        <v>10818</v>
      </c>
      <c r="B819" s="2">
        <v>45014</v>
      </c>
      <c r="C819" s="2">
        <v>45016</v>
      </c>
      <c r="D819" s="2">
        <v>45020</v>
      </c>
      <c r="E819" t="s">
        <v>19</v>
      </c>
      <c r="F819" t="s">
        <v>22</v>
      </c>
      <c r="G819" t="s">
        <v>28</v>
      </c>
      <c r="H819" t="s">
        <v>33</v>
      </c>
      <c r="I819" t="s">
        <v>36</v>
      </c>
      <c r="J819" t="s">
        <v>38</v>
      </c>
      <c r="K819" t="s">
        <v>49</v>
      </c>
      <c r="L819" t="s">
        <v>51</v>
      </c>
      <c r="M819">
        <v>8963</v>
      </c>
      <c r="N819">
        <v>0.23</v>
      </c>
      <c r="O819">
        <v>16902</v>
      </c>
      <c r="P819">
        <v>2</v>
      </c>
      <c r="Q819" t="s">
        <v>57</v>
      </c>
      <c r="R819" t="s">
        <v>60</v>
      </c>
    </row>
    <row r="820" spans="1:18">
      <c r="A820">
        <v>10819</v>
      </c>
      <c r="B820" s="2">
        <v>45015</v>
      </c>
      <c r="C820" s="2">
        <v>45017</v>
      </c>
      <c r="D820" s="2">
        <v>45021</v>
      </c>
      <c r="E820" t="s">
        <v>18</v>
      </c>
      <c r="F820" t="s">
        <v>22</v>
      </c>
      <c r="G820" t="s">
        <v>26</v>
      </c>
      <c r="H820" t="s">
        <v>32</v>
      </c>
      <c r="I820" t="s">
        <v>36</v>
      </c>
      <c r="J820" t="s">
        <v>41</v>
      </c>
      <c r="K820" t="s">
        <v>46</v>
      </c>
      <c r="L820" t="s">
        <v>52</v>
      </c>
      <c r="M820">
        <v>74206</v>
      </c>
      <c r="N820">
        <v>0.17</v>
      </c>
      <c r="O820">
        <v>-1040</v>
      </c>
      <c r="P820">
        <v>21</v>
      </c>
      <c r="Q820" t="s">
        <v>55</v>
      </c>
      <c r="R820" t="s">
        <v>62</v>
      </c>
    </row>
    <row r="821" spans="1:18">
      <c r="A821">
        <v>10820</v>
      </c>
      <c r="B821" s="2">
        <v>45016</v>
      </c>
      <c r="C821" s="2">
        <v>45018</v>
      </c>
      <c r="D821" s="2">
        <v>45022</v>
      </c>
      <c r="E821" t="s">
        <v>21</v>
      </c>
      <c r="F821" t="s">
        <v>22</v>
      </c>
      <c r="G821" t="s">
        <v>23</v>
      </c>
      <c r="H821" t="s">
        <v>31</v>
      </c>
      <c r="I821" t="s">
        <v>35</v>
      </c>
      <c r="J821" t="s">
        <v>42</v>
      </c>
      <c r="K821" t="s">
        <v>46</v>
      </c>
      <c r="L821" t="s">
        <v>51</v>
      </c>
      <c r="M821">
        <v>6996</v>
      </c>
      <c r="N821">
        <v>0.35</v>
      </c>
      <c r="O821">
        <v>4386</v>
      </c>
      <c r="P821">
        <v>15</v>
      </c>
      <c r="Q821" t="s">
        <v>56</v>
      </c>
      <c r="R821" t="s">
        <v>60</v>
      </c>
    </row>
    <row r="822" spans="1:18">
      <c r="A822">
        <v>10821</v>
      </c>
      <c r="B822" s="2">
        <v>45017</v>
      </c>
      <c r="C822" s="2">
        <v>45019</v>
      </c>
      <c r="D822" s="2">
        <v>45023</v>
      </c>
      <c r="E822" t="s">
        <v>19</v>
      </c>
      <c r="F822" t="s">
        <v>22</v>
      </c>
      <c r="G822" t="s">
        <v>27</v>
      </c>
      <c r="H822" t="s">
        <v>33</v>
      </c>
      <c r="I822" t="s">
        <v>34</v>
      </c>
      <c r="J822" t="s">
        <v>43</v>
      </c>
      <c r="K822" t="s">
        <v>50</v>
      </c>
      <c r="L822" t="s">
        <v>51</v>
      </c>
      <c r="M822">
        <v>37092</v>
      </c>
      <c r="N822">
        <v>0.03</v>
      </c>
      <c r="O822">
        <v>19134</v>
      </c>
      <c r="P822">
        <v>7</v>
      </c>
      <c r="Q822" t="s">
        <v>54</v>
      </c>
      <c r="R822" t="s">
        <v>60</v>
      </c>
    </row>
    <row r="823" spans="1:18">
      <c r="A823">
        <v>10822</v>
      </c>
      <c r="B823" s="2">
        <v>45018</v>
      </c>
      <c r="C823" s="2">
        <v>45020</v>
      </c>
      <c r="D823" s="2">
        <v>45024</v>
      </c>
      <c r="E823" t="s">
        <v>18</v>
      </c>
      <c r="F823" t="s">
        <v>22</v>
      </c>
      <c r="G823" t="s">
        <v>23</v>
      </c>
      <c r="H823" t="s">
        <v>30</v>
      </c>
      <c r="I823" t="s">
        <v>36</v>
      </c>
      <c r="J823" t="s">
        <v>43</v>
      </c>
      <c r="K823" t="s">
        <v>47</v>
      </c>
      <c r="L823" t="s">
        <v>53</v>
      </c>
      <c r="M823">
        <v>73041</v>
      </c>
      <c r="N823">
        <v>0.14000000000000001</v>
      </c>
      <c r="O823">
        <v>211</v>
      </c>
      <c r="P823">
        <v>5</v>
      </c>
      <c r="Q823" t="s">
        <v>58</v>
      </c>
      <c r="R823" t="s">
        <v>62</v>
      </c>
    </row>
    <row r="824" spans="1:18">
      <c r="A824">
        <v>10823</v>
      </c>
      <c r="B824" s="2">
        <v>45019</v>
      </c>
      <c r="C824" s="2">
        <v>45021</v>
      </c>
      <c r="D824" s="2">
        <v>45025</v>
      </c>
      <c r="E824" t="s">
        <v>21</v>
      </c>
      <c r="F824" t="s">
        <v>22</v>
      </c>
      <c r="G824" t="s">
        <v>27</v>
      </c>
      <c r="H824" t="s">
        <v>30</v>
      </c>
      <c r="I824" t="s">
        <v>35</v>
      </c>
      <c r="J824" t="s">
        <v>40</v>
      </c>
      <c r="K824" t="s">
        <v>45</v>
      </c>
      <c r="L824" t="s">
        <v>51</v>
      </c>
      <c r="M824">
        <v>74828</v>
      </c>
      <c r="N824">
        <v>0.19</v>
      </c>
      <c r="O824">
        <v>10657</v>
      </c>
      <c r="P824">
        <v>1</v>
      </c>
      <c r="Q824" t="s">
        <v>56</v>
      </c>
      <c r="R824" t="s">
        <v>61</v>
      </c>
    </row>
    <row r="825" spans="1:18">
      <c r="A825">
        <v>10824</v>
      </c>
      <c r="B825" s="2">
        <v>45020</v>
      </c>
      <c r="C825" s="2">
        <v>45022</v>
      </c>
      <c r="D825" s="2">
        <v>45026</v>
      </c>
      <c r="E825" t="s">
        <v>18</v>
      </c>
      <c r="F825" t="s">
        <v>22</v>
      </c>
      <c r="G825" t="s">
        <v>26</v>
      </c>
      <c r="H825" t="s">
        <v>32</v>
      </c>
      <c r="I825" t="s">
        <v>36</v>
      </c>
      <c r="J825" t="s">
        <v>39</v>
      </c>
      <c r="K825" t="s">
        <v>45</v>
      </c>
      <c r="L825" t="s">
        <v>51</v>
      </c>
      <c r="M825">
        <v>55993</v>
      </c>
      <c r="N825">
        <v>0.12</v>
      </c>
      <c r="O825">
        <v>9645</v>
      </c>
      <c r="P825">
        <v>3</v>
      </c>
      <c r="Q825" t="s">
        <v>55</v>
      </c>
      <c r="R825" t="s">
        <v>62</v>
      </c>
    </row>
    <row r="826" spans="1:18">
      <c r="A826">
        <v>10825</v>
      </c>
      <c r="B826" s="2">
        <v>45021</v>
      </c>
      <c r="C826" s="2">
        <v>45023</v>
      </c>
      <c r="D826" s="2">
        <v>45027</v>
      </c>
      <c r="E826" t="s">
        <v>21</v>
      </c>
      <c r="F826" t="s">
        <v>22</v>
      </c>
      <c r="G826" t="s">
        <v>26</v>
      </c>
      <c r="H826" t="s">
        <v>33</v>
      </c>
      <c r="I826" t="s">
        <v>35</v>
      </c>
      <c r="J826" t="s">
        <v>39</v>
      </c>
      <c r="K826" t="s">
        <v>49</v>
      </c>
      <c r="L826" t="s">
        <v>51</v>
      </c>
      <c r="M826">
        <v>68537</v>
      </c>
      <c r="N826">
        <v>0.37</v>
      </c>
      <c r="O826">
        <v>11790</v>
      </c>
      <c r="P826">
        <v>14</v>
      </c>
      <c r="Q826" t="s">
        <v>56</v>
      </c>
      <c r="R826" t="s">
        <v>60</v>
      </c>
    </row>
    <row r="827" spans="1:18">
      <c r="A827">
        <v>10826</v>
      </c>
      <c r="B827" s="2">
        <v>45022</v>
      </c>
      <c r="C827" s="2">
        <v>45024</v>
      </c>
      <c r="D827" s="2">
        <v>45028</v>
      </c>
      <c r="E827" t="s">
        <v>19</v>
      </c>
      <c r="F827" t="s">
        <v>22</v>
      </c>
      <c r="G827" t="s">
        <v>26</v>
      </c>
      <c r="H827" t="s">
        <v>25</v>
      </c>
      <c r="I827" t="s">
        <v>34</v>
      </c>
      <c r="J827" t="s">
        <v>38</v>
      </c>
      <c r="K827" t="s">
        <v>46</v>
      </c>
      <c r="L827" t="s">
        <v>52</v>
      </c>
      <c r="M827">
        <v>4498</v>
      </c>
      <c r="N827">
        <v>0.12</v>
      </c>
      <c r="O827">
        <v>-1281</v>
      </c>
      <c r="P827">
        <v>16</v>
      </c>
      <c r="Q827" t="s">
        <v>56</v>
      </c>
      <c r="R827" t="s">
        <v>60</v>
      </c>
    </row>
    <row r="828" spans="1:18">
      <c r="A828">
        <v>10827</v>
      </c>
      <c r="B828" s="2">
        <v>45023</v>
      </c>
      <c r="C828" s="2">
        <v>45025</v>
      </c>
      <c r="D828" s="2">
        <v>45029</v>
      </c>
      <c r="E828" t="s">
        <v>18</v>
      </c>
      <c r="F828" t="s">
        <v>22</v>
      </c>
      <c r="G828" t="s">
        <v>24</v>
      </c>
      <c r="H828" t="s">
        <v>32</v>
      </c>
      <c r="I828" t="s">
        <v>36</v>
      </c>
      <c r="J828" t="s">
        <v>37</v>
      </c>
      <c r="K828" t="s">
        <v>48</v>
      </c>
      <c r="L828" t="s">
        <v>52</v>
      </c>
      <c r="M828">
        <v>22543</v>
      </c>
      <c r="N828">
        <v>0.37</v>
      </c>
      <c r="O828">
        <v>16060</v>
      </c>
      <c r="P828">
        <v>7</v>
      </c>
      <c r="Q828" t="s">
        <v>58</v>
      </c>
      <c r="R828" t="s">
        <v>60</v>
      </c>
    </row>
    <row r="829" spans="1:18">
      <c r="A829">
        <v>10828</v>
      </c>
      <c r="B829" s="2">
        <v>45024</v>
      </c>
      <c r="C829" s="2">
        <v>45026</v>
      </c>
      <c r="D829" s="2">
        <v>45030</v>
      </c>
      <c r="E829" t="s">
        <v>19</v>
      </c>
      <c r="F829" t="s">
        <v>22</v>
      </c>
      <c r="G829" t="s">
        <v>25</v>
      </c>
      <c r="H829" t="s">
        <v>31</v>
      </c>
      <c r="I829" t="s">
        <v>36</v>
      </c>
      <c r="J829" t="s">
        <v>37</v>
      </c>
      <c r="K829" t="s">
        <v>47</v>
      </c>
      <c r="L829" t="s">
        <v>53</v>
      </c>
      <c r="M829">
        <v>7582</v>
      </c>
      <c r="N829">
        <v>0.12</v>
      </c>
      <c r="O829">
        <v>10511</v>
      </c>
      <c r="P829">
        <v>15</v>
      </c>
      <c r="Q829" t="s">
        <v>55</v>
      </c>
      <c r="R829" t="s">
        <v>59</v>
      </c>
    </row>
    <row r="830" spans="1:18">
      <c r="A830">
        <v>10829</v>
      </c>
      <c r="B830" s="2">
        <v>45025</v>
      </c>
      <c r="C830" s="2">
        <v>45027</v>
      </c>
      <c r="D830" s="2">
        <v>45031</v>
      </c>
      <c r="E830" t="s">
        <v>21</v>
      </c>
      <c r="F830" t="s">
        <v>22</v>
      </c>
      <c r="G830" t="s">
        <v>24</v>
      </c>
      <c r="H830" t="s">
        <v>31</v>
      </c>
      <c r="I830" t="s">
        <v>35</v>
      </c>
      <c r="J830" t="s">
        <v>42</v>
      </c>
      <c r="K830" t="s">
        <v>49</v>
      </c>
      <c r="L830" t="s">
        <v>52</v>
      </c>
      <c r="M830">
        <v>17671</v>
      </c>
      <c r="N830">
        <v>0.12</v>
      </c>
      <c r="O830">
        <v>3177</v>
      </c>
      <c r="P830">
        <v>4</v>
      </c>
      <c r="Q830" t="s">
        <v>57</v>
      </c>
      <c r="R830" t="s">
        <v>59</v>
      </c>
    </row>
    <row r="831" spans="1:18">
      <c r="A831">
        <v>10830</v>
      </c>
      <c r="B831" s="2">
        <v>45026</v>
      </c>
      <c r="C831" s="2">
        <v>45028</v>
      </c>
      <c r="D831" s="2">
        <v>45032</v>
      </c>
      <c r="E831" t="s">
        <v>21</v>
      </c>
      <c r="F831" t="s">
        <v>22</v>
      </c>
      <c r="G831" t="s">
        <v>26</v>
      </c>
      <c r="H831" t="s">
        <v>33</v>
      </c>
      <c r="I831" t="s">
        <v>35</v>
      </c>
      <c r="J831" t="s">
        <v>41</v>
      </c>
      <c r="K831" t="s">
        <v>49</v>
      </c>
      <c r="L831" t="s">
        <v>52</v>
      </c>
      <c r="M831">
        <v>49918</v>
      </c>
      <c r="N831">
        <v>0.38</v>
      </c>
      <c r="O831">
        <v>12424</v>
      </c>
      <c r="P831">
        <v>15</v>
      </c>
      <c r="Q831" t="s">
        <v>55</v>
      </c>
      <c r="R831" t="s">
        <v>59</v>
      </c>
    </row>
    <row r="832" spans="1:18">
      <c r="A832">
        <v>10831</v>
      </c>
      <c r="B832" s="2">
        <v>45027</v>
      </c>
      <c r="C832" s="2">
        <v>45029</v>
      </c>
      <c r="D832" s="2">
        <v>45033</v>
      </c>
      <c r="E832" t="s">
        <v>21</v>
      </c>
      <c r="F832" t="s">
        <v>22</v>
      </c>
      <c r="G832" t="s">
        <v>27</v>
      </c>
      <c r="H832" t="s">
        <v>25</v>
      </c>
      <c r="I832" t="s">
        <v>34</v>
      </c>
      <c r="J832" t="s">
        <v>41</v>
      </c>
      <c r="K832" t="s">
        <v>48</v>
      </c>
      <c r="L832" t="s">
        <v>53</v>
      </c>
      <c r="M832">
        <v>23139</v>
      </c>
      <c r="N832">
        <v>0.37</v>
      </c>
      <c r="O832">
        <v>5965</v>
      </c>
      <c r="P832">
        <v>2</v>
      </c>
      <c r="Q832" t="s">
        <v>54</v>
      </c>
      <c r="R832" t="s">
        <v>60</v>
      </c>
    </row>
    <row r="833" spans="1:18">
      <c r="A833">
        <v>10832</v>
      </c>
      <c r="B833" s="2">
        <v>45028</v>
      </c>
      <c r="C833" s="2">
        <v>45030</v>
      </c>
      <c r="D833" s="2">
        <v>45034</v>
      </c>
      <c r="E833" t="s">
        <v>18</v>
      </c>
      <c r="F833" t="s">
        <v>22</v>
      </c>
      <c r="G833" t="s">
        <v>26</v>
      </c>
      <c r="H833" t="s">
        <v>32</v>
      </c>
      <c r="I833" t="s">
        <v>35</v>
      </c>
      <c r="J833" t="s">
        <v>39</v>
      </c>
      <c r="K833" t="s">
        <v>49</v>
      </c>
      <c r="L833" t="s">
        <v>51</v>
      </c>
      <c r="M833">
        <v>33749</v>
      </c>
      <c r="N833">
        <v>0.15</v>
      </c>
      <c r="O833">
        <v>3294</v>
      </c>
      <c r="P833">
        <v>11</v>
      </c>
      <c r="Q833" t="s">
        <v>54</v>
      </c>
      <c r="R833" t="s">
        <v>62</v>
      </c>
    </row>
    <row r="834" spans="1:18">
      <c r="A834">
        <v>10833</v>
      </c>
      <c r="B834" s="2">
        <v>45029</v>
      </c>
      <c r="C834" s="2">
        <v>45031</v>
      </c>
      <c r="D834" s="2">
        <v>45035</v>
      </c>
      <c r="E834" t="s">
        <v>20</v>
      </c>
      <c r="F834" t="s">
        <v>22</v>
      </c>
      <c r="G834" t="s">
        <v>25</v>
      </c>
      <c r="H834" t="s">
        <v>32</v>
      </c>
      <c r="I834" t="s">
        <v>36</v>
      </c>
      <c r="J834" t="s">
        <v>41</v>
      </c>
      <c r="K834" t="s">
        <v>49</v>
      </c>
      <c r="L834" t="s">
        <v>52</v>
      </c>
      <c r="M834">
        <v>59306</v>
      </c>
      <c r="N834">
        <v>0.09</v>
      </c>
      <c r="O834">
        <v>18877</v>
      </c>
      <c r="P834">
        <v>20</v>
      </c>
      <c r="Q834" t="s">
        <v>56</v>
      </c>
      <c r="R834" t="s">
        <v>61</v>
      </c>
    </row>
    <row r="835" spans="1:18">
      <c r="A835">
        <v>10834</v>
      </c>
      <c r="B835" s="2">
        <v>45030</v>
      </c>
      <c r="C835" s="2">
        <v>45032</v>
      </c>
      <c r="D835" s="2">
        <v>45036</v>
      </c>
      <c r="E835" t="s">
        <v>21</v>
      </c>
      <c r="F835" t="s">
        <v>22</v>
      </c>
      <c r="G835" t="s">
        <v>24</v>
      </c>
      <c r="H835" t="s">
        <v>30</v>
      </c>
      <c r="I835" t="s">
        <v>36</v>
      </c>
      <c r="J835" t="s">
        <v>40</v>
      </c>
      <c r="K835" t="s">
        <v>45</v>
      </c>
      <c r="L835" t="s">
        <v>52</v>
      </c>
      <c r="M835">
        <v>73030</v>
      </c>
      <c r="N835">
        <v>0.15</v>
      </c>
      <c r="O835">
        <v>-316</v>
      </c>
      <c r="P835">
        <v>18</v>
      </c>
      <c r="Q835" t="s">
        <v>58</v>
      </c>
      <c r="R835" t="s">
        <v>61</v>
      </c>
    </row>
    <row r="836" spans="1:18">
      <c r="A836">
        <v>10835</v>
      </c>
      <c r="B836" s="2">
        <v>45031</v>
      </c>
      <c r="C836" s="2">
        <v>45033</v>
      </c>
      <c r="D836" s="2">
        <v>45037</v>
      </c>
      <c r="E836" t="s">
        <v>18</v>
      </c>
      <c r="F836" t="s">
        <v>22</v>
      </c>
      <c r="G836" t="s">
        <v>25</v>
      </c>
      <c r="H836" t="s">
        <v>32</v>
      </c>
      <c r="I836" t="s">
        <v>35</v>
      </c>
      <c r="J836" t="s">
        <v>43</v>
      </c>
      <c r="K836" t="s">
        <v>46</v>
      </c>
      <c r="L836" t="s">
        <v>51</v>
      </c>
      <c r="M836">
        <v>2425</v>
      </c>
      <c r="N836">
        <v>0.16</v>
      </c>
      <c r="O836">
        <v>7528</v>
      </c>
      <c r="P836">
        <v>12</v>
      </c>
      <c r="Q836" t="s">
        <v>58</v>
      </c>
      <c r="R836" t="s">
        <v>61</v>
      </c>
    </row>
    <row r="837" spans="1:18">
      <c r="A837">
        <v>10836</v>
      </c>
      <c r="B837" s="2">
        <v>45032</v>
      </c>
      <c r="C837" s="2">
        <v>45034</v>
      </c>
      <c r="D837" s="2">
        <v>45038</v>
      </c>
      <c r="E837" t="s">
        <v>21</v>
      </c>
      <c r="F837" t="s">
        <v>22</v>
      </c>
      <c r="G837" t="s">
        <v>26</v>
      </c>
      <c r="H837" t="s">
        <v>32</v>
      </c>
      <c r="I837" t="s">
        <v>35</v>
      </c>
      <c r="J837" t="s">
        <v>39</v>
      </c>
      <c r="K837" t="s">
        <v>50</v>
      </c>
      <c r="L837" t="s">
        <v>53</v>
      </c>
      <c r="M837">
        <v>6109</v>
      </c>
      <c r="N837">
        <v>0.36</v>
      </c>
      <c r="O837">
        <v>589</v>
      </c>
      <c r="P837">
        <v>5</v>
      </c>
      <c r="Q837" t="s">
        <v>58</v>
      </c>
      <c r="R837" t="s">
        <v>62</v>
      </c>
    </row>
    <row r="838" spans="1:18">
      <c r="A838">
        <v>10837</v>
      </c>
      <c r="B838" s="2">
        <v>45033</v>
      </c>
      <c r="C838" s="2">
        <v>45035</v>
      </c>
      <c r="D838" s="2">
        <v>45039</v>
      </c>
      <c r="E838" t="s">
        <v>18</v>
      </c>
      <c r="F838" t="s">
        <v>22</v>
      </c>
      <c r="G838" t="s">
        <v>23</v>
      </c>
      <c r="H838" t="s">
        <v>31</v>
      </c>
      <c r="I838" t="s">
        <v>35</v>
      </c>
      <c r="J838" t="s">
        <v>39</v>
      </c>
      <c r="K838" t="s">
        <v>45</v>
      </c>
      <c r="L838" t="s">
        <v>52</v>
      </c>
      <c r="M838">
        <v>16857</v>
      </c>
      <c r="N838">
        <v>0.2</v>
      </c>
      <c r="O838">
        <v>3571</v>
      </c>
      <c r="P838">
        <v>12</v>
      </c>
      <c r="Q838" t="s">
        <v>58</v>
      </c>
      <c r="R838" t="s">
        <v>59</v>
      </c>
    </row>
    <row r="839" spans="1:18">
      <c r="A839">
        <v>10838</v>
      </c>
      <c r="B839" s="2">
        <v>45034</v>
      </c>
      <c r="C839" s="2">
        <v>45036</v>
      </c>
      <c r="D839" s="2">
        <v>45040</v>
      </c>
      <c r="E839" t="s">
        <v>20</v>
      </c>
      <c r="F839" t="s">
        <v>22</v>
      </c>
      <c r="G839" t="s">
        <v>24</v>
      </c>
      <c r="H839" t="s">
        <v>25</v>
      </c>
      <c r="I839" t="s">
        <v>35</v>
      </c>
      <c r="J839" t="s">
        <v>38</v>
      </c>
      <c r="K839" t="s">
        <v>48</v>
      </c>
      <c r="L839" t="s">
        <v>53</v>
      </c>
      <c r="M839">
        <v>22575</v>
      </c>
      <c r="N839">
        <v>0.14000000000000001</v>
      </c>
      <c r="O839">
        <v>7562</v>
      </c>
      <c r="P839">
        <v>23</v>
      </c>
      <c r="Q839" t="s">
        <v>56</v>
      </c>
      <c r="R839" t="s">
        <v>61</v>
      </c>
    </row>
    <row r="840" spans="1:18">
      <c r="A840">
        <v>10839</v>
      </c>
      <c r="B840" s="2">
        <v>45035</v>
      </c>
      <c r="C840" s="2">
        <v>45037</v>
      </c>
      <c r="D840" s="2">
        <v>45041</v>
      </c>
      <c r="E840" t="s">
        <v>18</v>
      </c>
      <c r="F840" t="s">
        <v>22</v>
      </c>
      <c r="G840" t="s">
        <v>24</v>
      </c>
      <c r="H840" t="s">
        <v>31</v>
      </c>
      <c r="I840" t="s">
        <v>36</v>
      </c>
      <c r="J840" t="s">
        <v>38</v>
      </c>
      <c r="K840" t="s">
        <v>48</v>
      </c>
      <c r="L840" t="s">
        <v>53</v>
      </c>
      <c r="M840">
        <v>35773</v>
      </c>
      <c r="N840">
        <v>0.24</v>
      </c>
      <c r="O840">
        <v>13990</v>
      </c>
      <c r="P840">
        <v>5</v>
      </c>
      <c r="Q840" t="s">
        <v>58</v>
      </c>
      <c r="R840" t="s">
        <v>62</v>
      </c>
    </row>
    <row r="841" spans="1:18">
      <c r="A841">
        <v>10840</v>
      </c>
      <c r="B841" s="2">
        <v>45036</v>
      </c>
      <c r="C841" s="2">
        <v>45038</v>
      </c>
      <c r="D841" s="2">
        <v>45042</v>
      </c>
      <c r="E841" t="s">
        <v>21</v>
      </c>
      <c r="F841" t="s">
        <v>22</v>
      </c>
      <c r="G841" t="s">
        <v>23</v>
      </c>
      <c r="H841" t="s">
        <v>25</v>
      </c>
      <c r="I841" t="s">
        <v>35</v>
      </c>
      <c r="J841" t="s">
        <v>41</v>
      </c>
      <c r="K841" t="s">
        <v>46</v>
      </c>
      <c r="L841" t="s">
        <v>52</v>
      </c>
      <c r="M841">
        <v>35516</v>
      </c>
      <c r="N841">
        <v>0.28999999999999998</v>
      </c>
      <c r="O841">
        <v>-228</v>
      </c>
      <c r="P841">
        <v>3</v>
      </c>
      <c r="Q841" t="s">
        <v>58</v>
      </c>
      <c r="R841" t="s">
        <v>60</v>
      </c>
    </row>
    <row r="842" spans="1:18">
      <c r="A842">
        <v>10841</v>
      </c>
      <c r="B842" s="2">
        <v>45037</v>
      </c>
      <c r="C842" s="2">
        <v>45039</v>
      </c>
      <c r="D842" s="2">
        <v>45043</v>
      </c>
      <c r="E842" t="s">
        <v>20</v>
      </c>
      <c r="F842" t="s">
        <v>22</v>
      </c>
      <c r="G842" t="s">
        <v>26</v>
      </c>
      <c r="H842" t="s">
        <v>29</v>
      </c>
      <c r="I842" t="s">
        <v>36</v>
      </c>
      <c r="J842" t="s">
        <v>43</v>
      </c>
      <c r="K842" t="s">
        <v>44</v>
      </c>
      <c r="L842" t="s">
        <v>51</v>
      </c>
      <c r="M842">
        <v>3074</v>
      </c>
      <c r="N842">
        <v>0.04</v>
      </c>
      <c r="O842">
        <v>3084</v>
      </c>
      <c r="P842">
        <v>7</v>
      </c>
      <c r="Q842" t="s">
        <v>54</v>
      </c>
      <c r="R842" t="s">
        <v>60</v>
      </c>
    </row>
    <row r="843" spans="1:18">
      <c r="A843">
        <v>10842</v>
      </c>
      <c r="B843" s="2">
        <v>45038</v>
      </c>
      <c r="C843" s="2">
        <v>45040</v>
      </c>
      <c r="D843" s="2">
        <v>45044</v>
      </c>
      <c r="E843" t="s">
        <v>19</v>
      </c>
      <c r="F843" t="s">
        <v>22</v>
      </c>
      <c r="G843" t="s">
        <v>24</v>
      </c>
      <c r="H843" t="s">
        <v>32</v>
      </c>
      <c r="I843" t="s">
        <v>36</v>
      </c>
      <c r="J843" t="s">
        <v>40</v>
      </c>
      <c r="K843" t="s">
        <v>48</v>
      </c>
      <c r="L843" t="s">
        <v>52</v>
      </c>
      <c r="M843">
        <v>18692</v>
      </c>
      <c r="N843">
        <v>0.34</v>
      </c>
      <c r="O843">
        <v>9411</v>
      </c>
      <c r="P843">
        <v>20</v>
      </c>
      <c r="Q843" t="s">
        <v>58</v>
      </c>
      <c r="R843" t="s">
        <v>62</v>
      </c>
    </row>
    <row r="844" spans="1:18">
      <c r="A844">
        <v>10843</v>
      </c>
      <c r="B844" s="2">
        <v>45039</v>
      </c>
      <c r="C844" s="2">
        <v>45041</v>
      </c>
      <c r="D844" s="2">
        <v>45045</v>
      </c>
      <c r="E844" t="s">
        <v>19</v>
      </c>
      <c r="F844" t="s">
        <v>22</v>
      </c>
      <c r="G844" t="s">
        <v>24</v>
      </c>
      <c r="H844" t="s">
        <v>33</v>
      </c>
      <c r="I844" t="s">
        <v>34</v>
      </c>
      <c r="J844" t="s">
        <v>37</v>
      </c>
      <c r="K844" t="s">
        <v>50</v>
      </c>
      <c r="L844" t="s">
        <v>52</v>
      </c>
      <c r="M844">
        <v>46814</v>
      </c>
      <c r="N844">
        <v>7.0000000000000007E-2</v>
      </c>
      <c r="O844">
        <v>2116</v>
      </c>
      <c r="P844">
        <v>18</v>
      </c>
      <c r="Q844" t="s">
        <v>56</v>
      </c>
      <c r="R844" t="s">
        <v>62</v>
      </c>
    </row>
    <row r="845" spans="1:18">
      <c r="A845">
        <v>10844</v>
      </c>
      <c r="B845" s="2">
        <v>45040</v>
      </c>
      <c r="C845" s="2">
        <v>45042</v>
      </c>
      <c r="D845" s="2">
        <v>45046</v>
      </c>
      <c r="E845" t="s">
        <v>21</v>
      </c>
      <c r="F845" t="s">
        <v>22</v>
      </c>
      <c r="G845" t="s">
        <v>24</v>
      </c>
      <c r="H845" t="s">
        <v>29</v>
      </c>
      <c r="I845" t="s">
        <v>35</v>
      </c>
      <c r="J845" t="s">
        <v>37</v>
      </c>
      <c r="K845" t="s">
        <v>44</v>
      </c>
      <c r="L845" t="s">
        <v>51</v>
      </c>
      <c r="M845">
        <v>2876</v>
      </c>
      <c r="N845">
        <v>0.2</v>
      </c>
      <c r="O845">
        <v>-780</v>
      </c>
      <c r="P845">
        <v>22</v>
      </c>
      <c r="Q845" t="s">
        <v>56</v>
      </c>
      <c r="R845" t="s">
        <v>61</v>
      </c>
    </row>
    <row r="846" spans="1:18">
      <c r="A846">
        <v>10845</v>
      </c>
      <c r="B846" s="2">
        <v>45041</v>
      </c>
      <c r="C846" s="2">
        <v>45043</v>
      </c>
      <c r="D846" s="2">
        <v>45047</v>
      </c>
      <c r="E846" t="s">
        <v>20</v>
      </c>
      <c r="F846" t="s">
        <v>22</v>
      </c>
      <c r="G846" t="s">
        <v>27</v>
      </c>
      <c r="H846" t="s">
        <v>31</v>
      </c>
      <c r="I846" t="s">
        <v>34</v>
      </c>
      <c r="J846" t="s">
        <v>42</v>
      </c>
      <c r="K846" t="s">
        <v>44</v>
      </c>
      <c r="L846" t="s">
        <v>53</v>
      </c>
      <c r="M846">
        <v>21033</v>
      </c>
      <c r="N846">
        <v>0.37</v>
      </c>
      <c r="O846">
        <v>2455</v>
      </c>
      <c r="P846">
        <v>14</v>
      </c>
      <c r="Q846" t="s">
        <v>56</v>
      </c>
      <c r="R846" t="s">
        <v>60</v>
      </c>
    </row>
    <row r="847" spans="1:18">
      <c r="A847">
        <v>10846</v>
      </c>
      <c r="B847" s="2">
        <v>45042</v>
      </c>
      <c r="C847" s="2">
        <v>45044</v>
      </c>
      <c r="D847" s="2">
        <v>45048</v>
      </c>
      <c r="E847" t="s">
        <v>20</v>
      </c>
      <c r="F847" t="s">
        <v>22</v>
      </c>
      <c r="G847" t="s">
        <v>28</v>
      </c>
      <c r="H847" t="s">
        <v>33</v>
      </c>
      <c r="I847" t="s">
        <v>36</v>
      </c>
      <c r="J847" t="s">
        <v>41</v>
      </c>
      <c r="K847" t="s">
        <v>49</v>
      </c>
      <c r="L847" t="s">
        <v>51</v>
      </c>
      <c r="M847">
        <v>40326</v>
      </c>
      <c r="N847">
        <v>0.05</v>
      </c>
      <c r="O847">
        <v>19037</v>
      </c>
      <c r="P847">
        <v>7</v>
      </c>
      <c r="Q847" t="s">
        <v>56</v>
      </c>
      <c r="R847" t="s">
        <v>59</v>
      </c>
    </row>
    <row r="848" spans="1:18">
      <c r="A848">
        <v>10847</v>
      </c>
      <c r="B848" s="2">
        <v>45043</v>
      </c>
      <c r="C848" s="2">
        <v>45045</v>
      </c>
      <c r="D848" s="2">
        <v>45049</v>
      </c>
      <c r="E848" t="s">
        <v>20</v>
      </c>
      <c r="F848" t="s">
        <v>22</v>
      </c>
      <c r="G848" t="s">
        <v>26</v>
      </c>
      <c r="H848" t="s">
        <v>29</v>
      </c>
      <c r="I848" t="s">
        <v>35</v>
      </c>
      <c r="J848" t="s">
        <v>37</v>
      </c>
      <c r="K848" t="s">
        <v>48</v>
      </c>
      <c r="L848" t="s">
        <v>53</v>
      </c>
      <c r="M848">
        <v>50684</v>
      </c>
      <c r="N848">
        <v>0.23</v>
      </c>
      <c r="O848">
        <v>17410</v>
      </c>
      <c r="P848">
        <v>21</v>
      </c>
      <c r="Q848" t="s">
        <v>54</v>
      </c>
      <c r="R848" t="s">
        <v>61</v>
      </c>
    </row>
    <row r="849" spans="1:18">
      <c r="A849">
        <v>10848</v>
      </c>
      <c r="B849" s="2">
        <v>45044</v>
      </c>
      <c r="C849" s="2">
        <v>45046</v>
      </c>
      <c r="D849" s="2">
        <v>45050</v>
      </c>
      <c r="E849" t="s">
        <v>19</v>
      </c>
      <c r="F849" t="s">
        <v>22</v>
      </c>
      <c r="G849" t="s">
        <v>23</v>
      </c>
      <c r="H849" t="s">
        <v>31</v>
      </c>
      <c r="I849" t="s">
        <v>34</v>
      </c>
      <c r="J849" t="s">
        <v>41</v>
      </c>
      <c r="K849" t="s">
        <v>50</v>
      </c>
      <c r="L849" t="s">
        <v>51</v>
      </c>
      <c r="M849">
        <v>46573</v>
      </c>
      <c r="N849">
        <v>0.38</v>
      </c>
      <c r="O849">
        <v>12697</v>
      </c>
      <c r="P849">
        <v>7</v>
      </c>
      <c r="Q849" t="s">
        <v>56</v>
      </c>
      <c r="R849" t="s">
        <v>61</v>
      </c>
    </row>
    <row r="850" spans="1:18">
      <c r="A850">
        <v>10849</v>
      </c>
      <c r="B850" s="2">
        <v>45045</v>
      </c>
      <c r="C850" s="2">
        <v>45047</v>
      </c>
      <c r="D850" s="2">
        <v>45051</v>
      </c>
      <c r="E850" t="s">
        <v>20</v>
      </c>
      <c r="F850" t="s">
        <v>22</v>
      </c>
      <c r="G850" t="s">
        <v>28</v>
      </c>
      <c r="H850" t="s">
        <v>25</v>
      </c>
      <c r="I850" t="s">
        <v>36</v>
      </c>
      <c r="J850" t="s">
        <v>43</v>
      </c>
      <c r="K850" t="s">
        <v>48</v>
      </c>
      <c r="L850" t="s">
        <v>53</v>
      </c>
      <c r="M850">
        <v>16982</v>
      </c>
      <c r="N850">
        <v>0.16</v>
      </c>
      <c r="O850">
        <v>18498</v>
      </c>
      <c r="P850">
        <v>11</v>
      </c>
      <c r="Q850" t="s">
        <v>57</v>
      </c>
      <c r="R850" t="s">
        <v>59</v>
      </c>
    </row>
    <row r="851" spans="1:18">
      <c r="A851">
        <v>10850</v>
      </c>
      <c r="B851" s="2">
        <v>45046</v>
      </c>
      <c r="C851" s="2">
        <v>45048</v>
      </c>
      <c r="D851" s="2">
        <v>45052</v>
      </c>
      <c r="E851" t="s">
        <v>21</v>
      </c>
      <c r="F851" t="s">
        <v>22</v>
      </c>
      <c r="G851" t="s">
        <v>23</v>
      </c>
      <c r="H851" t="s">
        <v>32</v>
      </c>
      <c r="I851" t="s">
        <v>35</v>
      </c>
      <c r="J851" t="s">
        <v>40</v>
      </c>
      <c r="K851" t="s">
        <v>44</v>
      </c>
      <c r="L851" t="s">
        <v>51</v>
      </c>
      <c r="M851">
        <v>61431</v>
      </c>
      <c r="N851">
        <v>0.3</v>
      </c>
      <c r="O851">
        <v>-1522</v>
      </c>
      <c r="P851">
        <v>24</v>
      </c>
      <c r="Q851" t="s">
        <v>54</v>
      </c>
      <c r="R851" t="s">
        <v>60</v>
      </c>
    </row>
    <row r="852" spans="1:18">
      <c r="A852">
        <v>10851</v>
      </c>
      <c r="B852" s="2">
        <v>45047</v>
      </c>
      <c r="C852" s="2">
        <v>45049</v>
      </c>
      <c r="D852" s="2">
        <v>45053</v>
      </c>
      <c r="E852" t="s">
        <v>20</v>
      </c>
      <c r="F852" t="s">
        <v>22</v>
      </c>
      <c r="G852" t="s">
        <v>23</v>
      </c>
      <c r="H852" t="s">
        <v>29</v>
      </c>
      <c r="I852" t="s">
        <v>35</v>
      </c>
      <c r="J852" t="s">
        <v>41</v>
      </c>
      <c r="K852" t="s">
        <v>48</v>
      </c>
      <c r="L852" t="s">
        <v>53</v>
      </c>
      <c r="M852">
        <v>11231</v>
      </c>
      <c r="N852">
        <v>0.09</v>
      </c>
      <c r="O852">
        <v>6967</v>
      </c>
      <c r="P852">
        <v>18</v>
      </c>
      <c r="Q852" t="s">
        <v>55</v>
      </c>
      <c r="R852" t="s">
        <v>60</v>
      </c>
    </row>
    <row r="853" spans="1:18">
      <c r="A853">
        <v>10852</v>
      </c>
      <c r="B853" s="2">
        <v>45048</v>
      </c>
      <c r="C853" s="2">
        <v>45050</v>
      </c>
      <c r="D853" s="2">
        <v>45054</v>
      </c>
      <c r="E853" t="s">
        <v>20</v>
      </c>
      <c r="F853" t="s">
        <v>22</v>
      </c>
      <c r="G853" t="s">
        <v>26</v>
      </c>
      <c r="H853" t="s">
        <v>31</v>
      </c>
      <c r="I853" t="s">
        <v>35</v>
      </c>
      <c r="J853" t="s">
        <v>43</v>
      </c>
      <c r="K853" t="s">
        <v>50</v>
      </c>
      <c r="L853" t="s">
        <v>52</v>
      </c>
      <c r="M853">
        <v>41059</v>
      </c>
      <c r="N853">
        <v>0.05</v>
      </c>
      <c r="O853">
        <v>17444</v>
      </c>
      <c r="P853">
        <v>22</v>
      </c>
      <c r="Q853" t="s">
        <v>55</v>
      </c>
      <c r="R853" t="s">
        <v>59</v>
      </c>
    </row>
    <row r="854" spans="1:18">
      <c r="A854">
        <v>10853</v>
      </c>
      <c r="B854" s="2">
        <v>45049</v>
      </c>
      <c r="C854" s="2">
        <v>45051</v>
      </c>
      <c r="D854" s="2">
        <v>45055</v>
      </c>
      <c r="E854" t="s">
        <v>18</v>
      </c>
      <c r="F854" t="s">
        <v>22</v>
      </c>
      <c r="G854" t="s">
        <v>27</v>
      </c>
      <c r="H854" t="s">
        <v>29</v>
      </c>
      <c r="I854" t="s">
        <v>34</v>
      </c>
      <c r="J854" t="s">
        <v>37</v>
      </c>
      <c r="K854" t="s">
        <v>48</v>
      </c>
      <c r="L854" t="s">
        <v>53</v>
      </c>
      <c r="M854">
        <v>66376</v>
      </c>
      <c r="N854">
        <v>0.04</v>
      </c>
      <c r="O854">
        <v>14173</v>
      </c>
      <c r="P854">
        <v>19</v>
      </c>
      <c r="Q854" t="s">
        <v>58</v>
      </c>
      <c r="R854" t="s">
        <v>59</v>
      </c>
    </row>
    <row r="855" spans="1:18">
      <c r="A855">
        <v>10854</v>
      </c>
      <c r="B855" s="2">
        <v>45050</v>
      </c>
      <c r="C855" s="2">
        <v>45052</v>
      </c>
      <c r="D855" s="2">
        <v>45056</v>
      </c>
      <c r="E855" t="s">
        <v>21</v>
      </c>
      <c r="F855" t="s">
        <v>22</v>
      </c>
      <c r="G855" t="s">
        <v>24</v>
      </c>
      <c r="H855" t="s">
        <v>33</v>
      </c>
      <c r="I855" t="s">
        <v>36</v>
      </c>
      <c r="J855" t="s">
        <v>37</v>
      </c>
      <c r="K855" t="s">
        <v>49</v>
      </c>
      <c r="L855" t="s">
        <v>52</v>
      </c>
      <c r="M855">
        <v>58702</v>
      </c>
      <c r="N855">
        <v>0.08</v>
      </c>
      <c r="O855">
        <v>3424</v>
      </c>
      <c r="P855">
        <v>20</v>
      </c>
      <c r="Q855" t="s">
        <v>56</v>
      </c>
      <c r="R855" t="s">
        <v>60</v>
      </c>
    </row>
    <row r="856" spans="1:18">
      <c r="A856">
        <v>10855</v>
      </c>
      <c r="B856" s="2">
        <v>45051</v>
      </c>
      <c r="C856" s="2">
        <v>45053</v>
      </c>
      <c r="D856" s="2">
        <v>45057</v>
      </c>
      <c r="E856" t="s">
        <v>20</v>
      </c>
      <c r="F856" t="s">
        <v>22</v>
      </c>
      <c r="G856" t="s">
        <v>23</v>
      </c>
      <c r="H856" t="s">
        <v>25</v>
      </c>
      <c r="I856" t="s">
        <v>36</v>
      </c>
      <c r="J856" t="s">
        <v>40</v>
      </c>
      <c r="K856" t="s">
        <v>47</v>
      </c>
      <c r="L856" t="s">
        <v>53</v>
      </c>
      <c r="M856">
        <v>33994</v>
      </c>
      <c r="N856">
        <v>0.27</v>
      </c>
      <c r="O856">
        <v>12648</v>
      </c>
      <c r="P856">
        <v>12</v>
      </c>
      <c r="Q856" t="s">
        <v>55</v>
      </c>
      <c r="R856" t="s">
        <v>59</v>
      </c>
    </row>
    <row r="857" spans="1:18">
      <c r="A857">
        <v>10856</v>
      </c>
      <c r="B857" s="2">
        <v>45052</v>
      </c>
      <c r="C857" s="2">
        <v>45054</v>
      </c>
      <c r="D857" s="2">
        <v>45058</v>
      </c>
      <c r="E857" t="s">
        <v>21</v>
      </c>
      <c r="F857" t="s">
        <v>22</v>
      </c>
      <c r="G857" t="s">
        <v>27</v>
      </c>
      <c r="H857" t="s">
        <v>32</v>
      </c>
      <c r="I857" t="s">
        <v>35</v>
      </c>
      <c r="J857" t="s">
        <v>43</v>
      </c>
      <c r="K857" t="s">
        <v>49</v>
      </c>
      <c r="L857" t="s">
        <v>52</v>
      </c>
      <c r="M857">
        <v>26198</v>
      </c>
      <c r="N857">
        <v>0.22</v>
      </c>
      <c r="O857">
        <v>19323</v>
      </c>
      <c r="P857">
        <v>18</v>
      </c>
      <c r="Q857" t="s">
        <v>54</v>
      </c>
      <c r="R857" t="s">
        <v>59</v>
      </c>
    </row>
    <row r="858" spans="1:18">
      <c r="A858">
        <v>10857</v>
      </c>
      <c r="B858" s="2">
        <v>45053</v>
      </c>
      <c r="C858" s="2">
        <v>45055</v>
      </c>
      <c r="D858" s="2">
        <v>45059</v>
      </c>
      <c r="E858" t="s">
        <v>19</v>
      </c>
      <c r="F858" t="s">
        <v>22</v>
      </c>
      <c r="G858" t="s">
        <v>28</v>
      </c>
      <c r="H858" t="s">
        <v>29</v>
      </c>
      <c r="I858" t="s">
        <v>34</v>
      </c>
      <c r="J858" t="s">
        <v>43</v>
      </c>
      <c r="K858" t="s">
        <v>44</v>
      </c>
      <c r="L858" t="s">
        <v>52</v>
      </c>
      <c r="M858">
        <v>41696</v>
      </c>
      <c r="N858">
        <v>0.3</v>
      </c>
      <c r="O858">
        <v>16270</v>
      </c>
      <c r="P858">
        <v>20</v>
      </c>
      <c r="Q858" t="s">
        <v>54</v>
      </c>
      <c r="R858" t="s">
        <v>61</v>
      </c>
    </row>
    <row r="859" spans="1:18">
      <c r="A859">
        <v>10858</v>
      </c>
      <c r="B859" s="2">
        <v>45054</v>
      </c>
      <c r="C859" s="2">
        <v>45056</v>
      </c>
      <c r="D859" s="2">
        <v>45060</v>
      </c>
      <c r="E859" t="s">
        <v>21</v>
      </c>
      <c r="F859" t="s">
        <v>22</v>
      </c>
      <c r="G859" t="s">
        <v>25</v>
      </c>
      <c r="H859" t="s">
        <v>29</v>
      </c>
      <c r="I859" t="s">
        <v>35</v>
      </c>
      <c r="J859" t="s">
        <v>37</v>
      </c>
      <c r="K859" t="s">
        <v>49</v>
      </c>
      <c r="L859" t="s">
        <v>52</v>
      </c>
      <c r="M859">
        <v>33995</v>
      </c>
      <c r="N859">
        <v>0.03</v>
      </c>
      <c r="O859">
        <v>816</v>
      </c>
      <c r="P859">
        <v>12</v>
      </c>
      <c r="Q859" t="s">
        <v>55</v>
      </c>
      <c r="R859" t="s">
        <v>62</v>
      </c>
    </row>
    <row r="860" spans="1:18">
      <c r="A860">
        <v>10859</v>
      </c>
      <c r="B860" s="2">
        <v>45055</v>
      </c>
      <c r="C860" s="2">
        <v>45057</v>
      </c>
      <c r="D860" s="2">
        <v>45061</v>
      </c>
      <c r="E860" t="s">
        <v>20</v>
      </c>
      <c r="F860" t="s">
        <v>22</v>
      </c>
      <c r="G860" t="s">
        <v>28</v>
      </c>
      <c r="H860" t="s">
        <v>32</v>
      </c>
      <c r="I860" t="s">
        <v>34</v>
      </c>
      <c r="J860" t="s">
        <v>38</v>
      </c>
      <c r="K860" t="s">
        <v>44</v>
      </c>
      <c r="L860" t="s">
        <v>52</v>
      </c>
      <c r="M860">
        <v>2538</v>
      </c>
      <c r="N860">
        <v>0.06</v>
      </c>
      <c r="O860">
        <v>4201</v>
      </c>
      <c r="P860">
        <v>6</v>
      </c>
      <c r="Q860" t="s">
        <v>54</v>
      </c>
      <c r="R860" t="s">
        <v>60</v>
      </c>
    </row>
    <row r="861" spans="1:18">
      <c r="A861">
        <v>10860</v>
      </c>
      <c r="B861" s="2">
        <v>45056</v>
      </c>
      <c r="C861" s="2">
        <v>45058</v>
      </c>
      <c r="D861" s="2">
        <v>45062</v>
      </c>
      <c r="E861" t="s">
        <v>21</v>
      </c>
      <c r="F861" t="s">
        <v>22</v>
      </c>
      <c r="G861" t="s">
        <v>23</v>
      </c>
      <c r="H861" t="s">
        <v>31</v>
      </c>
      <c r="I861" t="s">
        <v>36</v>
      </c>
      <c r="J861" t="s">
        <v>38</v>
      </c>
      <c r="K861" t="s">
        <v>48</v>
      </c>
      <c r="L861" t="s">
        <v>52</v>
      </c>
      <c r="M861">
        <v>23468</v>
      </c>
      <c r="N861">
        <v>0.05</v>
      </c>
      <c r="O861">
        <v>3536</v>
      </c>
      <c r="P861">
        <v>16</v>
      </c>
      <c r="Q861" t="s">
        <v>54</v>
      </c>
      <c r="R861" t="s">
        <v>59</v>
      </c>
    </row>
    <row r="862" spans="1:18">
      <c r="A862">
        <v>10861</v>
      </c>
      <c r="B862" s="2">
        <v>45057</v>
      </c>
      <c r="C862" s="2">
        <v>45059</v>
      </c>
      <c r="D862" s="2">
        <v>45063</v>
      </c>
      <c r="E862" t="s">
        <v>18</v>
      </c>
      <c r="F862" t="s">
        <v>22</v>
      </c>
      <c r="G862" t="s">
        <v>24</v>
      </c>
      <c r="H862" t="s">
        <v>33</v>
      </c>
      <c r="I862" t="s">
        <v>34</v>
      </c>
      <c r="J862" t="s">
        <v>38</v>
      </c>
      <c r="K862" t="s">
        <v>44</v>
      </c>
      <c r="L862" t="s">
        <v>51</v>
      </c>
      <c r="M862">
        <v>18001</v>
      </c>
      <c r="N862">
        <v>0.25</v>
      </c>
      <c r="O862">
        <v>2626</v>
      </c>
      <c r="P862">
        <v>4</v>
      </c>
      <c r="Q862" t="s">
        <v>56</v>
      </c>
      <c r="R862" t="s">
        <v>62</v>
      </c>
    </row>
    <row r="863" spans="1:18">
      <c r="A863">
        <v>10862</v>
      </c>
      <c r="B863" s="2">
        <v>45058</v>
      </c>
      <c r="C863" s="2">
        <v>45060</v>
      </c>
      <c r="D863" s="2">
        <v>45064</v>
      </c>
      <c r="E863" t="s">
        <v>20</v>
      </c>
      <c r="F863" t="s">
        <v>22</v>
      </c>
      <c r="G863" t="s">
        <v>23</v>
      </c>
      <c r="H863" t="s">
        <v>25</v>
      </c>
      <c r="I863" t="s">
        <v>35</v>
      </c>
      <c r="J863" t="s">
        <v>37</v>
      </c>
      <c r="K863" t="s">
        <v>48</v>
      </c>
      <c r="L863" t="s">
        <v>53</v>
      </c>
      <c r="M863">
        <v>51221</v>
      </c>
      <c r="N863">
        <v>0.13</v>
      </c>
      <c r="O863">
        <v>-814</v>
      </c>
      <c r="P863">
        <v>21</v>
      </c>
      <c r="Q863" t="s">
        <v>55</v>
      </c>
      <c r="R863" t="s">
        <v>61</v>
      </c>
    </row>
    <row r="864" spans="1:18">
      <c r="A864">
        <v>10863</v>
      </c>
      <c r="B864" s="2">
        <v>45059</v>
      </c>
      <c r="C864" s="2">
        <v>45061</v>
      </c>
      <c r="D864" s="2">
        <v>45065</v>
      </c>
      <c r="E864" t="s">
        <v>21</v>
      </c>
      <c r="F864" t="s">
        <v>22</v>
      </c>
      <c r="G864" t="s">
        <v>24</v>
      </c>
      <c r="H864" t="s">
        <v>29</v>
      </c>
      <c r="I864" t="s">
        <v>36</v>
      </c>
      <c r="J864" t="s">
        <v>38</v>
      </c>
      <c r="K864" t="s">
        <v>50</v>
      </c>
      <c r="L864" t="s">
        <v>52</v>
      </c>
      <c r="M864">
        <v>71419</v>
      </c>
      <c r="N864">
        <v>0.1</v>
      </c>
      <c r="O864">
        <v>1815</v>
      </c>
      <c r="P864">
        <v>2</v>
      </c>
      <c r="Q864" t="s">
        <v>55</v>
      </c>
      <c r="R864" t="s">
        <v>59</v>
      </c>
    </row>
    <row r="865" spans="1:18">
      <c r="A865">
        <v>10864</v>
      </c>
      <c r="B865" s="2">
        <v>45060</v>
      </c>
      <c r="C865" s="2">
        <v>45062</v>
      </c>
      <c r="D865" s="2">
        <v>45066</v>
      </c>
      <c r="E865" t="s">
        <v>19</v>
      </c>
      <c r="F865" t="s">
        <v>22</v>
      </c>
      <c r="G865" t="s">
        <v>27</v>
      </c>
      <c r="H865" t="s">
        <v>31</v>
      </c>
      <c r="I865" t="s">
        <v>35</v>
      </c>
      <c r="J865" t="s">
        <v>42</v>
      </c>
      <c r="K865" t="s">
        <v>48</v>
      </c>
      <c r="L865" t="s">
        <v>52</v>
      </c>
      <c r="M865">
        <v>46758</v>
      </c>
      <c r="N865">
        <v>0.12</v>
      </c>
      <c r="O865">
        <v>13894</v>
      </c>
      <c r="P865">
        <v>20</v>
      </c>
      <c r="Q865" t="s">
        <v>56</v>
      </c>
      <c r="R865" t="s">
        <v>59</v>
      </c>
    </row>
    <row r="866" spans="1:18">
      <c r="A866">
        <v>10865</v>
      </c>
      <c r="B866" s="2">
        <v>45061</v>
      </c>
      <c r="C866" s="2">
        <v>45063</v>
      </c>
      <c r="D866" s="2">
        <v>45067</v>
      </c>
      <c r="E866" t="s">
        <v>18</v>
      </c>
      <c r="F866" t="s">
        <v>22</v>
      </c>
      <c r="G866" t="s">
        <v>24</v>
      </c>
      <c r="H866" t="s">
        <v>25</v>
      </c>
      <c r="I866" t="s">
        <v>35</v>
      </c>
      <c r="J866" t="s">
        <v>39</v>
      </c>
      <c r="K866" t="s">
        <v>45</v>
      </c>
      <c r="L866" t="s">
        <v>52</v>
      </c>
      <c r="M866">
        <v>13721</v>
      </c>
      <c r="N866">
        <v>0.22</v>
      </c>
      <c r="O866">
        <v>6199</v>
      </c>
      <c r="P866">
        <v>5</v>
      </c>
      <c r="Q866" t="s">
        <v>58</v>
      </c>
      <c r="R866" t="s">
        <v>61</v>
      </c>
    </row>
    <row r="867" spans="1:18">
      <c r="A867">
        <v>10866</v>
      </c>
      <c r="B867" s="2">
        <v>45062</v>
      </c>
      <c r="C867" s="2">
        <v>45064</v>
      </c>
      <c r="D867" s="2">
        <v>45068</v>
      </c>
      <c r="E867" t="s">
        <v>21</v>
      </c>
      <c r="F867" t="s">
        <v>22</v>
      </c>
      <c r="G867" t="s">
        <v>26</v>
      </c>
      <c r="H867" t="s">
        <v>29</v>
      </c>
      <c r="I867" t="s">
        <v>35</v>
      </c>
      <c r="J867" t="s">
        <v>37</v>
      </c>
      <c r="K867" t="s">
        <v>47</v>
      </c>
      <c r="L867" t="s">
        <v>52</v>
      </c>
      <c r="M867">
        <v>50179</v>
      </c>
      <c r="N867">
        <v>0.12</v>
      </c>
      <c r="O867">
        <v>-1906</v>
      </c>
      <c r="P867">
        <v>10</v>
      </c>
      <c r="Q867" t="s">
        <v>58</v>
      </c>
      <c r="R867" t="s">
        <v>62</v>
      </c>
    </row>
    <row r="868" spans="1:18">
      <c r="A868">
        <v>10867</v>
      </c>
      <c r="B868" s="2">
        <v>45063</v>
      </c>
      <c r="C868" s="2">
        <v>45065</v>
      </c>
      <c r="D868" s="2">
        <v>45069</v>
      </c>
      <c r="E868" t="s">
        <v>20</v>
      </c>
      <c r="F868" t="s">
        <v>22</v>
      </c>
      <c r="G868" t="s">
        <v>28</v>
      </c>
      <c r="H868" t="s">
        <v>31</v>
      </c>
      <c r="I868" t="s">
        <v>34</v>
      </c>
      <c r="J868" t="s">
        <v>42</v>
      </c>
      <c r="K868" t="s">
        <v>46</v>
      </c>
      <c r="L868" t="s">
        <v>52</v>
      </c>
      <c r="M868">
        <v>48637</v>
      </c>
      <c r="N868">
        <v>0.28999999999999998</v>
      </c>
      <c r="O868">
        <v>4980</v>
      </c>
      <c r="P868">
        <v>17</v>
      </c>
      <c r="Q868" t="s">
        <v>57</v>
      </c>
      <c r="R868" t="s">
        <v>59</v>
      </c>
    </row>
    <row r="869" spans="1:18">
      <c r="A869">
        <v>10868</v>
      </c>
      <c r="B869" s="2">
        <v>45064</v>
      </c>
      <c r="C869" s="2">
        <v>45066</v>
      </c>
      <c r="D869" s="2">
        <v>45070</v>
      </c>
      <c r="E869" t="s">
        <v>20</v>
      </c>
      <c r="F869" t="s">
        <v>22</v>
      </c>
      <c r="G869" t="s">
        <v>27</v>
      </c>
      <c r="H869" t="s">
        <v>25</v>
      </c>
      <c r="I869" t="s">
        <v>36</v>
      </c>
      <c r="J869" t="s">
        <v>37</v>
      </c>
      <c r="K869" t="s">
        <v>48</v>
      </c>
      <c r="L869" t="s">
        <v>53</v>
      </c>
      <c r="M869">
        <v>64363</v>
      </c>
      <c r="N869">
        <v>0.11</v>
      </c>
      <c r="O869">
        <v>15571</v>
      </c>
      <c r="P869">
        <v>9</v>
      </c>
      <c r="Q869" t="s">
        <v>56</v>
      </c>
      <c r="R869" t="s">
        <v>61</v>
      </c>
    </row>
    <row r="870" spans="1:18">
      <c r="A870">
        <v>10869</v>
      </c>
      <c r="B870" s="2">
        <v>45065</v>
      </c>
      <c r="C870" s="2">
        <v>45067</v>
      </c>
      <c r="D870" s="2">
        <v>45071</v>
      </c>
      <c r="E870" t="s">
        <v>20</v>
      </c>
      <c r="F870" t="s">
        <v>22</v>
      </c>
      <c r="G870" t="s">
        <v>28</v>
      </c>
      <c r="H870" t="s">
        <v>30</v>
      </c>
      <c r="I870" t="s">
        <v>36</v>
      </c>
      <c r="J870" t="s">
        <v>40</v>
      </c>
      <c r="K870" t="s">
        <v>49</v>
      </c>
      <c r="L870" t="s">
        <v>51</v>
      </c>
      <c r="M870">
        <v>3983</v>
      </c>
      <c r="N870">
        <v>0.03</v>
      </c>
      <c r="O870">
        <v>18956</v>
      </c>
      <c r="P870">
        <v>2</v>
      </c>
      <c r="Q870" t="s">
        <v>57</v>
      </c>
      <c r="R870" t="s">
        <v>61</v>
      </c>
    </row>
    <row r="871" spans="1:18">
      <c r="A871">
        <v>10870</v>
      </c>
      <c r="B871" s="2">
        <v>45066</v>
      </c>
      <c r="C871" s="2">
        <v>45068</v>
      </c>
      <c r="D871" s="2">
        <v>45072</v>
      </c>
      <c r="E871" t="s">
        <v>19</v>
      </c>
      <c r="F871" t="s">
        <v>22</v>
      </c>
      <c r="G871" t="s">
        <v>23</v>
      </c>
      <c r="H871" t="s">
        <v>25</v>
      </c>
      <c r="I871" t="s">
        <v>35</v>
      </c>
      <c r="J871" t="s">
        <v>39</v>
      </c>
      <c r="K871" t="s">
        <v>48</v>
      </c>
      <c r="L871" t="s">
        <v>51</v>
      </c>
      <c r="M871">
        <v>73024</v>
      </c>
      <c r="N871">
        <v>0.32</v>
      </c>
      <c r="O871">
        <v>8875</v>
      </c>
      <c r="P871">
        <v>9</v>
      </c>
      <c r="Q871" t="s">
        <v>54</v>
      </c>
      <c r="R871" t="s">
        <v>61</v>
      </c>
    </row>
    <row r="872" spans="1:18">
      <c r="A872">
        <v>10871</v>
      </c>
      <c r="B872" s="2">
        <v>45067</v>
      </c>
      <c r="C872" s="2">
        <v>45069</v>
      </c>
      <c r="D872" s="2">
        <v>45073</v>
      </c>
      <c r="E872" t="s">
        <v>19</v>
      </c>
      <c r="F872" t="s">
        <v>22</v>
      </c>
      <c r="G872" t="s">
        <v>23</v>
      </c>
      <c r="H872" t="s">
        <v>30</v>
      </c>
      <c r="I872" t="s">
        <v>34</v>
      </c>
      <c r="J872" t="s">
        <v>41</v>
      </c>
      <c r="K872" t="s">
        <v>49</v>
      </c>
      <c r="L872" t="s">
        <v>53</v>
      </c>
      <c r="M872">
        <v>56748</v>
      </c>
      <c r="N872">
        <v>0.04</v>
      </c>
      <c r="O872">
        <v>6531</v>
      </c>
      <c r="P872">
        <v>4</v>
      </c>
      <c r="Q872" t="s">
        <v>56</v>
      </c>
      <c r="R872" t="s">
        <v>61</v>
      </c>
    </row>
    <row r="873" spans="1:18">
      <c r="A873">
        <v>10872</v>
      </c>
      <c r="B873" s="2">
        <v>45068</v>
      </c>
      <c r="C873" s="2">
        <v>45070</v>
      </c>
      <c r="D873" s="2">
        <v>45074</v>
      </c>
      <c r="E873" t="s">
        <v>18</v>
      </c>
      <c r="F873" t="s">
        <v>22</v>
      </c>
      <c r="G873" t="s">
        <v>25</v>
      </c>
      <c r="H873" t="s">
        <v>32</v>
      </c>
      <c r="I873" t="s">
        <v>36</v>
      </c>
      <c r="J873" t="s">
        <v>40</v>
      </c>
      <c r="K873" t="s">
        <v>45</v>
      </c>
      <c r="L873" t="s">
        <v>51</v>
      </c>
      <c r="M873">
        <v>55372</v>
      </c>
      <c r="N873">
        <v>0.04</v>
      </c>
      <c r="O873">
        <v>8461</v>
      </c>
      <c r="P873">
        <v>14</v>
      </c>
      <c r="Q873" t="s">
        <v>55</v>
      </c>
      <c r="R873" t="s">
        <v>60</v>
      </c>
    </row>
    <row r="874" spans="1:18">
      <c r="A874">
        <v>10873</v>
      </c>
      <c r="B874" s="2">
        <v>45069</v>
      </c>
      <c r="C874" s="2">
        <v>45071</v>
      </c>
      <c r="D874" s="2">
        <v>45075</v>
      </c>
      <c r="E874" t="s">
        <v>18</v>
      </c>
      <c r="F874" t="s">
        <v>22</v>
      </c>
      <c r="G874" t="s">
        <v>27</v>
      </c>
      <c r="H874" t="s">
        <v>29</v>
      </c>
      <c r="I874" t="s">
        <v>36</v>
      </c>
      <c r="J874" t="s">
        <v>38</v>
      </c>
      <c r="K874" t="s">
        <v>48</v>
      </c>
      <c r="L874" t="s">
        <v>51</v>
      </c>
      <c r="M874">
        <v>40989</v>
      </c>
      <c r="N874">
        <v>0.06</v>
      </c>
      <c r="O874">
        <v>7747</v>
      </c>
      <c r="P874">
        <v>10</v>
      </c>
      <c r="Q874" t="s">
        <v>56</v>
      </c>
      <c r="R874" t="s">
        <v>62</v>
      </c>
    </row>
    <row r="875" spans="1:18">
      <c r="A875">
        <v>10874</v>
      </c>
      <c r="B875" s="2">
        <v>45070</v>
      </c>
      <c r="C875" s="2">
        <v>45072</v>
      </c>
      <c r="D875" s="2">
        <v>45076</v>
      </c>
      <c r="E875" t="s">
        <v>19</v>
      </c>
      <c r="F875" t="s">
        <v>22</v>
      </c>
      <c r="G875" t="s">
        <v>24</v>
      </c>
      <c r="H875" t="s">
        <v>25</v>
      </c>
      <c r="I875" t="s">
        <v>34</v>
      </c>
      <c r="J875" t="s">
        <v>39</v>
      </c>
      <c r="K875" t="s">
        <v>48</v>
      </c>
      <c r="L875" t="s">
        <v>52</v>
      </c>
      <c r="M875">
        <v>70977</v>
      </c>
      <c r="N875">
        <v>0.08</v>
      </c>
      <c r="O875">
        <v>-523</v>
      </c>
      <c r="P875">
        <v>20</v>
      </c>
      <c r="Q875" t="s">
        <v>55</v>
      </c>
      <c r="R875" t="s">
        <v>59</v>
      </c>
    </row>
    <row r="876" spans="1:18">
      <c r="A876">
        <v>10875</v>
      </c>
      <c r="B876" s="2">
        <v>45071</v>
      </c>
      <c r="C876" s="2">
        <v>45073</v>
      </c>
      <c r="D876" s="2">
        <v>45077</v>
      </c>
      <c r="E876" t="s">
        <v>20</v>
      </c>
      <c r="F876" t="s">
        <v>22</v>
      </c>
      <c r="G876" t="s">
        <v>26</v>
      </c>
      <c r="H876" t="s">
        <v>32</v>
      </c>
      <c r="I876" t="s">
        <v>36</v>
      </c>
      <c r="J876" t="s">
        <v>43</v>
      </c>
      <c r="K876" t="s">
        <v>47</v>
      </c>
      <c r="L876" t="s">
        <v>52</v>
      </c>
      <c r="M876">
        <v>20461</v>
      </c>
      <c r="N876">
        <v>0.3</v>
      </c>
      <c r="O876">
        <v>2569</v>
      </c>
      <c r="P876">
        <v>21</v>
      </c>
      <c r="Q876" t="s">
        <v>57</v>
      </c>
      <c r="R876" t="s">
        <v>61</v>
      </c>
    </row>
    <row r="877" spans="1:18">
      <c r="A877">
        <v>10876</v>
      </c>
      <c r="B877" s="2">
        <v>45072</v>
      </c>
      <c r="C877" s="2">
        <v>45074</v>
      </c>
      <c r="D877" s="2">
        <v>45078</v>
      </c>
      <c r="E877" t="s">
        <v>19</v>
      </c>
      <c r="F877" t="s">
        <v>22</v>
      </c>
      <c r="G877" t="s">
        <v>24</v>
      </c>
      <c r="H877" t="s">
        <v>32</v>
      </c>
      <c r="I877" t="s">
        <v>36</v>
      </c>
      <c r="J877" t="s">
        <v>39</v>
      </c>
      <c r="K877" t="s">
        <v>47</v>
      </c>
      <c r="L877" t="s">
        <v>53</v>
      </c>
      <c r="M877">
        <v>46889</v>
      </c>
      <c r="N877">
        <v>0.34</v>
      </c>
      <c r="O877">
        <v>19577</v>
      </c>
      <c r="P877">
        <v>24</v>
      </c>
      <c r="Q877" t="s">
        <v>56</v>
      </c>
      <c r="R877" t="s">
        <v>60</v>
      </c>
    </row>
    <row r="878" spans="1:18">
      <c r="A878">
        <v>10877</v>
      </c>
      <c r="B878" s="2">
        <v>45073</v>
      </c>
      <c r="C878" s="2">
        <v>45075</v>
      </c>
      <c r="D878" s="2">
        <v>45079</v>
      </c>
      <c r="E878" t="s">
        <v>19</v>
      </c>
      <c r="F878" t="s">
        <v>22</v>
      </c>
      <c r="G878" t="s">
        <v>25</v>
      </c>
      <c r="H878" t="s">
        <v>25</v>
      </c>
      <c r="I878" t="s">
        <v>36</v>
      </c>
      <c r="J878" t="s">
        <v>42</v>
      </c>
      <c r="K878" t="s">
        <v>46</v>
      </c>
      <c r="L878" t="s">
        <v>51</v>
      </c>
      <c r="M878">
        <v>49344</v>
      </c>
      <c r="N878">
        <v>0.33</v>
      </c>
      <c r="O878">
        <v>5354</v>
      </c>
      <c r="P878">
        <v>15</v>
      </c>
      <c r="Q878" t="s">
        <v>55</v>
      </c>
      <c r="R878" t="s">
        <v>61</v>
      </c>
    </row>
    <row r="879" spans="1:18">
      <c r="A879">
        <v>10878</v>
      </c>
      <c r="B879" s="2">
        <v>45074</v>
      </c>
      <c r="C879" s="2">
        <v>45076</v>
      </c>
      <c r="D879" s="2">
        <v>45080</v>
      </c>
      <c r="E879" t="s">
        <v>19</v>
      </c>
      <c r="F879" t="s">
        <v>22</v>
      </c>
      <c r="G879" t="s">
        <v>25</v>
      </c>
      <c r="H879" t="s">
        <v>30</v>
      </c>
      <c r="I879" t="s">
        <v>35</v>
      </c>
      <c r="J879" t="s">
        <v>42</v>
      </c>
      <c r="K879" t="s">
        <v>46</v>
      </c>
      <c r="L879" t="s">
        <v>52</v>
      </c>
      <c r="M879">
        <v>74411</v>
      </c>
      <c r="N879">
        <v>7.0000000000000007E-2</v>
      </c>
      <c r="O879">
        <v>6779</v>
      </c>
      <c r="P879">
        <v>10</v>
      </c>
      <c r="Q879" t="s">
        <v>58</v>
      </c>
      <c r="R879" t="s">
        <v>60</v>
      </c>
    </row>
    <row r="880" spans="1:18">
      <c r="A880">
        <v>10879</v>
      </c>
      <c r="B880" s="2">
        <v>45075</v>
      </c>
      <c r="C880" s="2">
        <v>45077</v>
      </c>
      <c r="D880" s="2">
        <v>45081</v>
      </c>
      <c r="E880" t="s">
        <v>20</v>
      </c>
      <c r="F880" t="s">
        <v>22</v>
      </c>
      <c r="G880" t="s">
        <v>25</v>
      </c>
      <c r="H880" t="s">
        <v>30</v>
      </c>
      <c r="I880" t="s">
        <v>36</v>
      </c>
      <c r="J880" t="s">
        <v>43</v>
      </c>
      <c r="K880" t="s">
        <v>45</v>
      </c>
      <c r="L880" t="s">
        <v>51</v>
      </c>
      <c r="M880">
        <v>20976</v>
      </c>
      <c r="N880">
        <v>0.23</v>
      </c>
      <c r="O880">
        <v>2255</v>
      </c>
      <c r="P880">
        <v>10</v>
      </c>
      <c r="Q880" t="s">
        <v>57</v>
      </c>
      <c r="R880" t="s">
        <v>61</v>
      </c>
    </row>
    <row r="881" spans="1:18">
      <c r="A881">
        <v>10880</v>
      </c>
      <c r="B881" s="2">
        <v>45076</v>
      </c>
      <c r="C881" s="2">
        <v>45078</v>
      </c>
      <c r="D881" s="2">
        <v>45082</v>
      </c>
      <c r="E881" t="s">
        <v>21</v>
      </c>
      <c r="F881" t="s">
        <v>22</v>
      </c>
      <c r="G881" t="s">
        <v>26</v>
      </c>
      <c r="H881" t="s">
        <v>25</v>
      </c>
      <c r="I881" t="s">
        <v>36</v>
      </c>
      <c r="J881" t="s">
        <v>40</v>
      </c>
      <c r="K881" t="s">
        <v>49</v>
      </c>
      <c r="L881" t="s">
        <v>51</v>
      </c>
      <c r="M881">
        <v>42762</v>
      </c>
      <c r="N881">
        <v>0.39</v>
      </c>
      <c r="O881">
        <v>-1704</v>
      </c>
      <c r="P881">
        <v>12</v>
      </c>
      <c r="Q881" t="s">
        <v>54</v>
      </c>
      <c r="R881" t="s">
        <v>62</v>
      </c>
    </row>
    <row r="882" spans="1:18">
      <c r="A882">
        <v>10881</v>
      </c>
      <c r="B882" s="2">
        <v>45077</v>
      </c>
      <c r="C882" s="2">
        <v>45079</v>
      </c>
      <c r="D882" s="2">
        <v>45083</v>
      </c>
      <c r="E882" t="s">
        <v>18</v>
      </c>
      <c r="F882" t="s">
        <v>22</v>
      </c>
      <c r="G882" t="s">
        <v>26</v>
      </c>
      <c r="H882" t="s">
        <v>25</v>
      </c>
      <c r="I882" t="s">
        <v>34</v>
      </c>
      <c r="J882" t="s">
        <v>40</v>
      </c>
      <c r="K882" t="s">
        <v>49</v>
      </c>
      <c r="L882" t="s">
        <v>53</v>
      </c>
      <c r="M882">
        <v>49923</v>
      </c>
      <c r="N882">
        <v>0</v>
      </c>
      <c r="O882">
        <v>5098</v>
      </c>
      <c r="P882">
        <v>8</v>
      </c>
      <c r="Q882" t="s">
        <v>58</v>
      </c>
      <c r="R882" t="s">
        <v>59</v>
      </c>
    </row>
    <row r="883" spans="1:18">
      <c r="A883">
        <v>10882</v>
      </c>
      <c r="B883" s="2">
        <v>45078</v>
      </c>
      <c r="C883" s="2">
        <v>45080</v>
      </c>
      <c r="D883" s="2">
        <v>45084</v>
      </c>
      <c r="E883" t="s">
        <v>20</v>
      </c>
      <c r="F883" t="s">
        <v>22</v>
      </c>
      <c r="G883" t="s">
        <v>26</v>
      </c>
      <c r="H883" t="s">
        <v>30</v>
      </c>
      <c r="I883" t="s">
        <v>34</v>
      </c>
      <c r="J883" t="s">
        <v>37</v>
      </c>
      <c r="K883" t="s">
        <v>44</v>
      </c>
      <c r="L883" t="s">
        <v>51</v>
      </c>
      <c r="M883">
        <v>61191</v>
      </c>
      <c r="N883">
        <v>0.36</v>
      </c>
      <c r="O883">
        <v>8003</v>
      </c>
      <c r="P883">
        <v>23</v>
      </c>
      <c r="Q883" t="s">
        <v>58</v>
      </c>
      <c r="R883" t="s">
        <v>62</v>
      </c>
    </row>
    <row r="884" spans="1:18">
      <c r="A884">
        <v>10883</v>
      </c>
      <c r="B884" s="2">
        <v>45079</v>
      </c>
      <c r="C884" s="2">
        <v>45081</v>
      </c>
      <c r="D884" s="2">
        <v>45085</v>
      </c>
      <c r="E884" t="s">
        <v>21</v>
      </c>
      <c r="F884" t="s">
        <v>22</v>
      </c>
      <c r="G884" t="s">
        <v>25</v>
      </c>
      <c r="H884" t="s">
        <v>32</v>
      </c>
      <c r="I884" t="s">
        <v>34</v>
      </c>
      <c r="J884" t="s">
        <v>39</v>
      </c>
      <c r="K884" t="s">
        <v>49</v>
      </c>
      <c r="L884" t="s">
        <v>53</v>
      </c>
      <c r="M884">
        <v>54502</v>
      </c>
      <c r="N884">
        <v>0.13</v>
      </c>
      <c r="O884">
        <v>7029</v>
      </c>
      <c r="P884">
        <v>6</v>
      </c>
      <c r="Q884" t="s">
        <v>56</v>
      </c>
      <c r="R884" t="s">
        <v>62</v>
      </c>
    </row>
    <row r="885" spans="1:18">
      <c r="A885">
        <v>10884</v>
      </c>
      <c r="B885" s="2">
        <v>45080</v>
      </c>
      <c r="C885" s="2">
        <v>45082</v>
      </c>
      <c r="D885" s="2">
        <v>45086</v>
      </c>
      <c r="E885" t="s">
        <v>20</v>
      </c>
      <c r="F885" t="s">
        <v>22</v>
      </c>
      <c r="G885" t="s">
        <v>27</v>
      </c>
      <c r="H885" t="s">
        <v>30</v>
      </c>
      <c r="I885" t="s">
        <v>34</v>
      </c>
      <c r="J885" t="s">
        <v>43</v>
      </c>
      <c r="K885" t="s">
        <v>49</v>
      </c>
      <c r="L885" t="s">
        <v>52</v>
      </c>
      <c r="M885">
        <v>41422</v>
      </c>
      <c r="N885">
        <v>0.22</v>
      </c>
      <c r="O885">
        <v>287</v>
      </c>
      <c r="P885">
        <v>14</v>
      </c>
      <c r="Q885" t="s">
        <v>54</v>
      </c>
      <c r="R885" t="s">
        <v>59</v>
      </c>
    </row>
    <row r="886" spans="1:18">
      <c r="A886">
        <v>10885</v>
      </c>
      <c r="B886" s="2">
        <v>45081</v>
      </c>
      <c r="C886" s="2">
        <v>45083</v>
      </c>
      <c r="D886" s="2">
        <v>45087</v>
      </c>
      <c r="E886" t="s">
        <v>21</v>
      </c>
      <c r="F886" t="s">
        <v>22</v>
      </c>
      <c r="G886" t="s">
        <v>25</v>
      </c>
      <c r="H886" t="s">
        <v>30</v>
      </c>
      <c r="I886" t="s">
        <v>35</v>
      </c>
      <c r="J886" t="s">
        <v>42</v>
      </c>
      <c r="K886" t="s">
        <v>49</v>
      </c>
      <c r="L886" t="s">
        <v>52</v>
      </c>
      <c r="M886">
        <v>66681</v>
      </c>
      <c r="N886">
        <v>0.37</v>
      </c>
      <c r="O886">
        <v>18317</v>
      </c>
      <c r="P886">
        <v>23</v>
      </c>
      <c r="Q886" t="s">
        <v>57</v>
      </c>
      <c r="R886" t="s">
        <v>61</v>
      </c>
    </row>
    <row r="887" spans="1:18">
      <c r="A887">
        <v>10886</v>
      </c>
      <c r="B887" s="2">
        <v>45082</v>
      </c>
      <c r="C887" s="2">
        <v>45084</v>
      </c>
      <c r="D887" s="2">
        <v>45088</v>
      </c>
      <c r="E887" t="s">
        <v>21</v>
      </c>
      <c r="F887" t="s">
        <v>22</v>
      </c>
      <c r="G887" t="s">
        <v>26</v>
      </c>
      <c r="H887" t="s">
        <v>30</v>
      </c>
      <c r="I887" t="s">
        <v>36</v>
      </c>
      <c r="J887" t="s">
        <v>42</v>
      </c>
      <c r="K887" t="s">
        <v>48</v>
      </c>
      <c r="L887" t="s">
        <v>53</v>
      </c>
      <c r="M887">
        <v>10072</v>
      </c>
      <c r="N887">
        <v>0.22</v>
      </c>
      <c r="O887">
        <v>13753</v>
      </c>
      <c r="P887">
        <v>11</v>
      </c>
      <c r="Q887" t="s">
        <v>55</v>
      </c>
      <c r="R887" t="s">
        <v>59</v>
      </c>
    </row>
    <row r="888" spans="1:18">
      <c r="A888">
        <v>10887</v>
      </c>
      <c r="B888" s="2">
        <v>45083</v>
      </c>
      <c r="C888" s="2">
        <v>45085</v>
      </c>
      <c r="D888" s="2">
        <v>45089</v>
      </c>
      <c r="E888" t="s">
        <v>18</v>
      </c>
      <c r="F888" t="s">
        <v>22</v>
      </c>
      <c r="G888" t="s">
        <v>23</v>
      </c>
      <c r="H888" t="s">
        <v>33</v>
      </c>
      <c r="I888" t="s">
        <v>35</v>
      </c>
      <c r="J888" t="s">
        <v>41</v>
      </c>
      <c r="K888" t="s">
        <v>45</v>
      </c>
      <c r="L888" t="s">
        <v>52</v>
      </c>
      <c r="M888">
        <v>34260</v>
      </c>
      <c r="N888">
        <v>0.11</v>
      </c>
      <c r="O888">
        <v>17179</v>
      </c>
      <c r="P888">
        <v>9</v>
      </c>
      <c r="Q888" t="s">
        <v>55</v>
      </c>
      <c r="R888" t="s">
        <v>61</v>
      </c>
    </row>
    <row r="889" spans="1:18">
      <c r="A889">
        <v>10888</v>
      </c>
      <c r="B889" s="2">
        <v>45084</v>
      </c>
      <c r="C889" s="2">
        <v>45086</v>
      </c>
      <c r="D889" s="2">
        <v>45090</v>
      </c>
      <c r="E889" t="s">
        <v>20</v>
      </c>
      <c r="F889" t="s">
        <v>22</v>
      </c>
      <c r="G889" t="s">
        <v>28</v>
      </c>
      <c r="H889" t="s">
        <v>33</v>
      </c>
      <c r="I889" t="s">
        <v>36</v>
      </c>
      <c r="J889" t="s">
        <v>40</v>
      </c>
      <c r="K889" t="s">
        <v>49</v>
      </c>
      <c r="L889" t="s">
        <v>53</v>
      </c>
      <c r="M889">
        <v>14038</v>
      </c>
      <c r="N889">
        <v>0.04</v>
      </c>
      <c r="O889">
        <v>-926</v>
      </c>
      <c r="P889">
        <v>11</v>
      </c>
      <c r="Q889" t="s">
        <v>56</v>
      </c>
      <c r="R889" t="s">
        <v>59</v>
      </c>
    </row>
    <row r="890" spans="1:18">
      <c r="A890">
        <v>10889</v>
      </c>
      <c r="B890" s="2">
        <v>45085</v>
      </c>
      <c r="C890" s="2">
        <v>45087</v>
      </c>
      <c r="D890" s="2">
        <v>45091</v>
      </c>
      <c r="E890" t="s">
        <v>18</v>
      </c>
      <c r="F890" t="s">
        <v>22</v>
      </c>
      <c r="G890" t="s">
        <v>23</v>
      </c>
      <c r="H890" t="s">
        <v>31</v>
      </c>
      <c r="I890" t="s">
        <v>34</v>
      </c>
      <c r="J890" t="s">
        <v>42</v>
      </c>
      <c r="K890" t="s">
        <v>47</v>
      </c>
      <c r="L890" t="s">
        <v>52</v>
      </c>
      <c r="M890">
        <v>45596</v>
      </c>
      <c r="N890">
        <v>0.12</v>
      </c>
      <c r="O890">
        <v>4584</v>
      </c>
      <c r="P890">
        <v>9</v>
      </c>
      <c r="Q890" t="s">
        <v>54</v>
      </c>
      <c r="R890" t="s">
        <v>59</v>
      </c>
    </row>
    <row r="891" spans="1:18">
      <c r="A891">
        <v>10890</v>
      </c>
      <c r="B891" s="2">
        <v>45086</v>
      </c>
      <c r="C891" s="2">
        <v>45088</v>
      </c>
      <c r="D891" s="2">
        <v>45092</v>
      </c>
      <c r="E891" t="s">
        <v>18</v>
      </c>
      <c r="F891" t="s">
        <v>22</v>
      </c>
      <c r="G891" t="s">
        <v>23</v>
      </c>
      <c r="H891" t="s">
        <v>30</v>
      </c>
      <c r="I891" t="s">
        <v>34</v>
      </c>
      <c r="J891" t="s">
        <v>43</v>
      </c>
      <c r="K891" t="s">
        <v>50</v>
      </c>
      <c r="L891" t="s">
        <v>52</v>
      </c>
      <c r="M891">
        <v>69336</v>
      </c>
      <c r="N891">
        <v>0.14000000000000001</v>
      </c>
      <c r="O891">
        <v>2654</v>
      </c>
      <c r="P891">
        <v>21</v>
      </c>
      <c r="Q891" t="s">
        <v>56</v>
      </c>
      <c r="R891" t="s">
        <v>61</v>
      </c>
    </row>
    <row r="892" spans="1:18">
      <c r="A892">
        <v>10891</v>
      </c>
      <c r="B892" s="2">
        <v>45087</v>
      </c>
      <c r="C892" s="2">
        <v>45089</v>
      </c>
      <c r="D892" s="2">
        <v>45093</v>
      </c>
      <c r="E892" t="s">
        <v>19</v>
      </c>
      <c r="F892" t="s">
        <v>22</v>
      </c>
      <c r="G892" t="s">
        <v>25</v>
      </c>
      <c r="H892" t="s">
        <v>31</v>
      </c>
      <c r="I892" t="s">
        <v>36</v>
      </c>
      <c r="J892" t="s">
        <v>43</v>
      </c>
      <c r="K892" t="s">
        <v>48</v>
      </c>
      <c r="L892" t="s">
        <v>52</v>
      </c>
      <c r="M892">
        <v>33469</v>
      </c>
      <c r="N892">
        <v>0.19</v>
      </c>
      <c r="O892">
        <v>12985</v>
      </c>
      <c r="P892">
        <v>2</v>
      </c>
      <c r="Q892" t="s">
        <v>56</v>
      </c>
      <c r="R892" t="s">
        <v>59</v>
      </c>
    </row>
    <row r="893" spans="1:18">
      <c r="A893">
        <v>10892</v>
      </c>
      <c r="B893" s="2">
        <v>45088</v>
      </c>
      <c r="C893" s="2">
        <v>45090</v>
      </c>
      <c r="D893" s="2">
        <v>45094</v>
      </c>
      <c r="E893" t="s">
        <v>21</v>
      </c>
      <c r="F893" t="s">
        <v>22</v>
      </c>
      <c r="G893" t="s">
        <v>27</v>
      </c>
      <c r="H893" t="s">
        <v>33</v>
      </c>
      <c r="I893" t="s">
        <v>36</v>
      </c>
      <c r="J893" t="s">
        <v>41</v>
      </c>
      <c r="K893" t="s">
        <v>49</v>
      </c>
      <c r="L893" t="s">
        <v>53</v>
      </c>
      <c r="M893">
        <v>2814</v>
      </c>
      <c r="N893">
        <v>0.15</v>
      </c>
      <c r="O893">
        <v>5426</v>
      </c>
      <c r="P893">
        <v>6</v>
      </c>
      <c r="Q893" t="s">
        <v>58</v>
      </c>
      <c r="R893" t="s">
        <v>60</v>
      </c>
    </row>
    <row r="894" spans="1:18">
      <c r="A894">
        <v>10893</v>
      </c>
      <c r="B894" s="2">
        <v>45089</v>
      </c>
      <c r="C894" s="2">
        <v>45091</v>
      </c>
      <c r="D894" s="2">
        <v>45095</v>
      </c>
      <c r="E894" t="s">
        <v>19</v>
      </c>
      <c r="F894" t="s">
        <v>22</v>
      </c>
      <c r="G894" t="s">
        <v>23</v>
      </c>
      <c r="H894" t="s">
        <v>31</v>
      </c>
      <c r="I894" t="s">
        <v>35</v>
      </c>
      <c r="J894" t="s">
        <v>38</v>
      </c>
      <c r="K894" t="s">
        <v>45</v>
      </c>
      <c r="L894" t="s">
        <v>52</v>
      </c>
      <c r="M894">
        <v>25362</v>
      </c>
      <c r="N894">
        <v>0.03</v>
      </c>
      <c r="O894">
        <v>1503</v>
      </c>
      <c r="P894">
        <v>15</v>
      </c>
      <c r="Q894" t="s">
        <v>57</v>
      </c>
      <c r="R894" t="s">
        <v>62</v>
      </c>
    </row>
    <row r="895" spans="1:18">
      <c r="A895">
        <v>10894</v>
      </c>
      <c r="B895" s="2">
        <v>45090</v>
      </c>
      <c r="C895" s="2">
        <v>45092</v>
      </c>
      <c r="D895" s="2">
        <v>45096</v>
      </c>
      <c r="E895" t="s">
        <v>18</v>
      </c>
      <c r="F895" t="s">
        <v>22</v>
      </c>
      <c r="G895" t="s">
        <v>28</v>
      </c>
      <c r="H895" t="s">
        <v>32</v>
      </c>
      <c r="I895" t="s">
        <v>34</v>
      </c>
      <c r="J895" t="s">
        <v>39</v>
      </c>
      <c r="K895" t="s">
        <v>45</v>
      </c>
      <c r="L895" t="s">
        <v>52</v>
      </c>
      <c r="M895">
        <v>52487</v>
      </c>
      <c r="N895">
        <v>0.36</v>
      </c>
      <c r="O895">
        <v>14790</v>
      </c>
      <c r="P895">
        <v>15</v>
      </c>
      <c r="Q895" t="s">
        <v>56</v>
      </c>
      <c r="R895" t="s">
        <v>60</v>
      </c>
    </row>
    <row r="896" spans="1:18">
      <c r="A896">
        <v>10895</v>
      </c>
      <c r="B896" s="2">
        <v>45091</v>
      </c>
      <c r="C896" s="2">
        <v>45093</v>
      </c>
      <c r="D896" s="2">
        <v>45097</v>
      </c>
      <c r="E896" t="s">
        <v>18</v>
      </c>
      <c r="F896" t="s">
        <v>22</v>
      </c>
      <c r="G896" t="s">
        <v>23</v>
      </c>
      <c r="H896" t="s">
        <v>25</v>
      </c>
      <c r="I896" t="s">
        <v>36</v>
      </c>
      <c r="J896" t="s">
        <v>41</v>
      </c>
      <c r="K896" t="s">
        <v>49</v>
      </c>
      <c r="L896" t="s">
        <v>51</v>
      </c>
      <c r="M896">
        <v>74973</v>
      </c>
      <c r="N896">
        <v>0.13</v>
      </c>
      <c r="O896">
        <v>2681</v>
      </c>
      <c r="P896">
        <v>18</v>
      </c>
      <c r="Q896" t="s">
        <v>55</v>
      </c>
      <c r="R896" t="s">
        <v>59</v>
      </c>
    </row>
    <row r="897" spans="1:18">
      <c r="A897">
        <v>10896</v>
      </c>
      <c r="B897" s="2">
        <v>45092</v>
      </c>
      <c r="C897" s="2">
        <v>45094</v>
      </c>
      <c r="D897" s="2">
        <v>45098</v>
      </c>
      <c r="E897" t="s">
        <v>18</v>
      </c>
      <c r="F897" t="s">
        <v>22</v>
      </c>
      <c r="G897" t="s">
        <v>28</v>
      </c>
      <c r="H897" t="s">
        <v>25</v>
      </c>
      <c r="I897" t="s">
        <v>35</v>
      </c>
      <c r="J897" t="s">
        <v>41</v>
      </c>
      <c r="K897" t="s">
        <v>47</v>
      </c>
      <c r="L897" t="s">
        <v>53</v>
      </c>
      <c r="M897">
        <v>42154</v>
      </c>
      <c r="N897">
        <v>0.23</v>
      </c>
      <c r="O897">
        <v>15690</v>
      </c>
      <c r="P897">
        <v>23</v>
      </c>
      <c r="Q897" t="s">
        <v>56</v>
      </c>
      <c r="R897" t="s">
        <v>60</v>
      </c>
    </row>
    <row r="898" spans="1:18">
      <c r="A898">
        <v>10897</v>
      </c>
      <c r="B898" s="2">
        <v>45093</v>
      </c>
      <c r="C898" s="2">
        <v>45095</v>
      </c>
      <c r="D898" s="2">
        <v>45099</v>
      </c>
      <c r="E898" t="s">
        <v>19</v>
      </c>
      <c r="F898" t="s">
        <v>22</v>
      </c>
      <c r="G898" t="s">
        <v>28</v>
      </c>
      <c r="H898" t="s">
        <v>31</v>
      </c>
      <c r="I898" t="s">
        <v>36</v>
      </c>
      <c r="J898" t="s">
        <v>42</v>
      </c>
      <c r="K898" t="s">
        <v>50</v>
      </c>
      <c r="L898" t="s">
        <v>51</v>
      </c>
      <c r="M898">
        <v>20643</v>
      </c>
      <c r="N898">
        <v>0.22</v>
      </c>
      <c r="O898">
        <v>10627</v>
      </c>
      <c r="P898">
        <v>5</v>
      </c>
      <c r="Q898" t="s">
        <v>56</v>
      </c>
      <c r="R898" t="s">
        <v>62</v>
      </c>
    </row>
    <row r="899" spans="1:18">
      <c r="A899">
        <v>10898</v>
      </c>
      <c r="B899" s="2">
        <v>45094</v>
      </c>
      <c r="C899" s="2">
        <v>45096</v>
      </c>
      <c r="D899" s="2">
        <v>45100</v>
      </c>
      <c r="E899" t="s">
        <v>18</v>
      </c>
      <c r="F899" t="s">
        <v>22</v>
      </c>
      <c r="G899" t="s">
        <v>28</v>
      </c>
      <c r="H899" t="s">
        <v>30</v>
      </c>
      <c r="I899" t="s">
        <v>35</v>
      </c>
      <c r="J899" t="s">
        <v>39</v>
      </c>
      <c r="K899" t="s">
        <v>49</v>
      </c>
      <c r="L899" t="s">
        <v>52</v>
      </c>
      <c r="M899">
        <v>45628</v>
      </c>
      <c r="N899">
        <v>0.05</v>
      </c>
      <c r="O899">
        <v>5095</v>
      </c>
      <c r="P899">
        <v>9</v>
      </c>
      <c r="Q899" t="s">
        <v>56</v>
      </c>
      <c r="R899" t="s">
        <v>62</v>
      </c>
    </row>
    <row r="900" spans="1:18">
      <c r="A900">
        <v>10899</v>
      </c>
      <c r="B900" s="2">
        <v>45095</v>
      </c>
      <c r="C900" s="2">
        <v>45097</v>
      </c>
      <c r="D900" s="2">
        <v>45101</v>
      </c>
      <c r="E900" t="s">
        <v>18</v>
      </c>
      <c r="F900" t="s">
        <v>22</v>
      </c>
      <c r="G900" t="s">
        <v>26</v>
      </c>
      <c r="H900" t="s">
        <v>30</v>
      </c>
      <c r="I900" t="s">
        <v>36</v>
      </c>
      <c r="J900" t="s">
        <v>42</v>
      </c>
      <c r="K900" t="s">
        <v>46</v>
      </c>
      <c r="L900" t="s">
        <v>53</v>
      </c>
      <c r="M900">
        <v>24001</v>
      </c>
      <c r="N900">
        <v>0.28000000000000003</v>
      </c>
      <c r="O900">
        <v>-1243</v>
      </c>
      <c r="P900">
        <v>18</v>
      </c>
      <c r="Q900" t="s">
        <v>55</v>
      </c>
      <c r="R900" t="s">
        <v>59</v>
      </c>
    </row>
    <row r="901" spans="1:18">
      <c r="A901">
        <v>10900</v>
      </c>
      <c r="B901" s="2">
        <v>45096</v>
      </c>
      <c r="C901" s="2">
        <v>45098</v>
      </c>
      <c r="D901" s="2">
        <v>45102</v>
      </c>
      <c r="E901" t="s">
        <v>18</v>
      </c>
      <c r="F901" t="s">
        <v>22</v>
      </c>
      <c r="G901" t="s">
        <v>25</v>
      </c>
      <c r="H901" t="s">
        <v>31</v>
      </c>
      <c r="I901" t="s">
        <v>34</v>
      </c>
      <c r="J901" t="s">
        <v>42</v>
      </c>
      <c r="K901" t="s">
        <v>44</v>
      </c>
      <c r="L901" t="s">
        <v>52</v>
      </c>
      <c r="M901">
        <v>37951</v>
      </c>
      <c r="N901">
        <v>0.11</v>
      </c>
      <c r="O901">
        <v>12645</v>
      </c>
      <c r="P901">
        <v>6</v>
      </c>
      <c r="Q901" t="s">
        <v>58</v>
      </c>
      <c r="R901" t="s">
        <v>62</v>
      </c>
    </row>
    <row r="902" spans="1:18">
      <c r="A902">
        <v>10901</v>
      </c>
      <c r="B902" s="2">
        <v>45097</v>
      </c>
      <c r="C902" s="2">
        <v>45099</v>
      </c>
      <c r="D902" s="2">
        <v>45103</v>
      </c>
      <c r="E902" t="s">
        <v>18</v>
      </c>
      <c r="F902" t="s">
        <v>22</v>
      </c>
      <c r="G902" t="s">
        <v>26</v>
      </c>
      <c r="H902" t="s">
        <v>29</v>
      </c>
      <c r="I902" t="s">
        <v>34</v>
      </c>
      <c r="J902" t="s">
        <v>39</v>
      </c>
      <c r="K902" t="s">
        <v>48</v>
      </c>
      <c r="L902" t="s">
        <v>51</v>
      </c>
      <c r="M902">
        <v>57947</v>
      </c>
      <c r="N902">
        <v>0.19</v>
      </c>
      <c r="O902">
        <v>11188</v>
      </c>
      <c r="P902">
        <v>20</v>
      </c>
      <c r="Q902" t="s">
        <v>58</v>
      </c>
      <c r="R902" t="s">
        <v>59</v>
      </c>
    </row>
    <row r="903" spans="1:18">
      <c r="A903">
        <v>10902</v>
      </c>
      <c r="B903" s="2">
        <v>45098</v>
      </c>
      <c r="C903" s="2">
        <v>45100</v>
      </c>
      <c r="D903" s="2">
        <v>45104</v>
      </c>
      <c r="E903" t="s">
        <v>19</v>
      </c>
      <c r="F903" t="s">
        <v>22</v>
      </c>
      <c r="G903" t="s">
        <v>23</v>
      </c>
      <c r="H903" t="s">
        <v>30</v>
      </c>
      <c r="I903" t="s">
        <v>34</v>
      </c>
      <c r="J903" t="s">
        <v>39</v>
      </c>
      <c r="K903" t="s">
        <v>49</v>
      </c>
      <c r="L903" t="s">
        <v>53</v>
      </c>
      <c r="M903">
        <v>6904</v>
      </c>
      <c r="N903">
        <v>0.14000000000000001</v>
      </c>
      <c r="O903">
        <v>5535</v>
      </c>
      <c r="P903">
        <v>6</v>
      </c>
      <c r="Q903" t="s">
        <v>55</v>
      </c>
      <c r="R903" t="s">
        <v>60</v>
      </c>
    </row>
    <row r="904" spans="1:18">
      <c r="A904">
        <v>10903</v>
      </c>
      <c r="B904" s="2">
        <v>45099</v>
      </c>
      <c r="C904" s="2">
        <v>45101</v>
      </c>
      <c r="D904" s="2">
        <v>45105</v>
      </c>
      <c r="E904" t="s">
        <v>19</v>
      </c>
      <c r="F904" t="s">
        <v>22</v>
      </c>
      <c r="G904" t="s">
        <v>23</v>
      </c>
      <c r="H904" t="s">
        <v>32</v>
      </c>
      <c r="I904" t="s">
        <v>34</v>
      </c>
      <c r="J904" t="s">
        <v>39</v>
      </c>
      <c r="K904" t="s">
        <v>44</v>
      </c>
      <c r="L904" t="s">
        <v>52</v>
      </c>
      <c r="M904">
        <v>59318</v>
      </c>
      <c r="N904">
        <v>0.31</v>
      </c>
      <c r="O904">
        <v>3350</v>
      </c>
      <c r="P904">
        <v>16</v>
      </c>
      <c r="Q904" t="s">
        <v>57</v>
      </c>
      <c r="R904" t="s">
        <v>59</v>
      </c>
    </row>
    <row r="905" spans="1:18">
      <c r="A905">
        <v>10904</v>
      </c>
      <c r="B905" s="2">
        <v>45100</v>
      </c>
      <c r="C905" s="2">
        <v>45102</v>
      </c>
      <c r="D905" s="2">
        <v>45106</v>
      </c>
      <c r="E905" t="s">
        <v>21</v>
      </c>
      <c r="F905" t="s">
        <v>22</v>
      </c>
      <c r="G905" t="s">
        <v>23</v>
      </c>
      <c r="H905" t="s">
        <v>32</v>
      </c>
      <c r="I905" t="s">
        <v>35</v>
      </c>
      <c r="J905" t="s">
        <v>37</v>
      </c>
      <c r="K905" t="s">
        <v>46</v>
      </c>
      <c r="L905" t="s">
        <v>51</v>
      </c>
      <c r="M905">
        <v>57216</v>
      </c>
      <c r="N905">
        <v>0.21</v>
      </c>
      <c r="O905">
        <v>3941</v>
      </c>
      <c r="P905">
        <v>10</v>
      </c>
      <c r="Q905" t="s">
        <v>54</v>
      </c>
      <c r="R905" t="s">
        <v>62</v>
      </c>
    </row>
    <row r="906" spans="1:18">
      <c r="A906">
        <v>10905</v>
      </c>
      <c r="B906" s="2">
        <v>45101</v>
      </c>
      <c r="C906" s="2">
        <v>45103</v>
      </c>
      <c r="D906" s="2">
        <v>45107</v>
      </c>
      <c r="E906" t="s">
        <v>18</v>
      </c>
      <c r="F906" t="s">
        <v>22</v>
      </c>
      <c r="G906" t="s">
        <v>24</v>
      </c>
      <c r="H906" t="s">
        <v>31</v>
      </c>
      <c r="I906" t="s">
        <v>35</v>
      </c>
      <c r="J906" t="s">
        <v>38</v>
      </c>
      <c r="K906" t="s">
        <v>46</v>
      </c>
      <c r="L906" t="s">
        <v>53</v>
      </c>
      <c r="M906">
        <v>7028</v>
      </c>
      <c r="N906">
        <v>0.27</v>
      </c>
      <c r="O906">
        <v>15535</v>
      </c>
      <c r="P906">
        <v>15</v>
      </c>
      <c r="Q906" t="s">
        <v>56</v>
      </c>
      <c r="R906" t="s">
        <v>61</v>
      </c>
    </row>
    <row r="907" spans="1:18">
      <c r="A907">
        <v>10906</v>
      </c>
      <c r="B907" s="2">
        <v>45102</v>
      </c>
      <c r="C907" s="2">
        <v>45104</v>
      </c>
      <c r="D907" s="2">
        <v>45108</v>
      </c>
      <c r="E907" t="s">
        <v>20</v>
      </c>
      <c r="F907" t="s">
        <v>22</v>
      </c>
      <c r="G907" t="s">
        <v>24</v>
      </c>
      <c r="H907" t="s">
        <v>25</v>
      </c>
      <c r="I907" t="s">
        <v>36</v>
      </c>
      <c r="J907" t="s">
        <v>43</v>
      </c>
      <c r="K907" t="s">
        <v>49</v>
      </c>
      <c r="L907" t="s">
        <v>52</v>
      </c>
      <c r="M907">
        <v>74251</v>
      </c>
      <c r="N907">
        <v>0.06</v>
      </c>
      <c r="O907">
        <v>-242</v>
      </c>
      <c r="P907">
        <v>14</v>
      </c>
      <c r="Q907" t="s">
        <v>55</v>
      </c>
      <c r="R907" t="s">
        <v>61</v>
      </c>
    </row>
    <row r="908" spans="1:18">
      <c r="A908">
        <v>10907</v>
      </c>
      <c r="B908" s="2">
        <v>45103</v>
      </c>
      <c r="C908" s="2">
        <v>45105</v>
      </c>
      <c r="D908" s="2">
        <v>45109</v>
      </c>
      <c r="E908" t="s">
        <v>19</v>
      </c>
      <c r="F908" t="s">
        <v>22</v>
      </c>
      <c r="G908" t="s">
        <v>28</v>
      </c>
      <c r="H908" t="s">
        <v>29</v>
      </c>
      <c r="I908" t="s">
        <v>36</v>
      </c>
      <c r="J908" t="s">
        <v>40</v>
      </c>
      <c r="K908" t="s">
        <v>45</v>
      </c>
      <c r="L908" t="s">
        <v>53</v>
      </c>
      <c r="M908">
        <v>22564</v>
      </c>
      <c r="N908">
        <v>0.38</v>
      </c>
      <c r="O908">
        <v>17226</v>
      </c>
      <c r="P908">
        <v>20</v>
      </c>
      <c r="Q908" t="s">
        <v>56</v>
      </c>
      <c r="R908" t="s">
        <v>61</v>
      </c>
    </row>
    <row r="909" spans="1:18">
      <c r="A909">
        <v>10908</v>
      </c>
      <c r="B909" s="2">
        <v>45104</v>
      </c>
      <c r="C909" s="2">
        <v>45106</v>
      </c>
      <c r="D909" s="2">
        <v>45110</v>
      </c>
      <c r="E909" t="s">
        <v>19</v>
      </c>
      <c r="F909" t="s">
        <v>22</v>
      </c>
      <c r="G909" t="s">
        <v>28</v>
      </c>
      <c r="H909" t="s">
        <v>31</v>
      </c>
      <c r="I909" t="s">
        <v>36</v>
      </c>
      <c r="J909" t="s">
        <v>41</v>
      </c>
      <c r="K909" t="s">
        <v>49</v>
      </c>
      <c r="L909" t="s">
        <v>52</v>
      </c>
      <c r="M909">
        <v>35156</v>
      </c>
      <c r="N909">
        <v>0.01</v>
      </c>
      <c r="O909">
        <v>1808</v>
      </c>
      <c r="P909">
        <v>20</v>
      </c>
      <c r="Q909" t="s">
        <v>54</v>
      </c>
      <c r="R909" t="s">
        <v>62</v>
      </c>
    </row>
    <row r="910" spans="1:18">
      <c r="A910">
        <v>10909</v>
      </c>
      <c r="B910" s="2">
        <v>45105</v>
      </c>
      <c r="C910" s="2">
        <v>45107</v>
      </c>
      <c r="D910" s="2">
        <v>45111</v>
      </c>
      <c r="E910" t="s">
        <v>21</v>
      </c>
      <c r="F910" t="s">
        <v>22</v>
      </c>
      <c r="G910" t="s">
        <v>27</v>
      </c>
      <c r="H910" t="s">
        <v>31</v>
      </c>
      <c r="I910" t="s">
        <v>34</v>
      </c>
      <c r="J910" t="s">
        <v>40</v>
      </c>
      <c r="K910" t="s">
        <v>49</v>
      </c>
      <c r="L910" t="s">
        <v>53</v>
      </c>
      <c r="M910">
        <v>27672</v>
      </c>
      <c r="N910">
        <v>0.1</v>
      </c>
      <c r="O910">
        <v>355</v>
      </c>
      <c r="P910">
        <v>10</v>
      </c>
      <c r="Q910" t="s">
        <v>55</v>
      </c>
      <c r="R910" t="s">
        <v>61</v>
      </c>
    </row>
    <row r="911" spans="1:18">
      <c r="A911">
        <v>10910</v>
      </c>
      <c r="B911" s="2">
        <v>45106</v>
      </c>
      <c r="C911" s="2">
        <v>45108</v>
      </c>
      <c r="D911" s="2">
        <v>45112</v>
      </c>
      <c r="E911" t="s">
        <v>18</v>
      </c>
      <c r="F911" t="s">
        <v>22</v>
      </c>
      <c r="G911" t="s">
        <v>25</v>
      </c>
      <c r="H911" t="s">
        <v>33</v>
      </c>
      <c r="I911" t="s">
        <v>35</v>
      </c>
      <c r="J911" t="s">
        <v>37</v>
      </c>
      <c r="K911" t="s">
        <v>47</v>
      </c>
      <c r="L911" t="s">
        <v>52</v>
      </c>
      <c r="M911">
        <v>10478</v>
      </c>
      <c r="N911">
        <v>0.21</v>
      </c>
      <c r="O911">
        <v>-1648</v>
      </c>
      <c r="P911">
        <v>3</v>
      </c>
      <c r="Q911" t="s">
        <v>54</v>
      </c>
      <c r="R911" t="s">
        <v>60</v>
      </c>
    </row>
    <row r="912" spans="1:18">
      <c r="A912">
        <v>10911</v>
      </c>
      <c r="B912" s="2">
        <v>45107</v>
      </c>
      <c r="C912" s="2">
        <v>45109</v>
      </c>
      <c r="D912" s="2">
        <v>45113</v>
      </c>
      <c r="E912" t="s">
        <v>19</v>
      </c>
      <c r="F912" t="s">
        <v>22</v>
      </c>
      <c r="G912" t="s">
        <v>28</v>
      </c>
      <c r="H912" t="s">
        <v>32</v>
      </c>
      <c r="I912" t="s">
        <v>34</v>
      </c>
      <c r="J912" t="s">
        <v>39</v>
      </c>
      <c r="K912" t="s">
        <v>45</v>
      </c>
      <c r="L912" t="s">
        <v>51</v>
      </c>
      <c r="M912">
        <v>60608</v>
      </c>
      <c r="N912">
        <v>0.31</v>
      </c>
      <c r="O912">
        <v>16682</v>
      </c>
      <c r="P912">
        <v>14</v>
      </c>
      <c r="Q912" t="s">
        <v>55</v>
      </c>
      <c r="R912" t="s">
        <v>62</v>
      </c>
    </row>
    <row r="913" spans="1:18">
      <c r="A913">
        <v>10912</v>
      </c>
      <c r="B913" s="2">
        <v>45108</v>
      </c>
      <c r="C913" s="2">
        <v>45110</v>
      </c>
      <c r="D913" s="2">
        <v>45114</v>
      </c>
      <c r="E913" t="s">
        <v>21</v>
      </c>
      <c r="F913" t="s">
        <v>22</v>
      </c>
      <c r="G913" t="s">
        <v>28</v>
      </c>
      <c r="H913" t="s">
        <v>31</v>
      </c>
      <c r="I913" t="s">
        <v>34</v>
      </c>
      <c r="J913" t="s">
        <v>41</v>
      </c>
      <c r="K913" t="s">
        <v>50</v>
      </c>
      <c r="L913" t="s">
        <v>51</v>
      </c>
      <c r="M913">
        <v>37076</v>
      </c>
      <c r="N913">
        <v>0.19</v>
      </c>
      <c r="O913">
        <v>-1839</v>
      </c>
      <c r="P913">
        <v>4</v>
      </c>
      <c r="Q913" t="s">
        <v>56</v>
      </c>
      <c r="R913" t="s">
        <v>60</v>
      </c>
    </row>
    <row r="914" spans="1:18">
      <c r="A914">
        <v>10913</v>
      </c>
      <c r="B914" s="2">
        <v>45109</v>
      </c>
      <c r="C914" s="2">
        <v>45111</v>
      </c>
      <c r="D914" s="2">
        <v>45115</v>
      </c>
      <c r="E914" t="s">
        <v>20</v>
      </c>
      <c r="F914" t="s">
        <v>22</v>
      </c>
      <c r="G914" t="s">
        <v>23</v>
      </c>
      <c r="H914" t="s">
        <v>31</v>
      </c>
      <c r="I914" t="s">
        <v>35</v>
      </c>
      <c r="J914" t="s">
        <v>37</v>
      </c>
      <c r="K914" t="s">
        <v>50</v>
      </c>
      <c r="L914" t="s">
        <v>52</v>
      </c>
      <c r="M914">
        <v>7386</v>
      </c>
      <c r="N914">
        <v>0.28000000000000003</v>
      </c>
      <c r="O914">
        <v>4656</v>
      </c>
      <c r="P914">
        <v>9</v>
      </c>
      <c r="Q914" t="s">
        <v>55</v>
      </c>
      <c r="R914" t="s">
        <v>61</v>
      </c>
    </row>
    <row r="915" spans="1:18">
      <c r="A915">
        <v>10914</v>
      </c>
      <c r="B915" s="2">
        <v>45110</v>
      </c>
      <c r="C915" s="2">
        <v>45112</v>
      </c>
      <c r="D915" s="2">
        <v>45116</v>
      </c>
      <c r="E915" t="s">
        <v>20</v>
      </c>
      <c r="F915" t="s">
        <v>22</v>
      </c>
      <c r="G915" t="s">
        <v>28</v>
      </c>
      <c r="H915" t="s">
        <v>32</v>
      </c>
      <c r="I915" t="s">
        <v>36</v>
      </c>
      <c r="J915" t="s">
        <v>42</v>
      </c>
      <c r="K915" t="s">
        <v>47</v>
      </c>
      <c r="L915" t="s">
        <v>53</v>
      </c>
      <c r="M915">
        <v>6063</v>
      </c>
      <c r="N915">
        <v>0.26</v>
      </c>
      <c r="O915">
        <v>6173</v>
      </c>
      <c r="P915">
        <v>17</v>
      </c>
      <c r="Q915" t="s">
        <v>56</v>
      </c>
      <c r="R915" t="s">
        <v>61</v>
      </c>
    </row>
    <row r="916" spans="1:18">
      <c r="A916">
        <v>10915</v>
      </c>
      <c r="B916" s="2">
        <v>45111</v>
      </c>
      <c r="C916" s="2">
        <v>45113</v>
      </c>
      <c r="D916" s="2">
        <v>45117</v>
      </c>
      <c r="E916" t="s">
        <v>20</v>
      </c>
      <c r="F916" t="s">
        <v>22</v>
      </c>
      <c r="G916" t="s">
        <v>28</v>
      </c>
      <c r="H916" t="s">
        <v>32</v>
      </c>
      <c r="I916" t="s">
        <v>35</v>
      </c>
      <c r="J916" t="s">
        <v>42</v>
      </c>
      <c r="K916" t="s">
        <v>45</v>
      </c>
      <c r="L916" t="s">
        <v>53</v>
      </c>
      <c r="M916">
        <v>56545</v>
      </c>
      <c r="N916">
        <v>0.28000000000000003</v>
      </c>
      <c r="O916">
        <v>16101</v>
      </c>
      <c r="P916">
        <v>8</v>
      </c>
      <c r="Q916" t="s">
        <v>56</v>
      </c>
      <c r="R916" t="s">
        <v>59</v>
      </c>
    </row>
    <row r="917" spans="1:18">
      <c r="A917">
        <v>10916</v>
      </c>
      <c r="B917" s="2">
        <v>45112</v>
      </c>
      <c r="C917" s="2">
        <v>45114</v>
      </c>
      <c r="D917" s="2">
        <v>45118</v>
      </c>
      <c r="E917" t="s">
        <v>18</v>
      </c>
      <c r="F917" t="s">
        <v>22</v>
      </c>
      <c r="G917" t="s">
        <v>27</v>
      </c>
      <c r="H917" t="s">
        <v>31</v>
      </c>
      <c r="I917" t="s">
        <v>34</v>
      </c>
      <c r="J917" t="s">
        <v>40</v>
      </c>
      <c r="K917" t="s">
        <v>46</v>
      </c>
      <c r="L917" t="s">
        <v>53</v>
      </c>
      <c r="M917">
        <v>6205</v>
      </c>
      <c r="N917">
        <v>0.36</v>
      </c>
      <c r="O917">
        <v>-56</v>
      </c>
      <c r="P917">
        <v>12</v>
      </c>
      <c r="Q917" t="s">
        <v>58</v>
      </c>
      <c r="R917" t="s">
        <v>60</v>
      </c>
    </row>
    <row r="918" spans="1:18">
      <c r="A918">
        <v>10917</v>
      </c>
      <c r="B918" s="2">
        <v>45113</v>
      </c>
      <c r="C918" s="2">
        <v>45115</v>
      </c>
      <c r="D918" s="2">
        <v>45119</v>
      </c>
      <c r="E918" t="s">
        <v>19</v>
      </c>
      <c r="F918" t="s">
        <v>22</v>
      </c>
      <c r="G918" t="s">
        <v>24</v>
      </c>
      <c r="H918" t="s">
        <v>25</v>
      </c>
      <c r="I918" t="s">
        <v>36</v>
      </c>
      <c r="J918" t="s">
        <v>39</v>
      </c>
      <c r="K918" t="s">
        <v>49</v>
      </c>
      <c r="L918" t="s">
        <v>53</v>
      </c>
      <c r="M918">
        <v>56062</v>
      </c>
      <c r="N918">
        <v>0.18</v>
      </c>
      <c r="O918">
        <v>-336</v>
      </c>
      <c r="P918">
        <v>14</v>
      </c>
      <c r="Q918" t="s">
        <v>55</v>
      </c>
      <c r="R918" t="s">
        <v>61</v>
      </c>
    </row>
    <row r="919" spans="1:18">
      <c r="A919">
        <v>10918</v>
      </c>
      <c r="B919" s="2">
        <v>45114</v>
      </c>
      <c r="C919" s="2">
        <v>45116</v>
      </c>
      <c r="D919" s="2">
        <v>45120</v>
      </c>
      <c r="E919" t="s">
        <v>19</v>
      </c>
      <c r="F919" t="s">
        <v>22</v>
      </c>
      <c r="G919" t="s">
        <v>27</v>
      </c>
      <c r="H919" t="s">
        <v>32</v>
      </c>
      <c r="I919" t="s">
        <v>36</v>
      </c>
      <c r="J919" t="s">
        <v>39</v>
      </c>
      <c r="K919" t="s">
        <v>45</v>
      </c>
      <c r="L919" t="s">
        <v>53</v>
      </c>
      <c r="M919">
        <v>32842</v>
      </c>
      <c r="N919">
        <v>0.09</v>
      </c>
      <c r="O919">
        <v>18244</v>
      </c>
      <c r="P919">
        <v>13</v>
      </c>
      <c r="Q919" t="s">
        <v>58</v>
      </c>
      <c r="R919" t="s">
        <v>61</v>
      </c>
    </row>
    <row r="920" spans="1:18">
      <c r="A920">
        <v>10919</v>
      </c>
      <c r="B920" s="2">
        <v>45115</v>
      </c>
      <c r="C920" s="2">
        <v>45117</v>
      </c>
      <c r="D920" s="2">
        <v>45121</v>
      </c>
      <c r="E920" t="s">
        <v>20</v>
      </c>
      <c r="F920" t="s">
        <v>22</v>
      </c>
      <c r="G920" t="s">
        <v>27</v>
      </c>
      <c r="H920" t="s">
        <v>30</v>
      </c>
      <c r="I920" t="s">
        <v>36</v>
      </c>
      <c r="J920" t="s">
        <v>40</v>
      </c>
      <c r="K920" t="s">
        <v>48</v>
      </c>
      <c r="L920" t="s">
        <v>52</v>
      </c>
      <c r="M920">
        <v>40691</v>
      </c>
      <c r="N920">
        <v>0.33</v>
      </c>
      <c r="O920">
        <v>13347</v>
      </c>
      <c r="P920">
        <v>2</v>
      </c>
      <c r="Q920" t="s">
        <v>57</v>
      </c>
      <c r="R920" t="s">
        <v>60</v>
      </c>
    </row>
    <row r="921" spans="1:18">
      <c r="A921">
        <v>10920</v>
      </c>
      <c r="B921" s="2">
        <v>45116</v>
      </c>
      <c r="C921" s="2">
        <v>45118</v>
      </c>
      <c r="D921" s="2">
        <v>45122</v>
      </c>
      <c r="E921" t="s">
        <v>18</v>
      </c>
      <c r="F921" t="s">
        <v>22</v>
      </c>
      <c r="G921" t="s">
        <v>23</v>
      </c>
      <c r="H921" t="s">
        <v>30</v>
      </c>
      <c r="I921" t="s">
        <v>34</v>
      </c>
      <c r="J921" t="s">
        <v>40</v>
      </c>
      <c r="K921" t="s">
        <v>46</v>
      </c>
      <c r="L921" t="s">
        <v>53</v>
      </c>
      <c r="M921">
        <v>67754</v>
      </c>
      <c r="N921">
        <v>0.15</v>
      </c>
      <c r="O921">
        <v>8839</v>
      </c>
      <c r="P921">
        <v>21</v>
      </c>
      <c r="Q921" t="s">
        <v>55</v>
      </c>
      <c r="R921" t="s">
        <v>60</v>
      </c>
    </row>
    <row r="922" spans="1:18">
      <c r="A922">
        <v>10921</v>
      </c>
      <c r="B922" s="2">
        <v>45117</v>
      </c>
      <c r="C922" s="2">
        <v>45119</v>
      </c>
      <c r="D922" s="2">
        <v>45123</v>
      </c>
      <c r="E922" t="s">
        <v>18</v>
      </c>
      <c r="F922" t="s">
        <v>22</v>
      </c>
      <c r="G922" t="s">
        <v>28</v>
      </c>
      <c r="H922" t="s">
        <v>33</v>
      </c>
      <c r="I922" t="s">
        <v>35</v>
      </c>
      <c r="J922" t="s">
        <v>38</v>
      </c>
      <c r="K922" t="s">
        <v>49</v>
      </c>
      <c r="L922" t="s">
        <v>51</v>
      </c>
      <c r="M922">
        <v>2346</v>
      </c>
      <c r="N922">
        <v>0.09</v>
      </c>
      <c r="O922">
        <v>11335</v>
      </c>
      <c r="P922">
        <v>5</v>
      </c>
      <c r="Q922" t="s">
        <v>57</v>
      </c>
      <c r="R922" t="s">
        <v>62</v>
      </c>
    </row>
    <row r="923" spans="1:18">
      <c r="A923">
        <v>10922</v>
      </c>
      <c r="B923" s="2">
        <v>45118</v>
      </c>
      <c r="C923" s="2">
        <v>45120</v>
      </c>
      <c r="D923" s="2">
        <v>45124</v>
      </c>
      <c r="E923" t="s">
        <v>18</v>
      </c>
      <c r="F923" t="s">
        <v>22</v>
      </c>
      <c r="G923" t="s">
        <v>25</v>
      </c>
      <c r="H923" t="s">
        <v>29</v>
      </c>
      <c r="I923" t="s">
        <v>34</v>
      </c>
      <c r="J923" t="s">
        <v>37</v>
      </c>
      <c r="K923" t="s">
        <v>44</v>
      </c>
      <c r="L923" t="s">
        <v>51</v>
      </c>
      <c r="M923">
        <v>8790</v>
      </c>
      <c r="N923">
        <v>0.01</v>
      </c>
      <c r="O923">
        <v>-1447</v>
      </c>
      <c r="P923">
        <v>5</v>
      </c>
      <c r="Q923" t="s">
        <v>58</v>
      </c>
      <c r="R923" t="s">
        <v>60</v>
      </c>
    </row>
    <row r="924" spans="1:18">
      <c r="A924">
        <v>10923</v>
      </c>
      <c r="B924" s="2">
        <v>45119</v>
      </c>
      <c r="C924" s="2">
        <v>45121</v>
      </c>
      <c r="D924" s="2">
        <v>45125</v>
      </c>
      <c r="E924" t="s">
        <v>21</v>
      </c>
      <c r="F924" t="s">
        <v>22</v>
      </c>
      <c r="G924" t="s">
        <v>25</v>
      </c>
      <c r="H924" t="s">
        <v>32</v>
      </c>
      <c r="I924" t="s">
        <v>36</v>
      </c>
      <c r="J924" t="s">
        <v>43</v>
      </c>
      <c r="K924" t="s">
        <v>50</v>
      </c>
      <c r="L924" t="s">
        <v>52</v>
      </c>
      <c r="M924">
        <v>62191</v>
      </c>
      <c r="N924">
        <v>0.36</v>
      </c>
      <c r="O924">
        <v>12612</v>
      </c>
      <c r="P924">
        <v>12</v>
      </c>
      <c r="Q924" t="s">
        <v>54</v>
      </c>
      <c r="R924" t="s">
        <v>62</v>
      </c>
    </row>
    <row r="925" spans="1:18">
      <c r="A925">
        <v>10924</v>
      </c>
      <c r="B925" s="2">
        <v>45120</v>
      </c>
      <c r="C925" s="2">
        <v>45122</v>
      </c>
      <c r="D925" s="2">
        <v>45126</v>
      </c>
      <c r="E925" t="s">
        <v>20</v>
      </c>
      <c r="F925" t="s">
        <v>22</v>
      </c>
      <c r="G925" t="s">
        <v>23</v>
      </c>
      <c r="H925" t="s">
        <v>33</v>
      </c>
      <c r="I925" t="s">
        <v>36</v>
      </c>
      <c r="J925" t="s">
        <v>37</v>
      </c>
      <c r="K925" t="s">
        <v>47</v>
      </c>
      <c r="L925" t="s">
        <v>51</v>
      </c>
      <c r="M925">
        <v>11071</v>
      </c>
      <c r="N925">
        <v>0.27</v>
      </c>
      <c r="O925">
        <v>19100</v>
      </c>
      <c r="P925">
        <v>19</v>
      </c>
      <c r="Q925" t="s">
        <v>58</v>
      </c>
      <c r="R925" t="s">
        <v>59</v>
      </c>
    </row>
    <row r="926" spans="1:18">
      <c r="A926">
        <v>10925</v>
      </c>
      <c r="B926" s="2">
        <v>45121</v>
      </c>
      <c r="C926" s="2">
        <v>45123</v>
      </c>
      <c r="D926" s="2">
        <v>45127</v>
      </c>
      <c r="E926" t="s">
        <v>18</v>
      </c>
      <c r="F926" t="s">
        <v>22</v>
      </c>
      <c r="G926" t="s">
        <v>27</v>
      </c>
      <c r="H926" t="s">
        <v>30</v>
      </c>
      <c r="I926" t="s">
        <v>36</v>
      </c>
      <c r="J926" t="s">
        <v>42</v>
      </c>
      <c r="K926" t="s">
        <v>45</v>
      </c>
      <c r="L926" t="s">
        <v>53</v>
      </c>
      <c r="M926">
        <v>43201</v>
      </c>
      <c r="N926">
        <v>0.16</v>
      </c>
      <c r="O926">
        <v>10100</v>
      </c>
      <c r="P926">
        <v>7</v>
      </c>
      <c r="Q926" t="s">
        <v>58</v>
      </c>
      <c r="R926" t="s">
        <v>62</v>
      </c>
    </row>
    <row r="927" spans="1:18">
      <c r="A927">
        <v>10926</v>
      </c>
      <c r="B927" s="2">
        <v>45122</v>
      </c>
      <c r="C927" s="2">
        <v>45124</v>
      </c>
      <c r="D927" s="2">
        <v>45128</v>
      </c>
      <c r="E927" t="s">
        <v>19</v>
      </c>
      <c r="F927" t="s">
        <v>22</v>
      </c>
      <c r="G927" t="s">
        <v>28</v>
      </c>
      <c r="H927" t="s">
        <v>29</v>
      </c>
      <c r="I927" t="s">
        <v>35</v>
      </c>
      <c r="J927" t="s">
        <v>38</v>
      </c>
      <c r="K927" t="s">
        <v>45</v>
      </c>
      <c r="L927" t="s">
        <v>52</v>
      </c>
      <c r="M927">
        <v>9383</v>
      </c>
      <c r="N927">
        <v>0.08</v>
      </c>
      <c r="O927">
        <v>19165</v>
      </c>
      <c r="P927">
        <v>10</v>
      </c>
      <c r="Q927" t="s">
        <v>56</v>
      </c>
      <c r="R927" t="s">
        <v>61</v>
      </c>
    </row>
    <row r="928" spans="1:18">
      <c r="A928">
        <v>10927</v>
      </c>
      <c r="B928" s="2">
        <v>45123</v>
      </c>
      <c r="C928" s="2">
        <v>45125</v>
      </c>
      <c r="D928" s="2">
        <v>45129</v>
      </c>
      <c r="E928" t="s">
        <v>20</v>
      </c>
      <c r="F928" t="s">
        <v>22</v>
      </c>
      <c r="G928" t="s">
        <v>26</v>
      </c>
      <c r="H928" t="s">
        <v>30</v>
      </c>
      <c r="I928" t="s">
        <v>34</v>
      </c>
      <c r="J928" t="s">
        <v>40</v>
      </c>
      <c r="K928" t="s">
        <v>44</v>
      </c>
      <c r="L928" t="s">
        <v>51</v>
      </c>
      <c r="M928">
        <v>33155</v>
      </c>
      <c r="N928">
        <v>0.37</v>
      </c>
      <c r="O928">
        <v>6609</v>
      </c>
      <c r="P928">
        <v>21</v>
      </c>
      <c r="Q928" t="s">
        <v>55</v>
      </c>
      <c r="R928" t="s">
        <v>62</v>
      </c>
    </row>
    <row r="929" spans="1:18">
      <c r="A929">
        <v>10928</v>
      </c>
      <c r="B929" s="2">
        <v>45124</v>
      </c>
      <c r="C929" s="2">
        <v>45126</v>
      </c>
      <c r="D929" s="2">
        <v>45130</v>
      </c>
      <c r="E929" t="s">
        <v>21</v>
      </c>
      <c r="F929" t="s">
        <v>22</v>
      </c>
      <c r="G929" t="s">
        <v>27</v>
      </c>
      <c r="H929" t="s">
        <v>25</v>
      </c>
      <c r="I929" t="s">
        <v>35</v>
      </c>
      <c r="J929" t="s">
        <v>42</v>
      </c>
      <c r="K929" t="s">
        <v>45</v>
      </c>
      <c r="L929" t="s">
        <v>51</v>
      </c>
      <c r="M929">
        <v>24397</v>
      </c>
      <c r="N929">
        <v>7.0000000000000007E-2</v>
      </c>
      <c r="O929">
        <v>12204</v>
      </c>
      <c r="P929">
        <v>8</v>
      </c>
      <c r="Q929" t="s">
        <v>58</v>
      </c>
      <c r="R929" t="s">
        <v>61</v>
      </c>
    </row>
    <row r="930" spans="1:18">
      <c r="A930">
        <v>10929</v>
      </c>
      <c r="B930" s="2">
        <v>45125</v>
      </c>
      <c r="C930" s="2">
        <v>45127</v>
      </c>
      <c r="D930" s="2">
        <v>45131</v>
      </c>
      <c r="E930" t="s">
        <v>18</v>
      </c>
      <c r="F930" t="s">
        <v>22</v>
      </c>
      <c r="G930" t="s">
        <v>24</v>
      </c>
      <c r="H930" t="s">
        <v>32</v>
      </c>
      <c r="I930" t="s">
        <v>36</v>
      </c>
      <c r="J930" t="s">
        <v>37</v>
      </c>
      <c r="K930" t="s">
        <v>47</v>
      </c>
      <c r="L930" t="s">
        <v>53</v>
      </c>
      <c r="M930">
        <v>59055</v>
      </c>
      <c r="N930">
        <v>0.21</v>
      </c>
      <c r="O930">
        <v>19620</v>
      </c>
      <c r="P930">
        <v>20</v>
      </c>
      <c r="Q930" t="s">
        <v>54</v>
      </c>
      <c r="R930" t="s">
        <v>62</v>
      </c>
    </row>
    <row r="931" spans="1:18">
      <c r="A931">
        <v>10930</v>
      </c>
      <c r="B931" s="2">
        <v>45126</v>
      </c>
      <c r="C931" s="2">
        <v>45128</v>
      </c>
      <c r="D931" s="2">
        <v>45132</v>
      </c>
      <c r="E931" t="s">
        <v>19</v>
      </c>
      <c r="F931" t="s">
        <v>22</v>
      </c>
      <c r="G931" t="s">
        <v>24</v>
      </c>
      <c r="H931" t="s">
        <v>25</v>
      </c>
      <c r="I931" t="s">
        <v>34</v>
      </c>
      <c r="J931" t="s">
        <v>38</v>
      </c>
      <c r="K931" t="s">
        <v>49</v>
      </c>
      <c r="L931" t="s">
        <v>51</v>
      </c>
      <c r="M931">
        <v>43707</v>
      </c>
      <c r="N931">
        <v>0.08</v>
      </c>
      <c r="O931">
        <v>12494</v>
      </c>
      <c r="P931">
        <v>16</v>
      </c>
      <c r="Q931" t="s">
        <v>54</v>
      </c>
      <c r="R931" t="s">
        <v>62</v>
      </c>
    </row>
    <row r="932" spans="1:18">
      <c r="A932">
        <v>10931</v>
      </c>
      <c r="B932" s="2">
        <v>45127</v>
      </c>
      <c r="C932" s="2">
        <v>45129</v>
      </c>
      <c r="D932" s="2">
        <v>45133</v>
      </c>
      <c r="E932" t="s">
        <v>19</v>
      </c>
      <c r="F932" t="s">
        <v>22</v>
      </c>
      <c r="G932" t="s">
        <v>28</v>
      </c>
      <c r="H932" t="s">
        <v>30</v>
      </c>
      <c r="I932" t="s">
        <v>34</v>
      </c>
      <c r="J932" t="s">
        <v>37</v>
      </c>
      <c r="K932" t="s">
        <v>49</v>
      </c>
      <c r="L932" t="s">
        <v>51</v>
      </c>
      <c r="M932">
        <v>2267</v>
      </c>
      <c r="N932">
        <v>0.31</v>
      </c>
      <c r="O932">
        <v>12966</v>
      </c>
      <c r="P932">
        <v>21</v>
      </c>
      <c r="Q932" t="s">
        <v>55</v>
      </c>
      <c r="R932" t="s">
        <v>61</v>
      </c>
    </row>
    <row r="933" spans="1:18">
      <c r="A933">
        <v>10932</v>
      </c>
      <c r="B933" s="2">
        <v>45128</v>
      </c>
      <c r="C933" s="2">
        <v>45130</v>
      </c>
      <c r="D933" s="2">
        <v>45134</v>
      </c>
      <c r="E933" t="s">
        <v>21</v>
      </c>
      <c r="F933" t="s">
        <v>22</v>
      </c>
      <c r="G933" t="s">
        <v>27</v>
      </c>
      <c r="H933" t="s">
        <v>31</v>
      </c>
      <c r="I933" t="s">
        <v>34</v>
      </c>
      <c r="J933" t="s">
        <v>40</v>
      </c>
      <c r="K933" t="s">
        <v>48</v>
      </c>
      <c r="L933" t="s">
        <v>51</v>
      </c>
      <c r="M933">
        <v>47683</v>
      </c>
      <c r="N933">
        <v>0.19</v>
      </c>
      <c r="O933">
        <v>-1101</v>
      </c>
      <c r="P933">
        <v>22</v>
      </c>
      <c r="Q933" t="s">
        <v>54</v>
      </c>
      <c r="R933" t="s">
        <v>62</v>
      </c>
    </row>
    <row r="934" spans="1:18">
      <c r="A934">
        <v>10933</v>
      </c>
      <c r="B934" s="2">
        <v>45129</v>
      </c>
      <c r="C934" s="2">
        <v>45131</v>
      </c>
      <c r="D934" s="2">
        <v>45135</v>
      </c>
      <c r="E934" t="s">
        <v>18</v>
      </c>
      <c r="F934" t="s">
        <v>22</v>
      </c>
      <c r="G934" t="s">
        <v>27</v>
      </c>
      <c r="H934" t="s">
        <v>30</v>
      </c>
      <c r="I934" t="s">
        <v>36</v>
      </c>
      <c r="J934" t="s">
        <v>40</v>
      </c>
      <c r="K934" t="s">
        <v>47</v>
      </c>
      <c r="L934" t="s">
        <v>51</v>
      </c>
      <c r="M934">
        <v>68458</v>
      </c>
      <c r="N934">
        <v>7.0000000000000007E-2</v>
      </c>
      <c r="O934">
        <v>9154</v>
      </c>
      <c r="P934">
        <v>19</v>
      </c>
      <c r="Q934" t="s">
        <v>58</v>
      </c>
      <c r="R934" t="s">
        <v>60</v>
      </c>
    </row>
    <row r="935" spans="1:18">
      <c r="A935">
        <v>10934</v>
      </c>
      <c r="B935" s="2">
        <v>45130</v>
      </c>
      <c r="C935" s="2">
        <v>45132</v>
      </c>
      <c r="D935" s="2">
        <v>45136</v>
      </c>
      <c r="E935" t="s">
        <v>19</v>
      </c>
      <c r="F935" t="s">
        <v>22</v>
      </c>
      <c r="G935" t="s">
        <v>26</v>
      </c>
      <c r="H935" t="s">
        <v>33</v>
      </c>
      <c r="I935" t="s">
        <v>36</v>
      </c>
      <c r="J935" t="s">
        <v>43</v>
      </c>
      <c r="K935" t="s">
        <v>46</v>
      </c>
      <c r="L935" t="s">
        <v>51</v>
      </c>
      <c r="M935">
        <v>14523</v>
      </c>
      <c r="N935">
        <v>0.06</v>
      </c>
      <c r="O935">
        <v>10741</v>
      </c>
      <c r="P935">
        <v>14</v>
      </c>
      <c r="Q935" t="s">
        <v>58</v>
      </c>
      <c r="R935" t="s">
        <v>59</v>
      </c>
    </row>
    <row r="936" spans="1:18">
      <c r="A936">
        <v>10935</v>
      </c>
      <c r="B936" s="2">
        <v>45131</v>
      </c>
      <c r="C936" s="2">
        <v>45133</v>
      </c>
      <c r="D936" s="2">
        <v>45137</v>
      </c>
      <c r="E936" t="s">
        <v>20</v>
      </c>
      <c r="F936" t="s">
        <v>22</v>
      </c>
      <c r="G936" t="s">
        <v>28</v>
      </c>
      <c r="H936" t="s">
        <v>32</v>
      </c>
      <c r="I936" t="s">
        <v>35</v>
      </c>
      <c r="J936" t="s">
        <v>42</v>
      </c>
      <c r="K936" t="s">
        <v>47</v>
      </c>
      <c r="L936" t="s">
        <v>52</v>
      </c>
      <c r="M936">
        <v>48745</v>
      </c>
      <c r="N936">
        <v>0</v>
      </c>
      <c r="O936">
        <v>10812</v>
      </c>
      <c r="P936">
        <v>9</v>
      </c>
      <c r="Q936" t="s">
        <v>56</v>
      </c>
      <c r="R936" t="s">
        <v>61</v>
      </c>
    </row>
    <row r="937" spans="1:18">
      <c r="A937">
        <v>10936</v>
      </c>
      <c r="B937" s="2">
        <v>45132</v>
      </c>
      <c r="C937" s="2">
        <v>45134</v>
      </c>
      <c r="D937" s="2">
        <v>45138</v>
      </c>
      <c r="E937" t="s">
        <v>20</v>
      </c>
      <c r="F937" t="s">
        <v>22</v>
      </c>
      <c r="G937" t="s">
        <v>26</v>
      </c>
      <c r="H937" t="s">
        <v>31</v>
      </c>
      <c r="I937" t="s">
        <v>34</v>
      </c>
      <c r="J937" t="s">
        <v>42</v>
      </c>
      <c r="K937" t="s">
        <v>49</v>
      </c>
      <c r="L937" t="s">
        <v>53</v>
      </c>
      <c r="M937">
        <v>35274</v>
      </c>
      <c r="N937">
        <v>0.24</v>
      </c>
      <c r="O937">
        <v>10164</v>
      </c>
      <c r="P937">
        <v>3</v>
      </c>
      <c r="Q937" t="s">
        <v>57</v>
      </c>
      <c r="R937" t="s">
        <v>62</v>
      </c>
    </row>
    <row r="938" spans="1:18">
      <c r="A938">
        <v>10937</v>
      </c>
      <c r="B938" s="2">
        <v>45133</v>
      </c>
      <c r="C938" s="2">
        <v>45135</v>
      </c>
      <c r="D938" s="2">
        <v>45139</v>
      </c>
      <c r="E938" t="s">
        <v>20</v>
      </c>
      <c r="F938" t="s">
        <v>22</v>
      </c>
      <c r="G938" t="s">
        <v>25</v>
      </c>
      <c r="H938" t="s">
        <v>31</v>
      </c>
      <c r="I938" t="s">
        <v>34</v>
      </c>
      <c r="J938" t="s">
        <v>37</v>
      </c>
      <c r="K938" t="s">
        <v>49</v>
      </c>
      <c r="L938" t="s">
        <v>51</v>
      </c>
      <c r="M938">
        <v>29940</v>
      </c>
      <c r="N938">
        <v>0.2</v>
      </c>
      <c r="O938">
        <v>231</v>
      </c>
      <c r="P938">
        <v>9</v>
      </c>
      <c r="Q938" t="s">
        <v>56</v>
      </c>
      <c r="R938" t="s">
        <v>60</v>
      </c>
    </row>
    <row r="939" spans="1:18">
      <c r="A939">
        <v>10938</v>
      </c>
      <c r="B939" s="2">
        <v>45134</v>
      </c>
      <c r="C939" s="2">
        <v>45136</v>
      </c>
      <c r="D939" s="2">
        <v>45140</v>
      </c>
      <c r="E939" t="s">
        <v>18</v>
      </c>
      <c r="F939" t="s">
        <v>22</v>
      </c>
      <c r="G939" t="s">
        <v>28</v>
      </c>
      <c r="H939" t="s">
        <v>30</v>
      </c>
      <c r="I939" t="s">
        <v>36</v>
      </c>
      <c r="J939" t="s">
        <v>37</v>
      </c>
      <c r="K939" t="s">
        <v>48</v>
      </c>
      <c r="L939" t="s">
        <v>52</v>
      </c>
      <c r="M939">
        <v>37261</v>
      </c>
      <c r="N939">
        <v>0.08</v>
      </c>
      <c r="O939">
        <v>2335</v>
      </c>
      <c r="P939">
        <v>17</v>
      </c>
      <c r="Q939" t="s">
        <v>56</v>
      </c>
      <c r="R939" t="s">
        <v>60</v>
      </c>
    </row>
    <row r="940" spans="1:18">
      <c r="A940">
        <v>10939</v>
      </c>
      <c r="B940" s="2">
        <v>45135</v>
      </c>
      <c r="C940" s="2">
        <v>45137</v>
      </c>
      <c r="D940" s="2">
        <v>45141</v>
      </c>
      <c r="E940" t="s">
        <v>20</v>
      </c>
      <c r="F940" t="s">
        <v>22</v>
      </c>
      <c r="G940" t="s">
        <v>24</v>
      </c>
      <c r="H940" t="s">
        <v>30</v>
      </c>
      <c r="I940" t="s">
        <v>34</v>
      </c>
      <c r="J940" t="s">
        <v>37</v>
      </c>
      <c r="K940" t="s">
        <v>47</v>
      </c>
      <c r="L940" t="s">
        <v>52</v>
      </c>
      <c r="M940">
        <v>29477</v>
      </c>
      <c r="N940">
        <v>0.01</v>
      </c>
      <c r="O940">
        <v>-442</v>
      </c>
      <c r="P940">
        <v>23</v>
      </c>
      <c r="Q940" t="s">
        <v>55</v>
      </c>
      <c r="R940" t="s">
        <v>60</v>
      </c>
    </row>
    <row r="941" spans="1:18">
      <c r="A941">
        <v>10940</v>
      </c>
      <c r="B941" s="2">
        <v>45136</v>
      </c>
      <c r="C941" s="2">
        <v>45138</v>
      </c>
      <c r="D941" s="2">
        <v>45142</v>
      </c>
      <c r="E941" t="s">
        <v>19</v>
      </c>
      <c r="F941" t="s">
        <v>22</v>
      </c>
      <c r="G941" t="s">
        <v>24</v>
      </c>
      <c r="H941" t="s">
        <v>30</v>
      </c>
      <c r="I941" t="s">
        <v>35</v>
      </c>
      <c r="J941" t="s">
        <v>39</v>
      </c>
      <c r="K941" t="s">
        <v>47</v>
      </c>
      <c r="L941" t="s">
        <v>53</v>
      </c>
      <c r="M941">
        <v>1898</v>
      </c>
      <c r="N941">
        <v>0.33</v>
      </c>
      <c r="O941">
        <v>19021</v>
      </c>
      <c r="P941">
        <v>18</v>
      </c>
      <c r="Q941" t="s">
        <v>54</v>
      </c>
      <c r="R941" t="s">
        <v>61</v>
      </c>
    </row>
    <row r="942" spans="1:18">
      <c r="A942">
        <v>10941</v>
      </c>
      <c r="B942" s="2">
        <v>45137</v>
      </c>
      <c r="C942" s="2">
        <v>45139</v>
      </c>
      <c r="D942" s="2">
        <v>45143</v>
      </c>
      <c r="E942" t="s">
        <v>20</v>
      </c>
      <c r="F942" t="s">
        <v>22</v>
      </c>
      <c r="G942" t="s">
        <v>27</v>
      </c>
      <c r="H942" t="s">
        <v>25</v>
      </c>
      <c r="I942" t="s">
        <v>36</v>
      </c>
      <c r="J942" t="s">
        <v>42</v>
      </c>
      <c r="K942" t="s">
        <v>46</v>
      </c>
      <c r="L942" t="s">
        <v>53</v>
      </c>
      <c r="M942">
        <v>16848</v>
      </c>
      <c r="N942">
        <v>0.33</v>
      </c>
      <c r="O942">
        <v>5043</v>
      </c>
      <c r="P942">
        <v>18</v>
      </c>
      <c r="Q942" t="s">
        <v>56</v>
      </c>
      <c r="R942" t="s">
        <v>60</v>
      </c>
    </row>
    <row r="943" spans="1:18">
      <c r="A943">
        <v>10942</v>
      </c>
      <c r="B943" s="2">
        <v>45138</v>
      </c>
      <c r="C943" s="2">
        <v>45140</v>
      </c>
      <c r="D943" s="2">
        <v>45144</v>
      </c>
      <c r="E943" t="s">
        <v>20</v>
      </c>
      <c r="F943" t="s">
        <v>22</v>
      </c>
      <c r="G943" t="s">
        <v>26</v>
      </c>
      <c r="H943" t="s">
        <v>25</v>
      </c>
      <c r="I943" t="s">
        <v>34</v>
      </c>
      <c r="J943" t="s">
        <v>41</v>
      </c>
      <c r="K943" t="s">
        <v>50</v>
      </c>
      <c r="L943" t="s">
        <v>52</v>
      </c>
      <c r="M943">
        <v>12379</v>
      </c>
      <c r="N943">
        <v>0.22</v>
      </c>
      <c r="O943">
        <v>19659</v>
      </c>
      <c r="P943">
        <v>13</v>
      </c>
      <c r="Q943" t="s">
        <v>56</v>
      </c>
      <c r="R943" t="s">
        <v>61</v>
      </c>
    </row>
    <row r="944" spans="1:18">
      <c r="A944">
        <v>10943</v>
      </c>
      <c r="B944" s="2">
        <v>45139</v>
      </c>
      <c r="C944" s="2">
        <v>45141</v>
      </c>
      <c r="D944" s="2">
        <v>45145</v>
      </c>
      <c r="E944" t="s">
        <v>21</v>
      </c>
      <c r="F944" t="s">
        <v>22</v>
      </c>
      <c r="G944" t="s">
        <v>25</v>
      </c>
      <c r="H944" t="s">
        <v>29</v>
      </c>
      <c r="I944" t="s">
        <v>35</v>
      </c>
      <c r="J944" t="s">
        <v>37</v>
      </c>
      <c r="K944" t="s">
        <v>45</v>
      </c>
      <c r="L944" t="s">
        <v>52</v>
      </c>
      <c r="M944">
        <v>38087</v>
      </c>
      <c r="N944">
        <v>0.03</v>
      </c>
      <c r="O944">
        <v>3979</v>
      </c>
      <c r="P944">
        <v>8</v>
      </c>
      <c r="Q944" t="s">
        <v>57</v>
      </c>
      <c r="R944" t="s">
        <v>59</v>
      </c>
    </row>
    <row r="945" spans="1:18">
      <c r="A945">
        <v>10944</v>
      </c>
      <c r="B945" s="2">
        <v>45140</v>
      </c>
      <c r="C945" s="2">
        <v>45142</v>
      </c>
      <c r="D945" s="2">
        <v>45146</v>
      </c>
      <c r="E945" t="s">
        <v>18</v>
      </c>
      <c r="F945" t="s">
        <v>22</v>
      </c>
      <c r="G945" t="s">
        <v>27</v>
      </c>
      <c r="H945" t="s">
        <v>25</v>
      </c>
      <c r="I945" t="s">
        <v>35</v>
      </c>
      <c r="J945" t="s">
        <v>40</v>
      </c>
      <c r="K945" t="s">
        <v>44</v>
      </c>
      <c r="L945" t="s">
        <v>53</v>
      </c>
      <c r="M945">
        <v>44440</v>
      </c>
      <c r="N945">
        <v>0.04</v>
      </c>
      <c r="O945">
        <v>15510</v>
      </c>
      <c r="P945">
        <v>17</v>
      </c>
      <c r="Q945" t="s">
        <v>54</v>
      </c>
      <c r="R945" t="s">
        <v>62</v>
      </c>
    </row>
    <row r="946" spans="1:18">
      <c r="A946">
        <v>10945</v>
      </c>
      <c r="B946" s="2">
        <v>45141</v>
      </c>
      <c r="C946" s="2">
        <v>45143</v>
      </c>
      <c r="D946" s="2">
        <v>45147</v>
      </c>
      <c r="E946" t="s">
        <v>18</v>
      </c>
      <c r="F946" t="s">
        <v>22</v>
      </c>
      <c r="G946" t="s">
        <v>24</v>
      </c>
      <c r="H946" t="s">
        <v>32</v>
      </c>
      <c r="I946" t="s">
        <v>35</v>
      </c>
      <c r="J946" t="s">
        <v>37</v>
      </c>
      <c r="K946" t="s">
        <v>45</v>
      </c>
      <c r="L946" t="s">
        <v>52</v>
      </c>
      <c r="M946">
        <v>33156</v>
      </c>
      <c r="N946">
        <v>0.06</v>
      </c>
      <c r="O946">
        <v>19293</v>
      </c>
      <c r="P946">
        <v>5</v>
      </c>
      <c r="Q946" t="s">
        <v>57</v>
      </c>
      <c r="R946" t="s">
        <v>61</v>
      </c>
    </row>
    <row r="947" spans="1:18">
      <c r="A947">
        <v>10946</v>
      </c>
      <c r="B947" s="2">
        <v>45142</v>
      </c>
      <c r="C947" s="2">
        <v>45144</v>
      </c>
      <c r="D947" s="2">
        <v>45148</v>
      </c>
      <c r="E947" t="s">
        <v>18</v>
      </c>
      <c r="F947" t="s">
        <v>22</v>
      </c>
      <c r="G947" t="s">
        <v>23</v>
      </c>
      <c r="H947" t="s">
        <v>33</v>
      </c>
      <c r="I947" t="s">
        <v>35</v>
      </c>
      <c r="J947" t="s">
        <v>41</v>
      </c>
      <c r="K947" t="s">
        <v>47</v>
      </c>
      <c r="L947" t="s">
        <v>53</v>
      </c>
      <c r="M947">
        <v>12410</v>
      </c>
      <c r="N947">
        <v>0.28000000000000003</v>
      </c>
      <c r="O947">
        <v>17548</v>
      </c>
      <c r="P947">
        <v>8</v>
      </c>
      <c r="Q947" t="s">
        <v>56</v>
      </c>
      <c r="R947" t="s">
        <v>62</v>
      </c>
    </row>
    <row r="948" spans="1:18">
      <c r="A948">
        <v>10947</v>
      </c>
      <c r="B948" s="2">
        <v>45143</v>
      </c>
      <c r="C948" s="2">
        <v>45145</v>
      </c>
      <c r="D948" s="2">
        <v>45149</v>
      </c>
      <c r="E948" t="s">
        <v>21</v>
      </c>
      <c r="F948" t="s">
        <v>22</v>
      </c>
      <c r="G948" t="s">
        <v>24</v>
      </c>
      <c r="H948" t="s">
        <v>33</v>
      </c>
      <c r="I948" t="s">
        <v>34</v>
      </c>
      <c r="J948" t="s">
        <v>38</v>
      </c>
      <c r="K948" t="s">
        <v>47</v>
      </c>
      <c r="L948" t="s">
        <v>51</v>
      </c>
      <c r="M948">
        <v>56594</v>
      </c>
      <c r="N948">
        <v>0.4</v>
      </c>
      <c r="O948">
        <v>637</v>
      </c>
      <c r="P948">
        <v>6</v>
      </c>
      <c r="Q948" t="s">
        <v>58</v>
      </c>
      <c r="R948" t="s">
        <v>59</v>
      </c>
    </row>
    <row r="949" spans="1:18">
      <c r="A949">
        <v>10948</v>
      </c>
      <c r="B949" s="2">
        <v>45144</v>
      </c>
      <c r="C949" s="2">
        <v>45146</v>
      </c>
      <c r="D949" s="2">
        <v>45150</v>
      </c>
      <c r="E949" t="s">
        <v>18</v>
      </c>
      <c r="F949" t="s">
        <v>22</v>
      </c>
      <c r="G949" t="s">
        <v>28</v>
      </c>
      <c r="H949" t="s">
        <v>29</v>
      </c>
      <c r="I949" t="s">
        <v>34</v>
      </c>
      <c r="J949" t="s">
        <v>42</v>
      </c>
      <c r="K949" t="s">
        <v>44</v>
      </c>
      <c r="L949" t="s">
        <v>53</v>
      </c>
      <c r="M949">
        <v>52923</v>
      </c>
      <c r="N949">
        <v>0.04</v>
      </c>
      <c r="O949">
        <v>10095</v>
      </c>
      <c r="P949">
        <v>15</v>
      </c>
      <c r="Q949" t="s">
        <v>57</v>
      </c>
      <c r="R949" t="s">
        <v>61</v>
      </c>
    </row>
    <row r="950" spans="1:18">
      <c r="A950">
        <v>10949</v>
      </c>
      <c r="B950" s="2">
        <v>45145</v>
      </c>
      <c r="C950" s="2">
        <v>45147</v>
      </c>
      <c r="D950" s="2">
        <v>45151</v>
      </c>
      <c r="E950" t="s">
        <v>21</v>
      </c>
      <c r="F950" t="s">
        <v>22</v>
      </c>
      <c r="G950" t="s">
        <v>24</v>
      </c>
      <c r="H950" t="s">
        <v>29</v>
      </c>
      <c r="I950" t="s">
        <v>36</v>
      </c>
      <c r="J950" t="s">
        <v>43</v>
      </c>
      <c r="K950" t="s">
        <v>50</v>
      </c>
      <c r="L950" t="s">
        <v>53</v>
      </c>
      <c r="M950">
        <v>45051</v>
      </c>
      <c r="N950">
        <v>0.17</v>
      </c>
      <c r="O950">
        <v>10848</v>
      </c>
      <c r="P950">
        <v>4</v>
      </c>
      <c r="Q950" t="s">
        <v>54</v>
      </c>
      <c r="R950" t="s">
        <v>62</v>
      </c>
    </row>
    <row r="951" spans="1:18">
      <c r="A951">
        <v>10950</v>
      </c>
      <c r="B951" s="2">
        <v>45146</v>
      </c>
      <c r="C951" s="2">
        <v>45148</v>
      </c>
      <c r="D951" s="2">
        <v>45152</v>
      </c>
      <c r="E951" t="s">
        <v>19</v>
      </c>
      <c r="F951" t="s">
        <v>22</v>
      </c>
      <c r="G951" t="s">
        <v>23</v>
      </c>
      <c r="H951" t="s">
        <v>33</v>
      </c>
      <c r="I951" t="s">
        <v>36</v>
      </c>
      <c r="J951" t="s">
        <v>42</v>
      </c>
      <c r="K951" t="s">
        <v>47</v>
      </c>
      <c r="L951" t="s">
        <v>51</v>
      </c>
      <c r="M951">
        <v>36284</v>
      </c>
      <c r="N951">
        <v>0.21</v>
      </c>
      <c r="O951">
        <v>3201</v>
      </c>
      <c r="P951">
        <v>3</v>
      </c>
      <c r="Q951" t="s">
        <v>56</v>
      </c>
      <c r="R951" t="s">
        <v>62</v>
      </c>
    </row>
    <row r="952" spans="1:18">
      <c r="A952">
        <v>10951</v>
      </c>
      <c r="B952" s="2">
        <v>45147</v>
      </c>
      <c r="C952" s="2">
        <v>45149</v>
      </c>
      <c r="D952" s="2">
        <v>45153</v>
      </c>
      <c r="E952" t="s">
        <v>19</v>
      </c>
      <c r="F952" t="s">
        <v>22</v>
      </c>
      <c r="G952" t="s">
        <v>25</v>
      </c>
      <c r="H952" t="s">
        <v>30</v>
      </c>
      <c r="I952" t="s">
        <v>34</v>
      </c>
      <c r="J952" t="s">
        <v>40</v>
      </c>
      <c r="K952" t="s">
        <v>50</v>
      </c>
      <c r="L952" t="s">
        <v>51</v>
      </c>
      <c r="M952">
        <v>3220</v>
      </c>
      <c r="N952">
        <v>0.34</v>
      </c>
      <c r="O952">
        <v>4970</v>
      </c>
      <c r="P952">
        <v>16</v>
      </c>
      <c r="Q952" t="s">
        <v>54</v>
      </c>
      <c r="R952" t="s">
        <v>60</v>
      </c>
    </row>
    <row r="953" spans="1:18">
      <c r="A953">
        <v>10952</v>
      </c>
      <c r="B953" s="2">
        <v>45148</v>
      </c>
      <c r="C953" s="2">
        <v>45150</v>
      </c>
      <c r="D953" s="2">
        <v>45154</v>
      </c>
      <c r="E953" t="s">
        <v>19</v>
      </c>
      <c r="F953" t="s">
        <v>22</v>
      </c>
      <c r="G953" t="s">
        <v>25</v>
      </c>
      <c r="H953" t="s">
        <v>32</v>
      </c>
      <c r="I953" t="s">
        <v>34</v>
      </c>
      <c r="J953" t="s">
        <v>41</v>
      </c>
      <c r="K953" t="s">
        <v>48</v>
      </c>
      <c r="L953" t="s">
        <v>51</v>
      </c>
      <c r="M953">
        <v>37703</v>
      </c>
      <c r="N953">
        <v>0.28999999999999998</v>
      </c>
      <c r="O953">
        <v>4331</v>
      </c>
      <c r="P953">
        <v>13</v>
      </c>
      <c r="Q953" t="s">
        <v>55</v>
      </c>
      <c r="R953" t="s">
        <v>62</v>
      </c>
    </row>
    <row r="954" spans="1:18">
      <c r="A954">
        <v>10953</v>
      </c>
      <c r="B954" s="2">
        <v>45149</v>
      </c>
      <c r="C954" s="2">
        <v>45151</v>
      </c>
      <c r="D954" s="2">
        <v>45155</v>
      </c>
      <c r="E954" t="s">
        <v>21</v>
      </c>
      <c r="F954" t="s">
        <v>22</v>
      </c>
      <c r="G954" t="s">
        <v>24</v>
      </c>
      <c r="H954" t="s">
        <v>29</v>
      </c>
      <c r="I954" t="s">
        <v>34</v>
      </c>
      <c r="J954" t="s">
        <v>41</v>
      </c>
      <c r="K954" t="s">
        <v>47</v>
      </c>
      <c r="L954" t="s">
        <v>53</v>
      </c>
      <c r="M954">
        <v>39198</v>
      </c>
      <c r="N954">
        <v>0.33</v>
      </c>
      <c r="O954">
        <v>17509</v>
      </c>
      <c r="P954">
        <v>1</v>
      </c>
      <c r="Q954" t="s">
        <v>57</v>
      </c>
      <c r="R954" t="s">
        <v>59</v>
      </c>
    </row>
    <row r="955" spans="1:18">
      <c r="A955">
        <v>10954</v>
      </c>
      <c r="B955" s="2">
        <v>45150</v>
      </c>
      <c r="C955" s="2">
        <v>45152</v>
      </c>
      <c r="D955" s="2">
        <v>45156</v>
      </c>
      <c r="E955" t="s">
        <v>18</v>
      </c>
      <c r="F955" t="s">
        <v>22</v>
      </c>
      <c r="G955" t="s">
        <v>27</v>
      </c>
      <c r="H955" t="s">
        <v>32</v>
      </c>
      <c r="I955" t="s">
        <v>34</v>
      </c>
      <c r="J955" t="s">
        <v>37</v>
      </c>
      <c r="K955" t="s">
        <v>47</v>
      </c>
      <c r="L955" t="s">
        <v>51</v>
      </c>
      <c r="M955">
        <v>5874</v>
      </c>
      <c r="N955">
        <v>0.36</v>
      </c>
      <c r="O955">
        <v>10629</v>
      </c>
      <c r="P955">
        <v>12</v>
      </c>
      <c r="Q955" t="s">
        <v>58</v>
      </c>
      <c r="R955" t="s">
        <v>62</v>
      </c>
    </row>
    <row r="956" spans="1:18">
      <c r="A956">
        <v>10955</v>
      </c>
      <c r="B956" s="2">
        <v>45151</v>
      </c>
      <c r="C956" s="2">
        <v>45153</v>
      </c>
      <c r="D956" s="2">
        <v>45157</v>
      </c>
      <c r="E956" t="s">
        <v>19</v>
      </c>
      <c r="F956" t="s">
        <v>22</v>
      </c>
      <c r="G956" t="s">
        <v>25</v>
      </c>
      <c r="H956" t="s">
        <v>33</v>
      </c>
      <c r="I956" t="s">
        <v>36</v>
      </c>
      <c r="J956" t="s">
        <v>39</v>
      </c>
      <c r="K956" t="s">
        <v>46</v>
      </c>
      <c r="L956" t="s">
        <v>51</v>
      </c>
      <c r="M956">
        <v>12454</v>
      </c>
      <c r="N956">
        <v>0.25</v>
      </c>
      <c r="O956">
        <v>2123</v>
      </c>
      <c r="P956">
        <v>6</v>
      </c>
      <c r="Q956" t="s">
        <v>56</v>
      </c>
      <c r="R956" t="s">
        <v>61</v>
      </c>
    </row>
    <row r="957" spans="1:18">
      <c r="A957">
        <v>10956</v>
      </c>
      <c r="B957" s="2">
        <v>45152</v>
      </c>
      <c r="C957" s="2">
        <v>45154</v>
      </c>
      <c r="D957" s="2">
        <v>45158</v>
      </c>
      <c r="E957" t="s">
        <v>20</v>
      </c>
      <c r="F957" t="s">
        <v>22</v>
      </c>
      <c r="G957" t="s">
        <v>23</v>
      </c>
      <c r="H957" t="s">
        <v>32</v>
      </c>
      <c r="I957" t="s">
        <v>36</v>
      </c>
      <c r="J957" t="s">
        <v>39</v>
      </c>
      <c r="K957" t="s">
        <v>46</v>
      </c>
      <c r="L957" t="s">
        <v>52</v>
      </c>
      <c r="M957">
        <v>57008</v>
      </c>
      <c r="N957">
        <v>0.33</v>
      </c>
      <c r="O957">
        <v>7198</v>
      </c>
      <c r="P957">
        <v>24</v>
      </c>
      <c r="Q957" t="s">
        <v>55</v>
      </c>
      <c r="R957" t="s">
        <v>61</v>
      </c>
    </row>
    <row r="958" spans="1:18">
      <c r="A958">
        <v>10957</v>
      </c>
      <c r="B958" s="2">
        <v>45153</v>
      </c>
      <c r="C958" s="2">
        <v>45155</v>
      </c>
      <c r="D958" s="2">
        <v>45159</v>
      </c>
      <c r="E958" t="s">
        <v>18</v>
      </c>
      <c r="F958" t="s">
        <v>22</v>
      </c>
      <c r="G958" t="s">
        <v>24</v>
      </c>
      <c r="H958" t="s">
        <v>30</v>
      </c>
      <c r="I958" t="s">
        <v>36</v>
      </c>
      <c r="J958" t="s">
        <v>37</v>
      </c>
      <c r="K958" t="s">
        <v>46</v>
      </c>
      <c r="L958" t="s">
        <v>51</v>
      </c>
      <c r="M958">
        <v>63680</v>
      </c>
      <c r="N958">
        <v>0.2</v>
      </c>
      <c r="O958">
        <v>791</v>
      </c>
      <c r="P958">
        <v>3</v>
      </c>
      <c r="Q958" t="s">
        <v>55</v>
      </c>
      <c r="R958" t="s">
        <v>60</v>
      </c>
    </row>
    <row r="959" spans="1:18">
      <c r="A959">
        <v>10958</v>
      </c>
      <c r="B959" s="2">
        <v>45154</v>
      </c>
      <c r="C959" s="2">
        <v>45156</v>
      </c>
      <c r="D959" s="2">
        <v>45160</v>
      </c>
      <c r="E959" t="s">
        <v>18</v>
      </c>
      <c r="F959" t="s">
        <v>22</v>
      </c>
      <c r="G959" t="s">
        <v>24</v>
      </c>
      <c r="H959" t="s">
        <v>25</v>
      </c>
      <c r="I959" t="s">
        <v>35</v>
      </c>
      <c r="J959" t="s">
        <v>39</v>
      </c>
      <c r="K959" t="s">
        <v>47</v>
      </c>
      <c r="L959" t="s">
        <v>51</v>
      </c>
      <c r="M959">
        <v>69197</v>
      </c>
      <c r="N959">
        <v>0.02</v>
      </c>
      <c r="O959">
        <v>19947</v>
      </c>
      <c r="P959">
        <v>19</v>
      </c>
      <c r="Q959" t="s">
        <v>57</v>
      </c>
      <c r="R959" t="s">
        <v>62</v>
      </c>
    </row>
    <row r="960" spans="1:18">
      <c r="A960">
        <v>10959</v>
      </c>
      <c r="B960" s="2">
        <v>45155</v>
      </c>
      <c r="C960" s="2">
        <v>45157</v>
      </c>
      <c r="D960" s="2">
        <v>45161</v>
      </c>
      <c r="E960" t="s">
        <v>21</v>
      </c>
      <c r="F960" t="s">
        <v>22</v>
      </c>
      <c r="G960" t="s">
        <v>27</v>
      </c>
      <c r="H960" t="s">
        <v>25</v>
      </c>
      <c r="I960" t="s">
        <v>35</v>
      </c>
      <c r="J960" t="s">
        <v>37</v>
      </c>
      <c r="K960" t="s">
        <v>49</v>
      </c>
      <c r="L960" t="s">
        <v>53</v>
      </c>
      <c r="M960">
        <v>1676</v>
      </c>
      <c r="N960">
        <v>0.09</v>
      </c>
      <c r="O960">
        <v>5714</v>
      </c>
      <c r="P960">
        <v>1</v>
      </c>
      <c r="Q960" t="s">
        <v>58</v>
      </c>
      <c r="R960" t="s">
        <v>59</v>
      </c>
    </row>
    <row r="961" spans="1:18">
      <c r="A961">
        <v>10960</v>
      </c>
      <c r="B961" s="2">
        <v>45156</v>
      </c>
      <c r="C961" s="2">
        <v>45158</v>
      </c>
      <c r="D961" s="2">
        <v>45162</v>
      </c>
      <c r="E961" t="s">
        <v>19</v>
      </c>
      <c r="F961" t="s">
        <v>22</v>
      </c>
      <c r="G961" t="s">
        <v>27</v>
      </c>
      <c r="H961" t="s">
        <v>33</v>
      </c>
      <c r="I961" t="s">
        <v>35</v>
      </c>
      <c r="J961" t="s">
        <v>41</v>
      </c>
      <c r="K961" t="s">
        <v>50</v>
      </c>
      <c r="L961" t="s">
        <v>53</v>
      </c>
      <c r="M961">
        <v>13431</v>
      </c>
      <c r="N961">
        <v>0.38</v>
      </c>
      <c r="O961">
        <v>6247</v>
      </c>
      <c r="P961">
        <v>17</v>
      </c>
      <c r="Q961" t="s">
        <v>57</v>
      </c>
      <c r="R961" t="s">
        <v>59</v>
      </c>
    </row>
    <row r="962" spans="1:18">
      <c r="A962">
        <v>10961</v>
      </c>
      <c r="B962" s="2">
        <v>45157</v>
      </c>
      <c r="C962" s="2">
        <v>45159</v>
      </c>
      <c r="D962" s="2">
        <v>45163</v>
      </c>
      <c r="E962" t="s">
        <v>20</v>
      </c>
      <c r="F962" t="s">
        <v>22</v>
      </c>
      <c r="G962" t="s">
        <v>26</v>
      </c>
      <c r="H962" t="s">
        <v>30</v>
      </c>
      <c r="I962" t="s">
        <v>35</v>
      </c>
      <c r="J962" t="s">
        <v>41</v>
      </c>
      <c r="K962" t="s">
        <v>49</v>
      </c>
      <c r="L962" t="s">
        <v>51</v>
      </c>
      <c r="M962">
        <v>14786</v>
      </c>
      <c r="N962">
        <v>0.16</v>
      </c>
      <c r="O962">
        <v>-750</v>
      </c>
      <c r="P962">
        <v>15</v>
      </c>
      <c r="Q962" t="s">
        <v>57</v>
      </c>
      <c r="R962" t="s">
        <v>59</v>
      </c>
    </row>
    <row r="963" spans="1:18">
      <c r="A963">
        <v>10962</v>
      </c>
      <c r="B963" s="2">
        <v>45158</v>
      </c>
      <c r="C963" s="2">
        <v>45160</v>
      </c>
      <c r="D963" s="2">
        <v>45164</v>
      </c>
      <c r="E963" t="s">
        <v>18</v>
      </c>
      <c r="F963" t="s">
        <v>22</v>
      </c>
      <c r="G963" t="s">
        <v>27</v>
      </c>
      <c r="H963" t="s">
        <v>31</v>
      </c>
      <c r="I963" t="s">
        <v>34</v>
      </c>
      <c r="J963" t="s">
        <v>43</v>
      </c>
      <c r="K963" t="s">
        <v>48</v>
      </c>
      <c r="L963" t="s">
        <v>53</v>
      </c>
      <c r="M963">
        <v>27360</v>
      </c>
      <c r="N963">
        <v>0.2</v>
      </c>
      <c r="O963">
        <v>8684</v>
      </c>
      <c r="P963">
        <v>9</v>
      </c>
      <c r="Q963" t="s">
        <v>57</v>
      </c>
      <c r="R963" t="s">
        <v>59</v>
      </c>
    </row>
    <row r="964" spans="1:18">
      <c r="A964">
        <v>10963</v>
      </c>
      <c r="B964" s="2">
        <v>45159</v>
      </c>
      <c r="C964" s="2">
        <v>45161</v>
      </c>
      <c r="D964" s="2">
        <v>45165</v>
      </c>
      <c r="E964" t="s">
        <v>19</v>
      </c>
      <c r="F964" t="s">
        <v>22</v>
      </c>
      <c r="G964" t="s">
        <v>26</v>
      </c>
      <c r="H964" t="s">
        <v>33</v>
      </c>
      <c r="I964" t="s">
        <v>36</v>
      </c>
      <c r="J964" t="s">
        <v>39</v>
      </c>
      <c r="K964" t="s">
        <v>47</v>
      </c>
      <c r="L964" t="s">
        <v>51</v>
      </c>
      <c r="M964">
        <v>50583</v>
      </c>
      <c r="N964">
        <v>0.39</v>
      </c>
      <c r="O964">
        <v>17676</v>
      </c>
      <c r="P964">
        <v>7</v>
      </c>
      <c r="Q964" t="s">
        <v>57</v>
      </c>
      <c r="R964" t="s">
        <v>61</v>
      </c>
    </row>
    <row r="965" spans="1:18">
      <c r="A965">
        <v>10964</v>
      </c>
      <c r="B965" s="2">
        <v>45160</v>
      </c>
      <c r="C965" s="2">
        <v>45162</v>
      </c>
      <c r="D965" s="2">
        <v>45166</v>
      </c>
      <c r="E965" t="s">
        <v>21</v>
      </c>
      <c r="F965" t="s">
        <v>22</v>
      </c>
      <c r="G965" t="s">
        <v>24</v>
      </c>
      <c r="H965" t="s">
        <v>32</v>
      </c>
      <c r="I965" t="s">
        <v>34</v>
      </c>
      <c r="J965" t="s">
        <v>43</v>
      </c>
      <c r="K965" t="s">
        <v>50</v>
      </c>
      <c r="L965" t="s">
        <v>53</v>
      </c>
      <c r="M965">
        <v>14046</v>
      </c>
      <c r="N965">
        <v>0.28000000000000003</v>
      </c>
      <c r="O965">
        <v>18068</v>
      </c>
      <c r="P965">
        <v>22</v>
      </c>
      <c r="Q965" t="s">
        <v>55</v>
      </c>
      <c r="R965" t="s">
        <v>60</v>
      </c>
    </row>
    <row r="966" spans="1:18">
      <c r="A966">
        <v>10965</v>
      </c>
      <c r="B966" s="2">
        <v>45161</v>
      </c>
      <c r="C966" s="2">
        <v>45163</v>
      </c>
      <c r="D966" s="2">
        <v>45167</v>
      </c>
      <c r="E966" t="s">
        <v>20</v>
      </c>
      <c r="F966" t="s">
        <v>22</v>
      </c>
      <c r="G966" t="s">
        <v>26</v>
      </c>
      <c r="H966" t="s">
        <v>25</v>
      </c>
      <c r="I966" t="s">
        <v>36</v>
      </c>
      <c r="J966" t="s">
        <v>40</v>
      </c>
      <c r="K966" t="s">
        <v>44</v>
      </c>
      <c r="L966" t="s">
        <v>51</v>
      </c>
      <c r="M966">
        <v>998</v>
      </c>
      <c r="N966">
        <v>0.16</v>
      </c>
      <c r="O966">
        <v>184</v>
      </c>
      <c r="P966">
        <v>11</v>
      </c>
      <c r="Q966" t="s">
        <v>58</v>
      </c>
      <c r="R966" t="s">
        <v>62</v>
      </c>
    </row>
    <row r="967" spans="1:18">
      <c r="A967">
        <v>10966</v>
      </c>
      <c r="B967" s="2">
        <v>45162</v>
      </c>
      <c r="C967" s="2">
        <v>45164</v>
      </c>
      <c r="D967" s="2">
        <v>45168</v>
      </c>
      <c r="E967" t="s">
        <v>20</v>
      </c>
      <c r="F967" t="s">
        <v>22</v>
      </c>
      <c r="G967" t="s">
        <v>27</v>
      </c>
      <c r="H967" t="s">
        <v>30</v>
      </c>
      <c r="I967" t="s">
        <v>34</v>
      </c>
      <c r="J967" t="s">
        <v>39</v>
      </c>
      <c r="K967" t="s">
        <v>44</v>
      </c>
      <c r="L967" t="s">
        <v>53</v>
      </c>
      <c r="M967">
        <v>27552</v>
      </c>
      <c r="N967">
        <v>0.27</v>
      </c>
      <c r="O967">
        <v>743</v>
      </c>
      <c r="P967">
        <v>3</v>
      </c>
      <c r="Q967" t="s">
        <v>58</v>
      </c>
      <c r="R967" t="s">
        <v>62</v>
      </c>
    </row>
    <row r="968" spans="1:18">
      <c r="A968">
        <v>10967</v>
      </c>
      <c r="B968" s="2">
        <v>45163</v>
      </c>
      <c r="C968" s="2">
        <v>45165</v>
      </c>
      <c r="D968" s="2">
        <v>45169</v>
      </c>
      <c r="E968" t="s">
        <v>19</v>
      </c>
      <c r="F968" t="s">
        <v>22</v>
      </c>
      <c r="G968" t="s">
        <v>24</v>
      </c>
      <c r="H968" t="s">
        <v>30</v>
      </c>
      <c r="I968" t="s">
        <v>36</v>
      </c>
      <c r="J968" t="s">
        <v>38</v>
      </c>
      <c r="K968" t="s">
        <v>48</v>
      </c>
      <c r="L968" t="s">
        <v>51</v>
      </c>
      <c r="M968">
        <v>20828</v>
      </c>
      <c r="N968">
        <v>0.22</v>
      </c>
      <c r="O968">
        <v>10907</v>
      </c>
      <c r="P968">
        <v>12</v>
      </c>
      <c r="Q968" t="s">
        <v>57</v>
      </c>
      <c r="R968" t="s">
        <v>60</v>
      </c>
    </row>
    <row r="969" spans="1:18">
      <c r="A969">
        <v>10968</v>
      </c>
      <c r="B969" s="2">
        <v>45164</v>
      </c>
      <c r="C969" s="2">
        <v>45166</v>
      </c>
      <c r="D969" s="2">
        <v>45170</v>
      </c>
      <c r="E969" t="s">
        <v>21</v>
      </c>
      <c r="F969" t="s">
        <v>22</v>
      </c>
      <c r="G969" t="s">
        <v>24</v>
      </c>
      <c r="H969" t="s">
        <v>25</v>
      </c>
      <c r="I969" t="s">
        <v>35</v>
      </c>
      <c r="J969" t="s">
        <v>42</v>
      </c>
      <c r="K969" t="s">
        <v>47</v>
      </c>
      <c r="L969" t="s">
        <v>52</v>
      </c>
      <c r="M969">
        <v>17084</v>
      </c>
      <c r="N969">
        <v>0.38</v>
      </c>
      <c r="O969">
        <v>10569</v>
      </c>
      <c r="P969">
        <v>24</v>
      </c>
      <c r="Q969" t="s">
        <v>56</v>
      </c>
      <c r="R969" t="s">
        <v>61</v>
      </c>
    </row>
    <row r="970" spans="1:18">
      <c r="A970">
        <v>10969</v>
      </c>
      <c r="B970" s="2">
        <v>45165</v>
      </c>
      <c r="C970" s="2">
        <v>45167</v>
      </c>
      <c r="D970" s="2">
        <v>45171</v>
      </c>
      <c r="E970" t="s">
        <v>18</v>
      </c>
      <c r="F970" t="s">
        <v>22</v>
      </c>
      <c r="G970" t="s">
        <v>23</v>
      </c>
      <c r="H970" t="s">
        <v>29</v>
      </c>
      <c r="I970" t="s">
        <v>35</v>
      </c>
      <c r="J970" t="s">
        <v>40</v>
      </c>
      <c r="K970" t="s">
        <v>44</v>
      </c>
      <c r="L970" t="s">
        <v>52</v>
      </c>
      <c r="M970">
        <v>20043</v>
      </c>
      <c r="N970">
        <v>0</v>
      </c>
      <c r="O970">
        <v>78</v>
      </c>
      <c r="P970">
        <v>11</v>
      </c>
      <c r="Q970" t="s">
        <v>57</v>
      </c>
      <c r="R970" t="s">
        <v>62</v>
      </c>
    </row>
    <row r="971" spans="1:18">
      <c r="A971">
        <v>10970</v>
      </c>
      <c r="B971" s="2">
        <v>45166</v>
      </c>
      <c r="C971" s="2">
        <v>45168</v>
      </c>
      <c r="D971" s="2">
        <v>45172</v>
      </c>
      <c r="E971" t="s">
        <v>20</v>
      </c>
      <c r="F971" t="s">
        <v>22</v>
      </c>
      <c r="G971" t="s">
        <v>28</v>
      </c>
      <c r="H971" t="s">
        <v>29</v>
      </c>
      <c r="I971" t="s">
        <v>34</v>
      </c>
      <c r="J971" t="s">
        <v>40</v>
      </c>
      <c r="K971" t="s">
        <v>48</v>
      </c>
      <c r="L971" t="s">
        <v>52</v>
      </c>
      <c r="M971">
        <v>33067</v>
      </c>
      <c r="N971">
        <v>0.19</v>
      </c>
      <c r="O971">
        <v>8655</v>
      </c>
      <c r="P971">
        <v>1</v>
      </c>
      <c r="Q971" t="s">
        <v>55</v>
      </c>
      <c r="R971" t="s">
        <v>61</v>
      </c>
    </row>
    <row r="972" spans="1:18">
      <c r="A972">
        <v>10971</v>
      </c>
      <c r="B972" s="2">
        <v>45167</v>
      </c>
      <c r="C972" s="2">
        <v>45169</v>
      </c>
      <c r="D972" s="2">
        <v>45173</v>
      </c>
      <c r="E972" t="s">
        <v>21</v>
      </c>
      <c r="F972" t="s">
        <v>22</v>
      </c>
      <c r="G972" t="s">
        <v>24</v>
      </c>
      <c r="H972" t="s">
        <v>31</v>
      </c>
      <c r="I972" t="s">
        <v>35</v>
      </c>
      <c r="J972" t="s">
        <v>41</v>
      </c>
      <c r="K972" t="s">
        <v>44</v>
      </c>
      <c r="L972" t="s">
        <v>51</v>
      </c>
      <c r="M972">
        <v>40327</v>
      </c>
      <c r="N972">
        <v>0.28000000000000003</v>
      </c>
      <c r="O972">
        <v>15296</v>
      </c>
      <c r="P972">
        <v>24</v>
      </c>
      <c r="Q972" t="s">
        <v>58</v>
      </c>
      <c r="R972" t="s">
        <v>61</v>
      </c>
    </row>
    <row r="973" spans="1:18">
      <c r="A973">
        <v>10972</v>
      </c>
      <c r="B973" s="2">
        <v>45168</v>
      </c>
      <c r="C973" s="2">
        <v>45170</v>
      </c>
      <c r="D973" s="2">
        <v>45174</v>
      </c>
      <c r="E973" t="s">
        <v>19</v>
      </c>
      <c r="F973" t="s">
        <v>22</v>
      </c>
      <c r="G973" t="s">
        <v>28</v>
      </c>
      <c r="H973" t="s">
        <v>31</v>
      </c>
      <c r="I973" t="s">
        <v>36</v>
      </c>
      <c r="J973" t="s">
        <v>37</v>
      </c>
      <c r="K973" t="s">
        <v>48</v>
      </c>
      <c r="L973" t="s">
        <v>52</v>
      </c>
      <c r="M973">
        <v>74859</v>
      </c>
      <c r="N973">
        <v>0.22</v>
      </c>
      <c r="O973">
        <v>8632</v>
      </c>
      <c r="P973">
        <v>15</v>
      </c>
      <c r="Q973" t="s">
        <v>54</v>
      </c>
      <c r="R973" t="s">
        <v>59</v>
      </c>
    </row>
    <row r="974" spans="1:18">
      <c r="A974">
        <v>10973</v>
      </c>
      <c r="B974" s="2">
        <v>45169</v>
      </c>
      <c r="C974" s="2">
        <v>45171</v>
      </c>
      <c r="D974" s="2">
        <v>45175</v>
      </c>
      <c r="E974" t="s">
        <v>18</v>
      </c>
      <c r="F974" t="s">
        <v>22</v>
      </c>
      <c r="G974" t="s">
        <v>23</v>
      </c>
      <c r="H974" t="s">
        <v>29</v>
      </c>
      <c r="I974" t="s">
        <v>35</v>
      </c>
      <c r="J974" t="s">
        <v>39</v>
      </c>
      <c r="K974" t="s">
        <v>49</v>
      </c>
      <c r="L974" t="s">
        <v>53</v>
      </c>
      <c r="M974">
        <v>33292</v>
      </c>
      <c r="N974">
        <v>0.13</v>
      </c>
      <c r="O974">
        <v>11382</v>
      </c>
      <c r="P974">
        <v>22</v>
      </c>
      <c r="Q974" t="s">
        <v>55</v>
      </c>
      <c r="R974" t="s">
        <v>62</v>
      </c>
    </row>
    <row r="975" spans="1:18">
      <c r="A975">
        <v>10974</v>
      </c>
      <c r="B975" s="2">
        <v>45170</v>
      </c>
      <c r="C975" s="2">
        <v>45172</v>
      </c>
      <c r="D975" s="2">
        <v>45176</v>
      </c>
      <c r="E975" t="s">
        <v>18</v>
      </c>
      <c r="F975" t="s">
        <v>22</v>
      </c>
      <c r="G975" t="s">
        <v>24</v>
      </c>
      <c r="H975" t="s">
        <v>32</v>
      </c>
      <c r="I975" t="s">
        <v>35</v>
      </c>
      <c r="J975" t="s">
        <v>39</v>
      </c>
      <c r="K975" t="s">
        <v>44</v>
      </c>
      <c r="L975" t="s">
        <v>52</v>
      </c>
      <c r="M975">
        <v>43254</v>
      </c>
      <c r="N975">
        <v>0.24</v>
      </c>
      <c r="O975">
        <v>761</v>
      </c>
      <c r="P975">
        <v>16</v>
      </c>
      <c r="Q975" t="s">
        <v>55</v>
      </c>
      <c r="R975" t="s">
        <v>61</v>
      </c>
    </row>
    <row r="976" spans="1:18">
      <c r="A976">
        <v>10975</v>
      </c>
      <c r="B976" s="2">
        <v>45171</v>
      </c>
      <c r="C976" s="2">
        <v>45173</v>
      </c>
      <c r="D976" s="2">
        <v>45177</v>
      </c>
      <c r="E976" t="s">
        <v>18</v>
      </c>
      <c r="F976" t="s">
        <v>22</v>
      </c>
      <c r="G976" t="s">
        <v>28</v>
      </c>
      <c r="H976" t="s">
        <v>25</v>
      </c>
      <c r="I976" t="s">
        <v>34</v>
      </c>
      <c r="J976" t="s">
        <v>40</v>
      </c>
      <c r="K976" t="s">
        <v>49</v>
      </c>
      <c r="L976" t="s">
        <v>51</v>
      </c>
      <c r="M976">
        <v>74865</v>
      </c>
      <c r="N976">
        <v>0.01</v>
      </c>
      <c r="O976">
        <v>12692</v>
      </c>
      <c r="P976">
        <v>20</v>
      </c>
      <c r="Q976" t="s">
        <v>54</v>
      </c>
      <c r="R976" t="s">
        <v>61</v>
      </c>
    </row>
    <row r="977" spans="1:18">
      <c r="A977">
        <v>10976</v>
      </c>
      <c r="B977" s="2">
        <v>45172</v>
      </c>
      <c r="C977" s="2">
        <v>45174</v>
      </c>
      <c r="D977" s="2">
        <v>45178</v>
      </c>
      <c r="E977" t="s">
        <v>19</v>
      </c>
      <c r="F977" t="s">
        <v>22</v>
      </c>
      <c r="G977" t="s">
        <v>24</v>
      </c>
      <c r="H977" t="s">
        <v>33</v>
      </c>
      <c r="I977" t="s">
        <v>35</v>
      </c>
      <c r="J977" t="s">
        <v>38</v>
      </c>
      <c r="K977" t="s">
        <v>45</v>
      </c>
      <c r="L977" t="s">
        <v>52</v>
      </c>
      <c r="M977">
        <v>34400</v>
      </c>
      <c r="N977">
        <v>0.3</v>
      </c>
      <c r="O977">
        <v>366</v>
      </c>
      <c r="P977">
        <v>13</v>
      </c>
      <c r="Q977" t="s">
        <v>58</v>
      </c>
      <c r="R977" t="s">
        <v>62</v>
      </c>
    </row>
    <row r="978" spans="1:18">
      <c r="A978">
        <v>10977</v>
      </c>
      <c r="B978" s="2">
        <v>45173</v>
      </c>
      <c r="C978" s="2">
        <v>45175</v>
      </c>
      <c r="D978" s="2">
        <v>45179</v>
      </c>
      <c r="E978" t="s">
        <v>19</v>
      </c>
      <c r="F978" t="s">
        <v>22</v>
      </c>
      <c r="G978" t="s">
        <v>24</v>
      </c>
      <c r="H978" t="s">
        <v>31</v>
      </c>
      <c r="I978" t="s">
        <v>34</v>
      </c>
      <c r="J978" t="s">
        <v>40</v>
      </c>
      <c r="K978" t="s">
        <v>47</v>
      </c>
      <c r="L978" t="s">
        <v>52</v>
      </c>
      <c r="M978">
        <v>62262</v>
      </c>
      <c r="N978">
        <v>0.27</v>
      </c>
      <c r="O978">
        <v>12376</v>
      </c>
      <c r="P978">
        <v>14</v>
      </c>
      <c r="Q978" t="s">
        <v>58</v>
      </c>
      <c r="R978" t="s">
        <v>60</v>
      </c>
    </row>
    <row r="979" spans="1:18">
      <c r="A979">
        <v>10978</v>
      </c>
      <c r="B979" s="2">
        <v>45174</v>
      </c>
      <c r="C979" s="2">
        <v>45176</v>
      </c>
      <c r="D979" s="2">
        <v>45180</v>
      </c>
      <c r="E979" t="s">
        <v>18</v>
      </c>
      <c r="F979" t="s">
        <v>22</v>
      </c>
      <c r="G979" t="s">
        <v>25</v>
      </c>
      <c r="H979" t="s">
        <v>29</v>
      </c>
      <c r="I979" t="s">
        <v>35</v>
      </c>
      <c r="J979" t="s">
        <v>43</v>
      </c>
      <c r="K979" t="s">
        <v>49</v>
      </c>
      <c r="L979" t="s">
        <v>52</v>
      </c>
      <c r="M979">
        <v>61835</v>
      </c>
      <c r="N979">
        <v>0.14000000000000001</v>
      </c>
      <c r="O979">
        <v>-535</v>
      </c>
      <c r="P979">
        <v>22</v>
      </c>
      <c r="Q979" t="s">
        <v>58</v>
      </c>
      <c r="R979" t="s">
        <v>62</v>
      </c>
    </row>
    <row r="980" spans="1:18">
      <c r="A980">
        <v>10979</v>
      </c>
      <c r="B980" s="2">
        <v>45175</v>
      </c>
      <c r="C980" s="2">
        <v>45177</v>
      </c>
      <c r="D980" s="2">
        <v>45181</v>
      </c>
      <c r="E980" t="s">
        <v>19</v>
      </c>
      <c r="F980" t="s">
        <v>22</v>
      </c>
      <c r="G980" t="s">
        <v>28</v>
      </c>
      <c r="H980" t="s">
        <v>32</v>
      </c>
      <c r="I980" t="s">
        <v>36</v>
      </c>
      <c r="J980" t="s">
        <v>39</v>
      </c>
      <c r="K980" t="s">
        <v>50</v>
      </c>
      <c r="L980" t="s">
        <v>51</v>
      </c>
      <c r="M980">
        <v>43209</v>
      </c>
      <c r="N980">
        <v>0.36</v>
      </c>
      <c r="O980">
        <v>583</v>
      </c>
      <c r="P980">
        <v>4</v>
      </c>
      <c r="Q980" t="s">
        <v>54</v>
      </c>
      <c r="R980" t="s">
        <v>59</v>
      </c>
    </row>
    <row r="981" spans="1:18">
      <c r="A981">
        <v>10980</v>
      </c>
      <c r="B981" s="2">
        <v>45176</v>
      </c>
      <c r="C981" s="2">
        <v>45178</v>
      </c>
      <c r="D981" s="2">
        <v>45182</v>
      </c>
      <c r="E981" t="s">
        <v>20</v>
      </c>
      <c r="F981" t="s">
        <v>22</v>
      </c>
      <c r="G981" t="s">
        <v>24</v>
      </c>
      <c r="H981" t="s">
        <v>31</v>
      </c>
      <c r="I981" t="s">
        <v>34</v>
      </c>
      <c r="J981" t="s">
        <v>40</v>
      </c>
      <c r="K981" t="s">
        <v>49</v>
      </c>
      <c r="L981" t="s">
        <v>53</v>
      </c>
      <c r="M981">
        <v>74924</v>
      </c>
      <c r="N981">
        <v>0.28999999999999998</v>
      </c>
      <c r="O981">
        <v>7473</v>
      </c>
      <c r="P981">
        <v>17</v>
      </c>
      <c r="Q981" t="s">
        <v>56</v>
      </c>
      <c r="R981" t="s">
        <v>61</v>
      </c>
    </row>
    <row r="982" spans="1:18">
      <c r="A982">
        <v>10981</v>
      </c>
      <c r="B982" s="2">
        <v>45177</v>
      </c>
      <c r="C982" s="2">
        <v>45179</v>
      </c>
      <c r="D982" s="2">
        <v>45183</v>
      </c>
      <c r="E982" t="s">
        <v>19</v>
      </c>
      <c r="F982" t="s">
        <v>22</v>
      </c>
      <c r="G982" t="s">
        <v>25</v>
      </c>
      <c r="H982" t="s">
        <v>30</v>
      </c>
      <c r="I982" t="s">
        <v>35</v>
      </c>
      <c r="J982" t="s">
        <v>42</v>
      </c>
      <c r="K982" t="s">
        <v>44</v>
      </c>
      <c r="L982" t="s">
        <v>52</v>
      </c>
      <c r="M982">
        <v>3124</v>
      </c>
      <c r="N982">
        <v>0.09</v>
      </c>
      <c r="O982">
        <v>4068</v>
      </c>
      <c r="P982">
        <v>10</v>
      </c>
      <c r="Q982" t="s">
        <v>54</v>
      </c>
      <c r="R982" t="s">
        <v>59</v>
      </c>
    </row>
    <row r="983" spans="1:18">
      <c r="A983">
        <v>10982</v>
      </c>
      <c r="B983" s="2">
        <v>45178</v>
      </c>
      <c r="C983" s="2">
        <v>45180</v>
      </c>
      <c r="D983" s="2">
        <v>45184</v>
      </c>
      <c r="E983" t="s">
        <v>21</v>
      </c>
      <c r="F983" t="s">
        <v>22</v>
      </c>
      <c r="G983" t="s">
        <v>25</v>
      </c>
      <c r="H983" t="s">
        <v>29</v>
      </c>
      <c r="I983" t="s">
        <v>36</v>
      </c>
      <c r="J983" t="s">
        <v>37</v>
      </c>
      <c r="K983" t="s">
        <v>48</v>
      </c>
      <c r="L983" t="s">
        <v>53</v>
      </c>
      <c r="M983">
        <v>46970</v>
      </c>
      <c r="N983">
        <v>0.14000000000000001</v>
      </c>
      <c r="O983">
        <v>8879</v>
      </c>
      <c r="P983">
        <v>24</v>
      </c>
      <c r="Q983" t="s">
        <v>55</v>
      </c>
      <c r="R983" t="s">
        <v>62</v>
      </c>
    </row>
    <row r="984" spans="1:18">
      <c r="A984">
        <v>10983</v>
      </c>
      <c r="B984" s="2">
        <v>45179</v>
      </c>
      <c r="C984" s="2">
        <v>45181</v>
      </c>
      <c r="D984" s="2">
        <v>45185</v>
      </c>
      <c r="E984" t="s">
        <v>21</v>
      </c>
      <c r="F984" t="s">
        <v>22</v>
      </c>
      <c r="G984" t="s">
        <v>25</v>
      </c>
      <c r="H984" t="s">
        <v>31</v>
      </c>
      <c r="I984" t="s">
        <v>34</v>
      </c>
      <c r="J984" t="s">
        <v>41</v>
      </c>
      <c r="K984" t="s">
        <v>47</v>
      </c>
      <c r="L984" t="s">
        <v>52</v>
      </c>
      <c r="M984">
        <v>8060</v>
      </c>
      <c r="N984">
        <v>0.03</v>
      </c>
      <c r="O984">
        <v>10858</v>
      </c>
      <c r="P984">
        <v>22</v>
      </c>
      <c r="Q984" t="s">
        <v>57</v>
      </c>
      <c r="R984" t="s">
        <v>59</v>
      </c>
    </row>
    <row r="985" spans="1:18">
      <c r="A985">
        <v>10984</v>
      </c>
      <c r="B985" s="2">
        <v>45180</v>
      </c>
      <c r="C985" s="2">
        <v>45182</v>
      </c>
      <c r="D985" s="2">
        <v>45186</v>
      </c>
      <c r="E985" t="s">
        <v>18</v>
      </c>
      <c r="F985" t="s">
        <v>22</v>
      </c>
      <c r="G985" t="s">
        <v>27</v>
      </c>
      <c r="H985" t="s">
        <v>25</v>
      </c>
      <c r="I985" t="s">
        <v>34</v>
      </c>
      <c r="J985" t="s">
        <v>42</v>
      </c>
      <c r="K985" t="s">
        <v>47</v>
      </c>
      <c r="L985" t="s">
        <v>53</v>
      </c>
      <c r="M985">
        <v>42885</v>
      </c>
      <c r="N985">
        <v>0.28000000000000003</v>
      </c>
      <c r="O985">
        <v>18038</v>
      </c>
      <c r="P985">
        <v>12</v>
      </c>
      <c r="Q985" t="s">
        <v>55</v>
      </c>
      <c r="R985" t="s">
        <v>61</v>
      </c>
    </row>
    <row r="986" spans="1:18">
      <c r="A986">
        <v>10985</v>
      </c>
      <c r="B986" s="2">
        <v>45181</v>
      </c>
      <c r="C986" s="2">
        <v>45183</v>
      </c>
      <c r="D986" s="2">
        <v>45187</v>
      </c>
      <c r="E986" t="s">
        <v>20</v>
      </c>
      <c r="F986" t="s">
        <v>22</v>
      </c>
      <c r="G986" t="s">
        <v>28</v>
      </c>
      <c r="H986" t="s">
        <v>33</v>
      </c>
      <c r="I986" t="s">
        <v>35</v>
      </c>
      <c r="J986" t="s">
        <v>43</v>
      </c>
      <c r="K986" t="s">
        <v>46</v>
      </c>
      <c r="L986" t="s">
        <v>52</v>
      </c>
      <c r="M986">
        <v>18418</v>
      </c>
      <c r="N986">
        <v>0.08</v>
      </c>
      <c r="O986">
        <v>1864</v>
      </c>
      <c r="P986">
        <v>1</v>
      </c>
      <c r="Q986" t="s">
        <v>58</v>
      </c>
      <c r="R986" t="s">
        <v>62</v>
      </c>
    </row>
    <row r="987" spans="1:18">
      <c r="A987">
        <v>10986</v>
      </c>
      <c r="B987" s="2">
        <v>45182</v>
      </c>
      <c r="C987" s="2">
        <v>45184</v>
      </c>
      <c r="D987" s="2">
        <v>45188</v>
      </c>
      <c r="E987" t="s">
        <v>19</v>
      </c>
      <c r="F987" t="s">
        <v>22</v>
      </c>
      <c r="G987" t="s">
        <v>25</v>
      </c>
      <c r="H987" t="s">
        <v>30</v>
      </c>
      <c r="I987" t="s">
        <v>34</v>
      </c>
      <c r="J987" t="s">
        <v>40</v>
      </c>
      <c r="K987" t="s">
        <v>47</v>
      </c>
      <c r="L987" t="s">
        <v>51</v>
      </c>
      <c r="M987">
        <v>50795</v>
      </c>
      <c r="N987">
        <v>0.18</v>
      </c>
      <c r="O987">
        <v>17979</v>
      </c>
      <c r="P987">
        <v>15</v>
      </c>
      <c r="Q987" t="s">
        <v>57</v>
      </c>
      <c r="R987" t="s">
        <v>62</v>
      </c>
    </row>
    <row r="988" spans="1:18">
      <c r="A988">
        <v>10987</v>
      </c>
      <c r="B988" s="2">
        <v>45183</v>
      </c>
      <c r="C988" s="2">
        <v>45185</v>
      </c>
      <c r="D988" s="2">
        <v>45189</v>
      </c>
      <c r="E988" t="s">
        <v>20</v>
      </c>
      <c r="F988" t="s">
        <v>22</v>
      </c>
      <c r="G988" t="s">
        <v>26</v>
      </c>
      <c r="H988" t="s">
        <v>33</v>
      </c>
      <c r="I988" t="s">
        <v>35</v>
      </c>
      <c r="J988" t="s">
        <v>39</v>
      </c>
      <c r="K988" t="s">
        <v>44</v>
      </c>
      <c r="L988" t="s">
        <v>52</v>
      </c>
      <c r="M988">
        <v>52000</v>
      </c>
      <c r="N988">
        <v>0.18</v>
      </c>
      <c r="O988">
        <v>12902</v>
      </c>
      <c r="P988">
        <v>9</v>
      </c>
      <c r="Q988" t="s">
        <v>58</v>
      </c>
      <c r="R988" t="s">
        <v>61</v>
      </c>
    </row>
    <row r="989" spans="1:18">
      <c r="A989">
        <v>10988</v>
      </c>
      <c r="B989" s="2">
        <v>45184</v>
      </c>
      <c r="C989" s="2">
        <v>45186</v>
      </c>
      <c r="D989" s="2">
        <v>45190</v>
      </c>
      <c r="E989" t="s">
        <v>18</v>
      </c>
      <c r="F989" t="s">
        <v>22</v>
      </c>
      <c r="G989" t="s">
        <v>28</v>
      </c>
      <c r="H989" t="s">
        <v>29</v>
      </c>
      <c r="I989" t="s">
        <v>36</v>
      </c>
      <c r="J989" t="s">
        <v>43</v>
      </c>
      <c r="K989" t="s">
        <v>45</v>
      </c>
      <c r="L989" t="s">
        <v>53</v>
      </c>
      <c r="M989">
        <v>55869</v>
      </c>
      <c r="N989">
        <v>0.14000000000000001</v>
      </c>
      <c r="O989">
        <v>10708</v>
      </c>
      <c r="P989">
        <v>14</v>
      </c>
      <c r="Q989" t="s">
        <v>57</v>
      </c>
      <c r="R989" t="s">
        <v>60</v>
      </c>
    </row>
    <row r="990" spans="1:18">
      <c r="A990">
        <v>10989</v>
      </c>
      <c r="B990" s="2">
        <v>45185</v>
      </c>
      <c r="C990" s="2">
        <v>45187</v>
      </c>
      <c r="D990" s="2">
        <v>45191</v>
      </c>
      <c r="E990" t="s">
        <v>19</v>
      </c>
      <c r="F990" t="s">
        <v>22</v>
      </c>
      <c r="G990" t="s">
        <v>24</v>
      </c>
      <c r="H990" t="s">
        <v>32</v>
      </c>
      <c r="I990" t="s">
        <v>35</v>
      </c>
      <c r="J990" t="s">
        <v>42</v>
      </c>
      <c r="K990" t="s">
        <v>49</v>
      </c>
      <c r="L990" t="s">
        <v>53</v>
      </c>
      <c r="M990">
        <v>23788</v>
      </c>
      <c r="N990">
        <v>0.27</v>
      </c>
      <c r="O990">
        <v>17035</v>
      </c>
      <c r="P990">
        <v>9</v>
      </c>
      <c r="Q990" t="s">
        <v>56</v>
      </c>
      <c r="R990" t="s">
        <v>60</v>
      </c>
    </row>
    <row r="991" spans="1:18">
      <c r="A991">
        <v>10990</v>
      </c>
      <c r="B991" s="2">
        <v>45186</v>
      </c>
      <c r="C991" s="2">
        <v>45188</v>
      </c>
      <c r="D991" s="2">
        <v>45192</v>
      </c>
      <c r="E991" t="s">
        <v>21</v>
      </c>
      <c r="F991" t="s">
        <v>22</v>
      </c>
      <c r="G991" t="s">
        <v>25</v>
      </c>
      <c r="H991" t="s">
        <v>30</v>
      </c>
      <c r="I991" t="s">
        <v>34</v>
      </c>
      <c r="J991" t="s">
        <v>39</v>
      </c>
      <c r="K991" t="s">
        <v>49</v>
      </c>
      <c r="L991" t="s">
        <v>51</v>
      </c>
      <c r="M991">
        <v>56418</v>
      </c>
      <c r="N991">
        <v>0.39</v>
      </c>
      <c r="O991">
        <v>17984</v>
      </c>
      <c r="P991">
        <v>5</v>
      </c>
      <c r="Q991" t="s">
        <v>54</v>
      </c>
      <c r="R991" t="s">
        <v>59</v>
      </c>
    </row>
    <row r="992" spans="1:18">
      <c r="A992">
        <v>10991</v>
      </c>
      <c r="B992" s="2">
        <v>45187</v>
      </c>
      <c r="C992" s="2">
        <v>45189</v>
      </c>
      <c r="D992" s="2">
        <v>45193</v>
      </c>
      <c r="E992" t="s">
        <v>20</v>
      </c>
      <c r="F992" t="s">
        <v>22</v>
      </c>
      <c r="G992" t="s">
        <v>23</v>
      </c>
      <c r="H992" t="s">
        <v>33</v>
      </c>
      <c r="I992" t="s">
        <v>36</v>
      </c>
      <c r="J992" t="s">
        <v>43</v>
      </c>
      <c r="K992" t="s">
        <v>45</v>
      </c>
      <c r="L992" t="s">
        <v>51</v>
      </c>
      <c r="M992">
        <v>18623</v>
      </c>
      <c r="N992">
        <v>0.05</v>
      </c>
      <c r="O992">
        <v>12806</v>
      </c>
      <c r="P992">
        <v>21</v>
      </c>
      <c r="Q992" t="s">
        <v>58</v>
      </c>
      <c r="R992" t="s">
        <v>61</v>
      </c>
    </row>
    <row r="993" spans="1:18">
      <c r="A993">
        <v>10992</v>
      </c>
      <c r="B993" s="2">
        <v>45188</v>
      </c>
      <c r="C993" s="2">
        <v>45190</v>
      </c>
      <c r="D993" s="2">
        <v>45194</v>
      </c>
      <c r="E993" t="s">
        <v>19</v>
      </c>
      <c r="F993" t="s">
        <v>22</v>
      </c>
      <c r="G993" t="s">
        <v>25</v>
      </c>
      <c r="H993" t="s">
        <v>31</v>
      </c>
      <c r="I993" t="s">
        <v>35</v>
      </c>
      <c r="J993" t="s">
        <v>43</v>
      </c>
      <c r="K993" t="s">
        <v>44</v>
      </c>
      <c r="L993" t="s">
        <v>51</v>
      </c>
      <c r="M993">
        <v>21481</v>
      </c>
      <c r="N993">
        <v>0.22</v>
      </c>
      <c r="O993">
        <v>16366</v>
      </c>
      <c r="P993">
        <v>24</v>
      </c>
      <c r="Q993" t="s">
        <v>54</v>
      </c>
      <c r="R993" t="s">
        <v>61</v>
      </c>
    </row>
    <row r="994" spans="1:18">
      <c r="A994">
        <v>10993</v>
      </c>
      <c r="B994" s="2">
        <v>45189</v>
      </c>
      <c r="C994" s="2">
        <v>45191</v>
      </c>
      <c r="D994" s="2">
        <v>45195</v>
      </c>
      <c r="E994" t="s">
        <v>20</v>
      </c>
      <c r="F994" t="s">
        <v>22</v>
      </c>
      <c r="G994" t="s">
        <v>23</v>
      </c>
      <c r="H994" t="s">
        <v>33</v>
      </c>
      <c r="I994" t="s">
        <v>36</v>
      </c>
      <c r="J994" t="s">
        <v>42</v>
      </c>
      <c r="K994" t="s">
        <v>49</v>
      </c>
      <c r="L994" t="s">
        <v>53</v>
      </c>
      <c r="M994">
        <v>53525</v>
      </c>
      <c r="N994">
        <v>0.06</v>
      </c>
      <c r="O994">
        <v>13174</v>
      </c>
      <c r="P994">
        <v>3</v>
      </c>
      <c r="Q994" t="s">
        <v>57</v>
      </c>
      <c r="R994" t="s">
        <v>59</v>
      </c>
    </row>
    <row r="995" spans="1:18">
      <c r="A995">
        <v>10994</v>
      </c>
      <c r="B995" s="2">
        <v>45190</v>
      </c>
      <c r="C995" s="2">
        <v>45192</v>
      </c>
      <c r="D995" s="2">
        <v>45196</v>
      </c>
      <c r="E995" t="s">
        <v>20</v>
      </c>
      <c r="F995" t="s">
        <v>22</v>
      </c>
      <c r="G995" t="s">
        <v>27</v>
      </c>
      <c r="H995" t="s">
        <v>30</v>
      </c>
      <c r="I995" t="s">
        <v>34</v>
      </c>
      <c r="J995" t="s">
        <v>40</v>
      </c>
      <c r="K995" t="s">
        <v>46</v>
      </c>
      <c r="L995" t="s">
        <v>52</v>
      </c>
      <c r="M995">
        <v>38468</v>
      </c>
      <c r="N995">
        <v>0.09</v>
      </c>
      <c r="O995">
        <v>16378</v>
      </c>
      <c r="P995">
        <v>9</v>
      </c>
      <c r="Q995" t="s">
        <v>57</v>
      </c>
      <c r="R995" t="s">
        <v>62</v>
      </c>
    </row>
    <row r="996" spans="1:18">
      <c r="A996">
        <v>10995</v>
      </c>
      <c r="B996" s="2">
        <v>45191</v>
      </c>
      <c r="C996" s="2">
        <v>45193</v>
      </c>
      <c r="D996" s="2">
        <v>45197</v>
      </c>
      <c r="E996" t="s">
        <v>18</v>
      </c>
      <c r="F996" t="s">
        <v>22</v>
      </c>
      <c r="G996" t="s">
        <v>23</v>
      </c>
      <c r="H996" t="s">
        <v>25</v>
      </c>
      <c r="I996" t="s">
        <v>36</v>
      </c>
      <c r="J996" t="s">
        <v>43</v>
      </c>
      <c r="K996" t="s">
        <v>49</v>
      </c>
      <c r="L996" t="s">
        <v>53</v>
      </c>
      <c r="M996">
        <v>26951</v>
      </c>
      <c r="N996">
        <v>0.18</v>
      </c>
      <c r="O996">
        <v>6972</v>
      </c>
      <c r="P996">
        <v>21</v>
      </c>
      <c r="Q996" t="s">
        <v>56</v>
      </c>
      <c r="R996" t="s">
        <v>60</v>
      </c>
    </row>
    <row r="997" spans="1:18">
      <c r="A997">
        <v>10996</v>
      </c>
      <c r="B997" s="2">
        <v>45192</v>
      </c>
      <c r="C997" s="2">
        <v>45194</v>
      </c>
      <c r="D997" s="2">
        <v>45198</v>
      </c>
      <c r="E997" t="s">
        <v>18</v>
      </c>
      <c r="F997" t="s">
        <v>22</v>
      </c>
      <c r="G997" t="s">
        <v>28</v>
      </c>
      <c r="H997" t="s">
        <v>30</v>
      </c>
      <c r="I997" t="s">
        <v>36</v>
      </c>
      <c r="J997" t="s">
        <v>38</v>
      </c>
      <c r="K997" t="s">
        <v>45</v>
      </c>
      <c r="L997" t="s">
        <v>51</v>
      </c>
      <c r="M997">
        <v>52749</v>
      </c>
      <c r="N997">
        <v>7.0000000000000007E-2</v>
      </c>
      <c r="O997">
        <v>4588</v>
      </c>
      <c r="P997">
        <v>16</v>
      </c>
      <c r="Q997" t="s">
        <v>54</v>
      </c>
      <c r="R997" t="s">
        <v>59</v>
      </c>
    </row>
    <row r="998" spans="1:18">
      <c r="A998">
        <v>10997</v>
      </c>
      <c r="B998" s="2">
        <v>45193</v>
      </c>
      <c r="C998" s="2">
        <v>45195</v>
      </c>
      <c r="D998" s="2">
        <v>45199</v>
      </c>
      <c r="E998" t="s">
        <v>18</v>
      </c>
      <c r="F998" t="s">
        <v>22</v>
      </c>
      <c r="G998" t="s">
        <v>27</v>
      </c>
      <c r="H998" t="s">
        <v>25</v>
      </c>
      <c r="I998" t="s">
        <v>35</v>
      </c>
      <c r="J998" t="s">
        <v>37</v>
      </c>
      <c r="K998" t="s">
        <v>49</v>
      </c>
      <c r="L998" t="s">
        <v>53</v>
      </c>
      <c r="M998">
        <v>16397</v>
      </c>
      <c r="N998">
        <v>0.05</v>
      </c>
      <c r="O998">
        <v>1616</v>
      </c>
      <c r="P998">
        <v>4</v>
      </c>
      <c r="Q998" t="s">
        <v>55</v>
      </c>
      <c r="R998" t="s">
        <v>60</v>
      </c>
    </row>
    <row r="999" spans="1:18">
      <c r="A999">
        <v>10998</v>
      </c>
      <c r="B999" s="2">
        <v>45194</v>
      </c>
      <c r="C999" s="2">
        <v>45196</v>
      </c>
      <c r="D999" s="2">
        <v>45200</v>
      </c>
      <c r="E999" t="s">
        <v>18</v>
      </c>
      <c r="F999" t="s">
        <v>22</v>
      </c>
      <c r="G999" t="s">
        <v>27</v>
      </c>
      <c r="H999" t="s">
        <v>30</v>
      </c>
      <c r="I999" t="s">
        <v>35</v>
      </c>
      <c r="J999" t="s">
        <v>38</v>
      </c>
      <c r="K999" t="s">
        <v>47</v>
      </c>
      <c r="L999" t="s">
        <v>51</v>
      </c>
      <c r="M999">
        <v>45706</v>
      </c>
      <c r="N999">
        <v>0.25</v>
      </c>
      <c r="O999">
        <v>9391</v>
      </c>
      <c r="P999">
        <v>15</v>
      </c>
      <c r="Q999" t="s">
        <v>57</v>
      </c>
      <c r="R999" t="s">
        <v>62</v>
      </c>
    </row>
    <row r="1000" spans="1:18">
      <c r="A1000">
        <v>10999</v>
      </c>
      <c r="B1000" s="2">
        <v>45195</v>
      </c>
      <c r="C1000" s="2">
        <v>45197</v>
      </c>
      <c r="D1000" s="2">
        <v>45201</v>
      </c>
      <c r="E1000" t="s">
        <v>19</v>
      </c>
      <c r="F1000" t="s">
        <v>22</v>
      </c>
      <c r="G1000" t="s">
        <v>24</v>
      </c>
      <c r="H1000" t="s">
        <v>29</v>
      </c>
      <c r="I1000" t="s">
        <v>36</v>
      </c>
      <c r="J1000" t="s">
        <v>38</v>
      </c>
      <c r="K1000" t="s">
        <v>46</v>
      </c>
      <c r="L1000" t="s">
        <v>51</v>
      </c>
      <c r="M1000">
        <v>31565</v>
      </c>
      <c r="N1000">
        <v>0.28000000000000003</v>
      </c>
      <c r="O1000">
        <v>2244</v>
      </c>
      <c r="P1000">
        <v>2</v>
      </c>
      <c r="Q1000" t="s">
        <v>57</v>
      </c>
      <c r="R1000" t="s">
        <v>61</v>
      </c>
    </row>
    <row r="1001" spans="1:18">
      <c r="A1001">
        <v>11000</v>
      </c>
      <c r="B1001" s="2">
        <v>45196</v>
      </c>
      <c r="C1001" s="2">
        <v>45198</v>
      </c>
      <c r="D1001" s="2">
        <v>45202</v>
      </c>
      <c r="E1001" t="s">
        <v>20</v>
      </c>
      <c r="F1001" t="s">
        <v>22</v>
      </c>
      <c r="G1001" t="s">
        <v>28</v>
      </c>
      <c r="H1001" t="s">
        <v>33</v>
      </c>
      <c r="I1001" t="s">
        <v>36</v>
      </c>
      <c r="J1001" t="s">
        <v>39</v>
      </c>
      <c r="K1001" t="s">
        <v>46</v>
      </c>
      <c r="L1001" t="s">
        <v>52</v>
      </c>
      <c r="M1001">
        <v>23415</v>
      </c>
      <c r="N1001">
        <v>0.35</v>
      </c>
      <c r="O1001">
        <v>18471</v>
      </c>
      <c r="P1001">
        <v>21</v>
      </c>
      <c r="Q1001" t="s">
        <v>55</v>
      </c>
      <c r="R1001" t="s">
        <v>61</v>
      </c>
    </row>
    <row r="1002" spans="1:18">
      <c r="A1002">
        <v>11001</v>
      </c>
      <c r="B1002" s="2">
        <v>45197</v>
      </c>
      <c r="C1002" s="2">
        <v>45199</v>
      </c>
      <c r="D1002" s="2">
        <v>45203</v>
      </c>
      <c r="E1002" t="s">
        <v>20</v>
      </c>
      <c r="F1002" t="s">
        <v>22</v>
      </c>
      <c r="G1002" t="s">
        <v>28</v>
      </c>
      <c r="H1002" t="s">
        <v>33</v>
      </c>
      <c r="I1002" t="s">
        <v>36</v>
      </c>
      <c r="J1002" t="s">
        <v>38</v>
      </c>
      <c r="K1002" t="s">
        <v>46</v>
      </c>
      <c r="L1002" t="s">
        <v>51</v>
      </c>
      <c r="M1002">
        <v>49429</v>
      </c>
      <c r="N1002">
        <v>0.12</v>
      </c>
      <c r="O1002">
        <v>8351</v>
      </c>
      <c r="P1002">
        <v>15</v>
      </c>
      <c r="Q1002" t="s">
        <v>54</v>
      </c>
      <c r="R1002" t="s">
        <v>61</v>
      </c>
    </row>
    <row r="1003" spans="1:18">
      <c r="A1003">
        <v>11002</v>
      </c>
      <c r="B1003" s="2">
        <v>45198</v>
      </c>
      <c r="C1003" s="2">
        <v>45200</v>
      </c>
      <c r="D1003" s="2">
        <v>45204</v>
      </c>
      <c r="E1003" t="s">
        <v>20</v>
      </c>
      <c r="F1003" t="s">
        <v>22</v>
      </c>
      <c r="G1003" t="s">
        <v>25</v>
      </c>
      <c r="H1003" t="s">
        <v>33</v>
      </c>
      <c r="I1003" t="s">
        <v>36</v>
      </c>
      <c r="J1003" t="s">
        <v>42</v>
      </c>
      <c r="K1003" t="s">
        <v>44</v>
      </c>
      <c r="L1003" t="s">
        <v>53</v>
      </c>
      <c r="M1003">
        <v>34019</v>
      </c>
      <c r="N1003">
        <v>0.35</v>
      </c>
      <c r="O1003">
        <v>-171</v>
      </c>
      <c r="P1003">
        <v>20</v>
      </c>
      <c r="Q1003" t="s">
        <v>58</v>
      </c>
      <c r="R1003" t="s">
        <v>60</v>
      </c>
    </row>
    <row r="1004" spans="1:18">
      <c r="A1004">
        <v>11003</v>
      </c>
      <c r="B1004" s="2">
        <v>45199</v>
      </c>
      <c r="C1004" s="2">
        <v>45201</v>
      </c>
      <c r="D1004" s="2">
        <v>45205</v>
      </c>
      <c r="E1004" t="s">
        <v>21</v>
      </c>
      <c r="F1004" t="s">
        <v>22</v>
      </c>
      <c r="G1004" t="s">
        <v>25</v>
      </c>
      <c r="H1004" t="s">
        <v>33</v>
      </c>
      <c r="I1004" t="s">
        <v>36</v>
      </c>
      <c r="J1004" t="s">
        <v>43</v>
      </c>
      <c r="K1004" t="s">
        <v>46</v>
      </c>
      <c r="L1004" t="s">
        <v>52</v>
      </c>
      <c r="M1004">
        <v>44106</v>
      </c>
      <c r="N1004">
        <v>0.01</v>
      </c>
      <c r="O1004">
        <v>12908</v>
      </c>
      <c r="P1004">
        <v>17</v>
      </c>
      <c r="Q1004" t="s">
        <v>56</v>
      </c>
      <c r="R1004" t="s">
        <v>59</v>
      </c>
    </row>
    <row r="1005" spans="1:18">
      <c r="A1005">
        <v>11004</v>
      </c>
      <c r="B1005" s="2">
        <v>45200</v>
      </c>
      <c r="C1005" s="2">
        <v>45202</v>
      </c>
      <c r="D1005" s="2">
        <v>45206</v>
      </c>
      <c r="E1005" t="s">
        <v>21</v>
      </c>
      <c r="F1005" t="s">
        <v>22</v>
      </c>
      <c r="G1005" t="s">
        <v>26</v>
      </c>
      <c r="H1005" t="s">
        <v>33</v>
      </c>
      <c r="I1005" t="s">
        <v>35</v>
      </c>
      <c r="J1005" t="s">
        <v>42</v>
      </c>
      <c r="K1005" t="s">
        <v>46</v>
      </c>
      <c r="L1005" t="s">
        <v>53</v>
      </c>
      <c r="M1005">
        <v>34861</v>
      </c>
      <c r="N1005">
        <v>0.14000000000000001</v>
      </c>
      <c r="O1005">
        <v>12469</v>
      </c>
      <c r="P1005">
        <v>8</v>
      </c>
      <c r="Q1005" t="s">
        <v>58</v>
      </c>
      <c r="R1005" t="s">
        <v>60</v>
      </c>
    </row>
    <row r="1006" spans="1:18">
      <c r="A1006">
        <v>11005</v>
      </c>
      <c r="B1006" s="2">
        <v>45201</v>
      </c>
      <c r="C1006" s="2">
        <v>45203</v>
      </c>
      <c r="D1006" s="2">
        <v>45207</v>
      </c>
      <c r="E1006" t="s">
        <v>20</v>
      </c>
      <c r="F1006" t="s">
        <v>22</v>
      </c>
      <c r="G1006" t="s">
        <v>23</v>
      </c>
      <c r="H1006" t="s">
        <v>29</v>
      </c>
      <c r="I1006" t="s">
        <v>35</v>
      </c>
      <c r="J1006" t="s">
        <v>38</v>
      </c>
      <c r="K1006" t="s">
        <v>46</v>
      </c>
      <c r="L1006" t="s">
        <v>51</v>
      </c>
      <c r="M1006">
        <v>65843</v>
      </c>
      <c r="N1006">
        <v>0.1</v>
      </c>
      <c r="O1006">
        <v>11019</v>
      </c>
      <c r="P1006">
        <v>17</v>
      </c>
      <c r="Q1006" t="s">
        <v>54</v>
      </c>
      <c r="R1006" t="s">
        <v>62</v>
      </c>
    </row>
    <row r="1007" spans="1:18">
      <c r="A1007">
        <v>11006</v>
      </c>
      <c r="B1007" s="2">
        <v>45202</v>
      </c>
      <c r="C1007" s="2">
        <v>45204</v>
      </c>
      <c r="D1007" s="2">
        <v>45208</v>
      </c>
      <c r="E1007" t="s">
        <v>18</v>
      </c>
      <c r="F1007" t="s">
        <v>22</v>
      </c>
      <c r="G1007" t="s">
        <v>26</v>
      </c>
      <c r="H1007" t="s">
        <v>32</v>
      </c>
      <c r="I1007" t="s">
        <v>35</v>
      </c>
      <c r="J1007" t="s">
        <v>43</v>
      </c>
      <c r="K1007" t="s">
        <v>47</v>
      </c>
      <c r="L1007" t="s">
        <v>53</v>
      </c>
      <c r="M1007">
        <v>60600</v>
      </c>
      <c r="N1007">
        <v>0.14000000000000001</v>
      </c>
      <c r="O1007">
        <v>16569</v>
      </c>
      <c r="P1007">
        <v>22</v>
      </c>
      <c r="Q1007" t="s">
        <v>55</v>
      </c>
      <c r="R1007" t="s">
        <v>61</v>
      </c>
    </row>
    <row r="1008" spans="1:18">
      <c r="A1008">
        <v>11007</v>
      </c>
      <c r="B1008" s="2">
        <v>45203</v>
      </c>
      <c r="C1008" s="2">
        <v>45205</v>
      </c>
      <c r="D1008" s="2">
        <v>45209</v>
      </c>
      <c r="E1008" t="s">
        <v>21</v>
      </c>
      <c r="F1008" t="s">
        <v>22</v>
      </c>
      <c r="G1008" t="s">
        <v>23</v>
      </c>
      <c r="H1008" t="s">
        <v>32</v>
      </c>
      <c r="I1008" t="s">
        <v>36</v>
      </c>
      <c r="J1008" t="s">
        <v>42</v>
      </c>
      <c r="K1008" t="s">
        <v>50</v>
      </c>
      <c r="L1008" t="s">
        <v>53</v>
      </c>
      <c r="M1008">
        <v>60121</v>
      </c>
      <c r="N1008">
        <v>0.28999999999999998</v>
      </c>
      <c r="O1008">
        <v>2784</v>
      </c>
      <c r="P1008">
        <v>8</v>
      </c>
      <c r="Q1008" t="s">
        <v>57</v>
      </c>
      <c r="R1008" t="s">
        <v>59</v>
      </c>
    </row>
    <row r="1009" spans="1:18">
      <c r="A1009">
        <v>11008</v>
      </c>
      <c r="B1009" s="2">
        <v>45204</v>
      </c>
      <c r="C1009" s="2">
        <v>45206</v>
      </c>
      <c r="D1009" s="2">
        <v>45210</v>
      </c>
      <c r="E1009" t="s">
        <v>20</v>
      </c>
      <c r="F1009" t="s">
        <v>22</v>
      </c>
      <c r="G1009" t="s">
        <v>27</v>
      </c>
      <c r="H1009" t="s">
        <v>30</v>
      </c>
      <c r="I1009" t="s">
        <v>35</v>
      </c>
      <c r="J1009" t="s">
        <v>40</v>
      </c>
      <c r="K1009" t="s">
        <v>49</v>
      </c>
      <c r="L1009" t="s">
        <v>51</v>
      </c>
      <c r="M1009">
        <v>27746</v>
      </c>
      <c r="N1009">
        <v>0.37</v>
      </c>
      <c r="O1009">
        <v>10467</v>
      </c>
      <c r="P1009">
        <v>24</v>
      </c>
      <c r="Q1009" t="s">
        <v>57</v>
      </c>
      <c r="R1009" t="s">
        <v>59</v>
      </c>
    </row>
    <row r="1010" spans="1:18">
      <c r="A1010">
        <v>11009</v>
      </c>
      <c r="B1010" s="2">
        <v>45205</v>
      </c>
      <c r="C1010" s="2">
        <v>45207</v>
      </c>
      <c r="D1010" s="2">
        <v>45211</v>
      </c>
      <c r="E1010" t="s">
        <v>20</v>
      </c>
      <c r="F1010" t="s">
        <v>22</v>
      </c>
      <c r="G1010" t="s">
        <v>27</v>
      </c>
      <c r="H1010" t="s">
        <v>33</v>
      </c>
      <c r="I1010" t="s">
        <v>36</v>
      </c>
      <c r="J1010" t="s">
        <v>41</v>
      </c>
      <c r="K1010" t="s">
        <v>48</v>
      </c>
      <c r="L1010" t="s">
        <v>52</v>
      </c>
      <c r="M1010">
        <v>55564</v>
      </c>
      <c r="N1010">
        <v>0.1</v>
      </c>
      <c r="O1010">
        <v>7580</v>
      </c>
      <c r="P1010">
        <v>1</v>
      </c>
      <c r="Q1010" t="s">
        <v>55</v>
      </c>
      <c r="R1010" t="s">
        <v>59</v>
      </c>
    </row>
    <row r="1011" spans="1:18">
      <c r="A1011">
        <v>11010</v>
      </c>
      <c r="B1011" s="2">
        <v>45206</v>
      </c>
      <c r="C1011" s="2">
        <v>45208</v>
      </c>
      <c r="D1011" s="2">
        <v>45212</v>
      </c>
      <c r="E1011" t="s">
        <v>20</v>
      </c>
      <c r="F1011" t="s">
        <v>22</v>
      </c>
      <c r="G1011" t="s">
        <v>24</v>
      </c>
      <c r="H1011" t="s">
        <v>25</v>
      </c>
      <c r="I1011" t="s">
        <v>34</v>
      </c>
      <c r="J1011" t="s">
        <v>42</v>
      </c>
      <c r="K1011" t="s">
        <v>45</v>
      </c>
      <c r="L1011" t="s">
        <v>51</v>
      </c>
      <c r="M1011">
        <v>25249</v>
      </c>
      <c r="N1011">
        <v>0.24</v>
      </c>
      <c r="O1011">
        <v>11715</v>
      </c>
      <c r="P1011">
        <v>11</v>
      </c>
      <c r="Q1011" t="s">
        <v>58</v>
      </c>
      <c r="R1011" t="s">
        <v>59</v>
      </c>
    </row>
    <row r="1012" spans="1:18">
      <c r="A1012">
        <v>11011</v>
      </c>
      <c r="B1012" s="2">
        <v>45207</v>
      </c>
      <c r="C1012" s="2">
        <v>45209</v>
      </c>
      <c r="D1012" s="2">
        <v>45213</v>
      </c>
      <c r="E1012" t="s">
        <v>21</v>
      </c>
      <c r="F1012" t="s">
        <v>22</v>
      </c>
      <c r="G1012" t="s">
        <v>25</v>
      </c>
      <c r="H1012" t="s">
        <v>30</v>
      </c>
      <c r="I1012" t="s">
        <v>34</v>
      </c>
      <c r="J1012" t="s">
        <v>38</v>
      </c>
      <c r="K1012" t="s">
        <v>49</v>
      </c>
      <c r="L1012" t="s">
        <v>52</v>
      </c>
      <c r="M1012">
        <v>12342</v>
      </c>
      <c r="N1012">
        <v>0.31</v>
      </c>
      <c r="O1012">
        <v>6692</v>
      </c>
      <c r="P1012">
        <v>20</v>
      </c>
      <c r="Q1012" t="s">
        <v>57</v>
      </c>
      <c r="R1012" t="s">
        <v>62</v>
      </c>
    </row>
    <row r="1013" spans="1:18">
      <c r="A1013">
        <v>11012</v>
      </c>
      <c r="B1013" s="2">
        <v>45208</v>
      </c>
      <c r="C1013" s="2">
        <v>45210</v>
      </c>
      <c r="D1013" s="2">
        <v>45214</v>
      </c>
      <c r="E1013" t="s">
        <v>18</v>
      </c>
      <c r="F1013" t="s">
        <v>22</v>
      </c>
      <c r="G1013" t="s">
        <v>25</v>
      </c>
      <c r="H1013" t="s">
        <v>30</v>
      </c>
      <c r="I1013" t="s">
        <v>34</v>
      </c>
      <c r="J1013" t="s">
        <v>39</v>
      </c>
      <c r="K1013" t="s">
        <v>50</v>
      </c>
      <c r="L1013" t="s">
        <v>53</v>
      </c>
      <c r="M1013">
        <v>29005</v>
      </c>
      <c r="N1013">
        <v>0.27</v>
      </c>
      <c r="O1013">
        <v>18475</v>
      </c>
      <c r="P1013">
        <v>11</v>
      </c>
      <c r="Q1013" t="s">
        <v>54</v>
      </c>
      <c r="R1013" t="s">
        <v>60</v>
      </c>
    </row>
    <row r="1014" spans="1:18">
      <c r="A1014">
        <v>11013</v>
      </c>
      <c r="B1014" s="2">
        <v>45209</v>
      </c>
      <c r="C1014" s="2">
        <v>45211</v>
      </c>
      <c r="D1014" s="2">
        <v>45215</v>
      </c>
      <c r="E1014" t="s">
        <v>20</v>
      </c>
      <c r="F1014" t="s">
        <v>22</v>
      </c>
      <c r="G1014" t="s">
        <v>23</v>
      </c>
      <c r="H1014" t="s">
        <v>25</v>
      </c>
      <c r="I1014" t="s">
        <v>34</v>
      </c>
      <c r="J1014" t="s">
        <v>40</v>
      </c>
      <c r="K1014" t="s">
        <v>47</v>
      </c>
      <c r="L1014" t="s">
        <v>52</v>
      </c>
      <c r="M1014">
        <v>36789</v>
      </c>
      <c r="N1014">
        <v>0.15</v>
      </c>
      <c r="O1014">
        <v>12981</v>
      </c>
      <c r="P1014">
        <v>5</v>
      </c>
      <c r="Q1014" t="s">
        <v>55</v>
      </c>
      <c r="R1014" t="s">
        <v>62</v>
      </c>
    </row>
    <row r="1015" spans="1:18">
      <c r="A1015">
        <v>11014</v>
      </c>
      <c r="B1015" s="2">
        <v>45210</v>
      </c>
      <c r="C1015" s="2">
        <v>45212</v>
      </c>
      <c r="D1015" s="2">
        <v>45216</v>
      </c>
      <c r="E1015" t="s">
        <v>20</v>
      </c>
      <c r="F1015" t="s">
        <v>22</v>
      </c>
      <c r="G1015" t="s">
        <v>28</v>
      </c>
      <c r="H1015" t="s">
        <v>30</v>
      </c>
      <c r="I1015" t="s">
        <v>35</v>
      </c>
      <c r="J1015" t="s">
        <v>40</v>
      </c>
      <c r="K1015" t="s">
        <v>50</v>
      </c>
      <c r="L1015" t="s">
        <v>53</v>
      </c>
      <c r="M1015">
        <v>7364</v>
      </c>
      <c r="N1015">
        <v>0.27</v>
      </c>
      <c r="O1015">
        <v>3421</v>
      </c>
      <c r="P1015">
        <v>16</v>
      </c>
      <c r="Q1015" t="s">
        <v>58</v>
      </c>
      <c r="R1015" t="s">
        <v>60</v>
      </c>
    </row>
    <row r="1016" spans="1:18">
      <c r="A1016">
        <v>11015</v>
      </c>
      <c r="B1016" s="2">
        <v>45211</v>
      </c>
      <c r="C1016" s="2">
        <v>45213</v>
      </c>
      <c r="D1016" s="2">
        <v>45217</v>
      </c>
      <c r="E1016" t="s">
        <v>18</v>
      </c>
      <c r="F1016" t="s">
        <v>22</v>
      </c>
      <c r="G1016" t="s">
        <v>26</v>
      </c>
      <c r="H1016" t="s">
        <v>29</v>
      </c>
      <c r="I1016" t="s">
        <v>36</v>
      </c>
      <c r="J1016" t="s">
        <v>39</v>
      </c>
      <c r="K1016" t="s">
        <v>48</v>
      </c>
      <c r="L1016" t="s">
        <v>51</v>
      </c>
      <c r="M1016">
        <v>40520</v>
      </c>
      <c r="N1016">
        <v>0.03</v>
      </c>
      <c r="O1016">
        <v>19568</v>
      </c>
      <c r="P1016">
        <v>18</v>
      </c>
      <c r="Q1016" t="s">
        <v>55</v>
      </c>
      <c r="R1016" t="s">
        <v>60</v>
      </c>
    </row>
    <row r="1017" spans="1:18">
      <c r="A1017">
        <v>11016</v>
      </c>
      <c r="B1017" s="2">
        <v>45212</v>
      </c>
      <c r="C1017" s="2">
        <v>45214</v>
      </c>
      <c r="D1017" s="2">
        <v>45218</v>
      </c>
      <c r="E1017" t="s">
        <v>18</v>
      </c>
      <c r="F1017" t="s">
        <v>22</v>
      </c>
      <c r="G1017" t="s">
        <v>25</v>
      </c>
      <c r="H1017" t="s">
        <v>32</v>
      </c>
      <c r="I1017" t="s">
        <v>36</v>
      </c>
      <c r="J1017" t="s">
        <v>37</v>
      </c>
      <c r="K1017" t="s">
        <v>46</v>
      </c>
      <c r="L1017" t="s">
        <v>52</v>
      </c>
      <c r="M1017">
        <v>9270</v>
      </c>
      <c r="N1017">
        <v>0.22</v>
      </c>
      <c r="O1017">
        <v>14120</v>
      </c>
      <c r="P1017">
        <v>11</v>
      </c>
      <c r="Q1017" t="s">
        <v>54</v>
      </c>
      <c r="R1017" t="s">
        <v>61</v>
      </c>
    </row>
    <row r="1018" spans="1:18">
      <c r="A1018">
        <v>11017</v>
      </c>
      <c r="B1018" s="2">
        <v>45213</v>
      </c>
      <c r="C1018" s="2">
        <v>45215</v>
      </c>
      <c r="D1018" s="2">
        <v>45219</v>
      </c>
      <c r="E1018" t="s">
        <v>21</v>
      </c>
      <c r="F1018" t="s">
        <v>22</v>
      </c>
      <c r="G1018" t="s">
        <v>26</v>
      </c>
      <c r="H1018" t="s">
        <v>30</v>
      </c>
      <c r="I1018" t="s">
        <v>34</v>
      </c>
      <c r="J1018" t="s">
        <v>40</v>
      </c>
      <c r="K1018" t="s">
        <v>50</v>
      </c>
      <c r="L1018" t="s">
        <v>53</v>
      </c>
      <c r="M1018">
        <v>59421</v>
      </c>
      <c r="N1018">
        <v>0.38</v>
      </c>
      <c r="O1018">
        <v>1703</v>
      </c>
      <c r="P1018">
        <v>22</v>
      </c>
      <c r="Q1018" t="s">
        <v>57</v>
      </c>
      <c r="R1018" t="s">
        <v>61</v>
      </c>
    </row>
    <row r="1019" spans="1:18">
      <c r="A1019">
        <v>11018</v>
      </c>
      <c r="B1019" s="2">
        <v>45214</v>
      </c>
      <c r="C1019" s="2">
        <v>45216</v>
      </c>
      <c r="D1019" s="2">
        <v>45220</v>
      </c>
      <c r="E1019" t="s">
        <v>18</v>
      </c>
      <c r="F1019" t="s">
        <v>22</v>
      </c>
      <c r="G1019" t="s">
        <v>26</v>
      </c>
      <c r="H1019" t="s">
        <v>32</v>
      </c>
      <c r="I1019" t="s">
        <v>35</v>
      </c>
      <c r="J1019" t="s">
        <v>41</v>
      </c>
      <c r="K1019" t="s">
        <v>44</v>
      </c>
      <c r="L1019" t="s">
        <v>53</v>
      </c>
      <c r="M1019">
        <v>19325</v>
      </c>
      <c r="N1019">
        <v>0.14000000000000001</v>
      </c>
      <c r="O1019">
        <v>5858</v>
      </c>
      <c r="P1019">
        <v>10</v>
      </c>
      <c r="Q1019" t="s">
        <v>54</v>
      </c>
      <c r="R1019" t="s">
        <v>60</v>
      </c>
    </row>
    <row r="1020" spans="1:18">
      <c r="A1020">
        <v>11019</v>
      </c>
      <c r="B1020" s="2">
        <v>45215</v>
      </c>
      <c r="C1020" s="2">
        <v>45217</v>
      </c>
      <c r="D1020" s="2">
        <v>45221</v>
      </c>
      <c r="E1020" t="s">
        <v>21</v>
      </c>
      <c r="F1020" t="s">
        <v>22</v>
      </c>
      <c r="G1020" t="s">
        <v>25</v>
      </c>
      <c r="H1020" t="s">
        <v>33</v>
      </c>
      <c r="I1020" t="s">
        <v>34</v>
      </c>
      <c r="J1020" t="s">
        <v>37</v>
      </c>
      <c r="K1020" t="s">
        <v>46</v>
      </c>
      <c r="L1020" t="s">
        <v>53</v>
      </c>
      <c r="M1020">
        <v>48104</v>
      </c>
      <c r="N1020">
        <v>0.15</v>
      </c>
      <c r="O1020">
        <v>-846</v>
      </c>
      <c r="P1020">
        <v>18</v>
      </c>
      <c r="Q1020" t="s">
        <v>54</v>
      </c>
      <c r="R1020" t="s">
        <v>61</v>
      </c>
    </row>
    <row r="1021" spans="1:18">
      <c r="A1021">
        <v>11020</v>
      </c>
      <c r="B1021" s="2">
        <v>45216</v>
      </c>
      <c r="C1021" s="2">
        <v>45218</v>
      </c>
      <c r="D1021" s="2">
        <v>45222</v>
      </c>
      <c r="E1021" t="s">
        <v>21</v>
      </c>
      <c r="F1021" t="s">
        <v>22</v>
      </c>
      <c r="G1021" t="s">
        <v>26</v>
      </c>
      <c r="H1021" t="s">
        <v>29</v>
      </c>
      <c r="I1021" t="s">
        <v>35</v>
      </c>
      <c r="J1021" t="s">
        <v>38</v>
      </c>
      <c r="K1021" t="s">
        <v>49</v>
      </c>
      <c r="L1021" t="s">
        <v>51</v>
      </c>
      <c r="M1021">
        <v>71407</v>
      </c>
      <c r="N1021">
        <v>0.08</v>
      </c>
      <c r="O1021">
        <v>3922</v>
      </c>
      <c r="P1021">
        <v>14</v>
      </c>
      <c r="Q1021" t="s">
        <v>57</v>
      </c>
      <c r="R1021" t="s">
        <v>61</v>
      </c>
    </row>
    <row r="1022" spans="1:18">
      <c r="A1022">
        <v>11021</v>
      </c>
      <c r="B1022" s="2">
        <v>45217</v>
      </c>
      <c r="C1022" s="2">
        <v>45219</v>
      </c>
      <c r="D1022" s="2">
        <v>45223</v>
      </c>
      <c r="E1022" t="s">
        <v>21</v>
      </c>
      <c r="F1022" t="s">
        <v>22</v>
      </c>
      <c r="G1022" t="s">
        <v>28</v>
      </c>
      <c r="H1022" t="s">
        <v>32</v>
      </c>
      <c r="I1022" t="s">
        <v>35</v>
      </c>
      <c r="J1022" t="s">
        <v>39</v>
      </c>
      <c r="K1022" t="s">
        <v>45</v>
      </c>
      <c r="L1022" t="s">
        <v>53</v>
      </c>
      <c r="M1022">
        <v>32351</v>
      </c>
      <c r="N1022">
        <v>0.15</v>
      </c>
      <c r="O1022">
        <v>11016</v>
      </c>
      <c r="P1022">
        <v>13</v>
      </c>
      <c r="Q1022" t="s">
        <v>58</v>
      </c>
      <c r="R1022" t="s">
        <v>60</v>
      </c>
    </row>
    <row r="1023" spans="1:18">
      <c r="A1023">
        <v>11022</v>
      </c>
      <c r="B1023" s="2">
        <v>45218</v>
      </c>
      <c r="C1023" s="2">
        <v>45220</v>
      </c>
      <c r="D1023" s="2">
        <v>45224</v>
      </c>
      <c r="E1023" t="s">
        <v>19</v>
      </c>
      <c r="F1023" t="s">
        <v>22</v>
      </c>
      <c r="G1023" t="s">
        <v>27</v>
      </c>
      <c r="H1023" t="s">
        <v>31</v>
      </c>
      <c r="I1023" t="s">
        <v>34</v>
      </c>
      <c r="J1023" t="s">
        <v>38</v>
      </c>
      <c r="K1023" t="s">
        <v>48</v>
      </c>
      <c r="L1023" t="s">
        <v>53</v>
      </c>
      <c r="M1023">
        <v>25820</v>
      </c>
      <c r="N1023">
        <v>0.04</v>
      </c>
      <c r="O1023">
        <v>5001</v>
      </c>
      <c r="P1023">
        <v>10</v>
      </c>
      <c r="Q1023" t="s">
        <v>56</v>
      </c>
      <c r="R1023" t="s">
        <v>61</v>
      </c>
    </row>
    <row r="1024" spans="1:18">
      <c r="A1024">
        <v>11023</v>
      </c>
      <c r="B1024" s="2">
        <v>45219</v>
      </c>
      <c r="C1024" s="2">
        <v>45221</v>
      </c>
      <c r="D1024" s="2">
        <v>45225</v>
      </c>
      <c r="E1024" t="s">
        <v>20</v>
      </c>
      <c r="F1024" t="s">
        <v>22</v>
      </c>
      <c r="G1024" t="s">
        <v>27</v>
      </c>
      <c r="H1024" t="s">
        <v>29</v>
      </c>
      <c r="I1024" t="s">
        <v>34</v>
      </c>
      <c r="J1024" t="s">
        <v>40</v>
      </c>
      <c r="K1024" t="s">
        <v>49</v>
      </c>
      <c r="L1024" t="s">
        <v>52</v>
      </c>
      <c r="M1024">
        <v>68483</v>
      </c>
      <c r="N1024">
        <v>0.06</v>
      </c>
      <c r="O1024">
        <v>-1621</v>
      </c>
      <c r="P1024">
        <v>16</v>
      </c>
      <c r="Q1024" t="s">
        <v>55</v>
      </c>
      <c r="R1024" t="s">
        <v>60</v>
      </c>
    </row>
    <row r="1025" spans="1:18">
      <c r="A1025">
        <v>11024</v>
      </c>
      <c r="B1025" s="2">
        <v>45220</v>
      </c>
      <c r="C1025" s="2">
        <v>45222</v>
      </c>
      <c r="D1025" s="2">
        <v>45226</v>
      </c>
      <c r="E1025" t="s">
        <v>21</v>
      </c>
      <c r="F1025" t="s">
        <v>22</v>
      </c>
      <c r="G1025" t="s">
        <v>27</v>
      </c>
      <c r="H1025" t="s">
        <v>31</v>
      </c>
      <c r="I1025" t="s">
        <v>34</v>
      </c>
      <c r="J1025" t="s">
        <v>43</v>
      </c>
      <c r="K1025" t="s">
        <v>45</v>
      </c>
      <c r="L1025" t="s">
        <v>51</v>
      </c>
      <c r="M1025">
        <v>22761</v>
      </c>
      <c r="N1025">
        <v>0.26</v>
      </c>
      <c r="O1025">
        <v>9152</v>
      </c>
      <c r="P1025">
        <v>16</v>
      </c>
      <c r="Q1025" t="s">
        <v>58</v>
      </c>
      <c r="R1025" t="s">
        <v>60</v>
      </c>
    </row>
    <row r="1026" spans="1:18">
      <c r="A1026">
        <v>11025</v>
      </c>
      <c r="B1026" s="2">
        <v>45221</v>
      </c>
      <c r="C1026" s="2">
        <v>45223</v>
      </c>
      <c r="D1026" s="2">
        <v>45227</v>
      </c>
      <c r="E1026" t="s">
        <v>19</v>
      </c>
      <c r="F1026" t="s">
        <v>22</v>
      </c>
      <c r="G1026" t="s">
        <v>24</v>
      </c>
      <c r="H1026" t="s">
        <v>30</v>
      </c>
      <c r="I1026" t="s">
        <v>35</v>
      </c>
      <c r="J1026" t="s">
        <v>37</v>
      </c>
      <c r="K1026" t="s">
        <v>44</v>
      </c>
      <c r="L1026" t="s">
        <v>51</v>
      </c>
      <c r="M1026">
        <v>67339</v>
      </c>
      <c r="N1026">
        <v>0.16</v>
      </c>
      <c r="O1026">
        <v>6937</v>
      </c>
      <c r="P1026">
        <v>19</v>
      </c>
      <c r="Q1026" t="s">
        <v>57</v>
      </c>
      <c r="R1026" t="s">
        <v>59</v>
      </c>
    </row>
    <row r="1027" spans="1:18">
      <c r="A1027">
        <v>11026</v>
      </c>
      <c r="B1027" s="2">
        <v>45222</v>
      </c>
      <c r="C1027" s="2">
        <v>45224</v>
      </c>
      <c r="D1027" s="2">
        <v>45228</v>
      </c>
      <c r="E1027" t="s">
        <v>19</v>
      </c>
      <c r="F1027" t="s">
        <v>22</v>
      </c>
      <c r="G1027" t="s">
        <v>24</v>
      </c>
      <c r="H1027" t="s">
        <v>32</v>
      </c>
      <c r="I1027" t="s">
        <v>35</v>
      </c>
      <c r="J1027" t="s">
        <v>38</v>
      </c>
      <c r="K1027" t="s">
        <v>46</v>
      </c>
      <c r="L1027" t="s">
        <v>52</v>
      </c>
      <c r="M1027">
        <v>13730</v>
      </c>
      <c r="N1027">
        <v>0.24</v>
      </c>
      <c r="O1027">
        <v>19555</v>
      </c>
      <c r="P1027">
        <v>22</v>
      </c>
      <c r="Q1027" t="s">
        <v>54</v>
      </c>
      <c r="R1027" t="s">
        <v>62</v>
      </c>
    </row>
    <row r="1028" spans="1:18">
      <c r="A1028">
        <v>11027</v>
      </c>
      <c r="B1028" s="2">
        <v>45223</v>
      </c>
      <c r="C1028" s="2">
        <v>45225</v>
      </c>
      <c r="D1028" s="2">
        <v>45229</v>
      </c>
      <c r="E1028" t="s">
        <v>20</v>
      </c>
      <c r="F1028" t="s">
        <v>22</v>
      </c>
      <c r="G1028" t="s">
        <v>27</v>
      </c>
      <c r="H1028" t="s">
        <v>25</v>
      </c>
      <c r="I1028" t="s">
        <v>35</v>
      </c>
      <c r="J1028" t="s">
        <v>37</v>
      </c>
      <c r="K1028" t="s">
        <v>44</v>
      </c>
      <c r="L1028" t="s">
        <v>51</v>
      </c>
      <c r="M1028">
        <v>19849</v>
      </c>
      <c r="N1028">
        <v>0.38</v>
      </c>
      <c r="O1028">
        <v>7408</v>
      </c>
      <c r="P1028">
        <v>12</v>
      </c>
      <c r="Q1028" t="s">
        <v>54</v>
      </c>
      <c r="R1028" t="s">
        <v>59</v>
      </c>
    </row>
    <row r="1029" spans="1:18">
      <c r="A1029">
        <v>11028</v>
      </c>
      <c r="B1029" s="2">
        <v>45224</v>
      </c>
      <c r="C1029" s="2">
        <v>45226</v>
      </c>
      <c r="D1029" s="2">
        <v>45230</v>
      </c>
      <c r="E1029" t="s">
        <v>20</v>
      </c>
      <c r="F1029" t="s">
        <v>22</v>
      </c>
      <c r="G1029" t="s">
        <v>28</v>
      </c>
      <c r="H1029" t="s">
        <v>25</v>
      </c>
      <c r="I1029" t="s">
        <v>34</v>
      </c>
      <c r="J1029" t="s">
        <v>40</v>
      </c>
      <c r="K1029" t="s">
        <v>45</v>
      </c>
      <c r="L1029" t="s">
        <v>51</v>
      </c>
      <c r="M1029">
        <v>57760</v>
      </c>
      <c r="N1029">
        <v>0.18</v>
      </c>
      <c r="O1029">
        <v>15997</v>
      </c>
      <c r="P1029">
        <v>7</v>
      </c>
      <c r="Q1029" t="s">
        <v>57</v>
      </c>
      <c r="R1029" t="s">
        <v>59</v>
      </c>
    </row>
    <row r="1030" spans="1:18">
      <c r="A1030">
        <v>11029</v>
      </c>
      <c r="B1030" s="2">
        <v>45225</v>
      </c>
      <c r="C1030" s="2">
        <v>45227</v>
      </c>
      <c r="D1030" s="2">
        <v>45231</v>
      </c>
      <c r="E1030" t="s">
        <v>18</v>
      </c>
      <c r="F1030" t="s">
        <v>22</v>
      </c>
      <c r="G1030" t="s">
        <v>25</v>
      </c>
      <c r="H1030" t="s">
        <v>32</v>
      </c>
      <c r="I1030" t="s">
        <v>34</v>
      </c>
      <c r="J1030" t="s">
        <v>39</v>
      </c>
      <c r="K1030" t="s">
        <v>50</v>
      </c>
      <c r="L1030" t="s">
        <v>52</v>
      </c>
      <c r="M1030">
        <v>29506</v>
      </c>
      <c r="N1030">
        <v>0.37</v>
      </c>
      <c r="O1030">
        <v>-1696</v>
      </c>
      <c r="P1030">
        <v>2</v>
      </c>
      <c r="Q1030" t="s">
        <v>57</v>
      </c>
      <c r="R1030" t="s">
        <v>60</v>
      </c>
    </row>
    <row r="1031" spans="1:18">
      <c r="A1031">
        <v>11030</v>
      </c>
      <c r="B1031" s="2">
        <v>45226</v>
      </c>
      <c r="C1031" s="2">
        <v>45228</v>
      </c>
      <c r="D1031" s="2">
        <v>45232</v>
      </c>
      <c r="E1031" t="s">
        <v>19</v>
      </c>
      <c r="F1031" t="s">
        <v>22</v>
      </c>
      <c r="G1031" t="s">
        <v>26</v>
      </c>
      <c r="H1031" t="s">
        <v>25</v>
      </c>
      <c r="I1031" t="s">
        <v>35</v>
      </c>
      <c r="J1031" t="s">
        <v>43</v>
      </c>
      <c r="K1031" t="s">
        <v>50</v>
      </c>
      <c r="L1031" t="s">
        <v>51</v>
      </c>
      <c r="M1031">
        <v>14624</v>
      </c>
      <c r="N1031">
        <v>0.15</v>
      </c>
      <c r="O1031">
        <v>13062</v>
      </c>
      <c r="P1031">
        <v>12</v>
      </c>
      <c r="Q1031" t="s">
        <v>57</v>
      </c>
      <c r="R1031" t="s">
        <v>61</v>
      </c>
    </row>
    <row r="1032" spans="1:18">
      <c r="A1032">
        <v>11031</v>
      </c>
      <c r="B1032" s="2">
        <v>45227</v>
      </c>
      <c r="C1032" s="2">
        <v>45229</v>
      </c>
      <c r="D1032" s="2">
        <v>45233</v>
      </c>
      <c r="E1032" t="s">
        <v>19</v>
      </c>
      <c r="F1032" t="s">
        <v>22</v>
      </c>
      <c r="G1032" t="s">
        <v>28</v>
      </c>
      <c r="H1032" t="s">
        <v>33</v>
      </c>
      <c r="I1032" t="s">
        <v>34</v>
      </c>
      <c r="J1032" t="s">
        <v>42</v>
      </c>
      <c r="K1032" t="s">
        <v>46</v>
      </c>
      <c r="L1032" t="s">
        <v>52</v>
      </c>
      <c r="M1032">
        <v>32143</v>
      </c>
      <c r="N1032">
        <v>0.24</v>
      </c>
      <c r="O1032">
        <v>12228</v>
      </c>
      <c r="P1032">
        <v>16</v>
      </c>
      <c r="Q1032" t="s">
        <v>58</v>
      </c>
      <c r="R1032" t="s">
        <v>61</v>
      </c>
    </row>
    <row r="1033" spans="1:18">
      <c r="A1033">
        <v>11032</v>
      </c>
      <c r="B1033" s="2">
        <v>45228</v>
      </c>
      <c r="C1033" s="2">
        <v>45230</v>
      </c>
      <c r="D1033" s="2">
        <v>45234</v>
      </c>
      <c r="E1033" t="s">
        <v>19</v>
      </c>
      <c r="F1033" t="s">
        <v>22</v>
      </c>
      <c r="G1033" t="s">
        <v>28</v>
      </c>
      <c r="H1033" t="s">
        <v>25</v>
      </c>
      <c r="I1033" t="s">
        <v>34</v>
      </c>
      <c r="J1033" t="s">
        <v>37</v>
      </c>
      <c r="K1033" t="s">
        <v>50</v>
      </c>
      <c r="L1033" t="s">
        <v>53</v>
      </c>
      <c r="M1033">
        <v>57501</v>
      </c>
      <c r="N1033">
        <v>0.1</v>
      </c>
      <c r="O1033">
        <v>-1633</v>
      </c>
      <c r="P1033">
        <v>12</v>
      </c>
      <c r="Q1033" t="s">
        <v>57</v>
      </c>
      <c r="R1033" t="s">
        <v>59</v>
      </c>
    </row>
    <row r="1034" spans="1:18">
      <c r="A1034">
        <v>11033</v>
      </c>
      <c r="B1034" s="2">
        <v>45229</v>
      </c>
      <c r="C1034" s="2">
        <v>45231</v>
      </c>
      <c r="D1034" s="2">
        <v>45235</v>
      </c>
      <c r="E1034" t="s">
        <v>21</v>
      </c>
      <c r="F1034" t="s">
        <v>22</v>
      </c>
      <c r="G1034" t="s">
        <v>25</v>
      </c>
      <c r="H1034" t="s">
        <v>31</v>
      </c>
      <c r="I1034" t="s">
        <v>34</v>
      </c>
      <c r="J1034" t="s">
        <v>39</v>
      </c>
      <c r="K1034" t="s">
        <v>45</v>
      </c>
      <c r="L1034" t="s">
        <v>53</v>
      </c>
      <c r="M1034">
        <v>61836</v>
      </c>
      <c r="N1034">
        <v>0.23</v>
      </c>
      <c r="O1034">
        <v>-1571</v>
      </c>
      <c r="P1034">
        <v>22</v>
      </c>
      <c r="Q1034" t="s">
        <v>58</v>
      </c>
      <c r="R1034" t="s">
        <v>62</v>
      </c>
    </row>
    <row r="1035" spans="1:18">
      <c r="A1035">
        <v>11034</v>
      </c>
      <c r="B1035" s="2">
        <v>45230</v>
      </c>
      <c r="C1035" s="2">
        <v>45232</v>
      </c>
      <c r="D1035" s="2">
        <v>45236</v>
      </c>
      <c r="E1035" t="s">
        <v>21</v>
      </c>
      <c r="F1035" t="s">
        <v>22</v>
      </c>
      <c r="G1035" t="s">
        <v>25</v>
      </c>
      <c r="H1035" t="s">
        <v>31</v>
      </c>
      <c r="I1035" t="s">
        <v>35</v>
      </c>
      <c r="J1035" t="s">
        <v>38</v>
      </c>
      <c r="K1035" t="s">
        <v>47</v>
      </c>
      <c r="L1035" t="s">
        <v>52</v>
      </c>
      <c r="M1035">
        <v>45866</v>
      </c>
      <c r="N1035">
        <v>0.17</v>
      </c>
      <c r="O1035">
        <v>-968</v>
      </c>
      <c r="P1035">
        <v>23</v>
      </c>
      <c r="Q1035" t="s">
        <v>58</v>
      </c>
      <c r="R1035" t="s">
        <v>62</v>
      </c>
    </row>
    <row r="1036" spans="1:18">
      <c r="A1036">
        <v>11035</v>
      </c>
      <c r="B1036" s="2">
        <v>45231</v>
      </c>
      <c r="C1036" s="2">
        <v>45233</v>
      </c>
      <c r="D1036" s="2">
        <v>45237</v>
      </c>
      <c r="E1036" t="s">
        <v>19</v>
      </c>
      <c r="F1036" t="s">
        <v>22</v>
      </c>
      <c r="G1036" t="s">
        <v>24</v>
      </c>
      <c r="H1036" t="s">
        <v>25</v>
      </c>
      <c r="I1036" t="s">
        <v>35</v>
      </c>
      <c r="J1036" t="s">
        <v>39</v>
      </c>
      <c r="K1036" t="s">
        <v>48</v>
      </c>
      <c r="L1036" t="s">
        <v>52</v>
      </c>
      <c r="M1036">
        <v>5418</v>
      </c>
      <c r="N1036">
        <v>0.33</v>
      </c>
      <c r="O1036">
        <v>6392</v>
      </c>
      <c r="P1036">
        <v>20</v>
      </c>
      <c r="Q1036" t="s">
        <v>57</v>
      </c>
      <c r="R1036" t="s">
        <v>59</v>
      </c>
    </row>
    <row r="1037" spans="1:18">
      <c r="A1037">
        <v>11036</v>
      </c>
      <c r="B1037" s="2">
        <v>45232</v>
      </c>
      <c r="C1037" s="2">
        <v>45234</v>
      </c>
      <c r="D1037" s="2">
        <v>45238</v>
      </c>
      <c r="E1037" t="s">
        <v>21</v>
      </c>
      <c r="F1037" t="s">
        <v>22</v>
      </c>
      <c r="G1037" t="s">
        <v>27</v>
      </c>
      <c r="H1037" t="s">
        <v>31</v>
      </c>
      <c r="I1037" t="s">
        <v>34</v>
      </c>
      <c r="J1037" t="s">
        <v>39</v>
      </c>
      <c r="K1037" t="s">
        <v>49</v>
      </c>
      <c r="L1037" t="s">
        <v>53</v>
      </c>
      <c r="M1037">
        <v>53642</v>
      </c>
      <c r="N1037">
        <v>0.02</v>
      </c>
      <c r="O1037">
        <v>11250</v>
      </c>
      <c r="P1037">
        <v>8</v>
      </c>
      <c r="Q1037" t="s">
        <v>56</v>
      </c>
      <c r="R1037" t="s">
        <v>61</v>
      </c>
    </row>
    <row r="1038" spans="1:18">
      <c r="A1038">
        <v>11037</v>
      </c>
      <c r="B1038" s="2">
        <v>45233</v>
      </c>
      <c r="C1038" s="2">
        <v>45235</v>
      </c>
      <c r="D1038" s="2">
        <v>45239</v>
      </c>
      <c r="E1038" t="s">
        <v>20</v>
      </c>
      <c r="F1038" t="s">
        <v>22</v>
      </c>
      <c r="G1038" t="s">
        <v>24</v>
      </c>
      <c r="H1038" t="s">
        <v>25</v>
      </c>
      <c r="I1038" t="s">
        <v>34</v>
      </c>
      <c r="J1038" t="s">
        <v>42</v>
      </c>
      <c r="K1038" t="s">
        <v>46</v>
      </c>
      <c r="L1038" t="s">
        <v>51</v>
      </c>
      <c r="M1038">
        <v>52511</v>
      </c>
      <c r="N1038">
        <v>0.18</v>
      </c>
      <c r="O1038">
        <v>7180</v>
      </c>
      <c r="P1038">
        <v>24</v>
      </c>
      <c r="Q1038" t="s">
        <v>54</v>
      </c>
      <c r="R1038" t="s">
        <v>62</v>
      </c>
    </row>
    <row r="1039" spans="1:18">
      <c r="A1039">
        <v>11038</v>
      </c>
      <c r="B1039" s="2">
        <v>45234</v>
      </c>
      <c r="C1039" s="2">
        <v>45236</v>
      </c>
      <c r="D1039" s="2">
        <v>45240</v>
      </c>
      <c r="E1039" t="s">
        <v>18</v>
      </c>
      <c r="F1039" t="s">
        <v>22</v>
      </c>
      <c r="G1039" t="s">
        <v>28</v>
      </c>
      <c r="H1039" t="s">
        <v>33</v>
      </c>
      <c r="I1039" t="s">
        <v>34</v>
      </c>
      <c r="J1039" t="s">
        <v>38</v>
      </c>
      <c r="K1039" t="s">
        <v>45</v>
      </c>
      <c r="L1039" t="s">
        <v>51</v>
      </c>
      <c r="M1039">
        <v>18046</v>
      </c>
      <c r="N1039">
        <v>0.14000000000000001</v>
      </c>
      <c r="O1039">
        <v>10016</v>
      </c>
      <c r="P1039">
        <v>8</v>
      </c>
      <c r="Q1039" t="s">
        <v>54</v>
      </c>
      <c r="R1039" t="s">
        <v>59</v>
      </c>
    </row>
    <row r="1040" spans="1:18">
      <c r="A1040">
        <v>11039</v>
      </c>
      <c r="B1040" s="2">
        <v>45235</v>
      </c>
      <c r="C1040" s="2">
        <v>45237</v>
      </c>
      <c r="D1040" s="2">
        <v>45241</v>
      </c>
      <c r="E1040" t="s">
        <v>18</v>
      </c>
      <c r="F1040" t="s">
        <v>22</v>
      </c>
      <c r="G1040" t="s">
        <v>24</v>
      </c>
      <c r="H1040" t="s">
        <v>33</v>
      </c>
      <c r="I1040" t="s">
        <v>36</v>
      </c>
      <c r="J1040" t="s">
        <v>38</v>
      </c>
      <c r="K1040" t="s">
        <v>44</v>
      </c>
      <c r="L1040" t="s">
        <v>51</v>
      </c>
      <c r="M1040">
        <v>70287</v>
      </c>
      <c r="N1040">
        <v>0.28000000000000003</v>
      </c>
      <c r="O1040">
        <v>13786</v>
      </c>
      <c r="P1040">
        <v>14</v>
      </c>
      <c r="Q1040" t="s">
        <v>58</v>
      </c>
      <c r="R1040" t="s">
        <v>60</v>
      </c>
    </row>
    <row r="1041" spans="1:18">
      <c r="A1041">
        <v>11040</v>
      </c>
      <c r="B1041" s="2">
        <v>45236</v>
      </c>
      <c r="C1041" s="2">
        <v>45238</v>
      </c>
      <c r="D1041" s="2">
        <v>45242</v>
      </c>
      <c r="E1041" t="s">
        <v>19</v>
      </c>
      <c r="F1041" t="s">
        <v>22</v>
      </c>
      <c r="G1041" t="s">
        <v>24</v>
      </c>
      <c r="H1041" t="s">
        <v>31</v>
      </c>
      <c r="I1041" t="s">
        <v>34</v>
      </c>
      <c r="J1041" t="s">
        <v>43</v>
      </c>
      <c r="K1041" t="s">
        <v>48</v>
      </c>
      <c r="L1041" t="s">
        <v>52</v>
      </c>
      <c r="M1041">
        <v>35922</v>
      </c>
      <c r="N1041">
        <v>0.05</v>
      </c>
      <c r="O1041">
        <v>4272</v>
      </c>
      <c r="P1041">
        <v>16</v>
      </c>
      <c r="Q1041" t="s">
        <v>58</v>
      </c>
      <c r="R1041" t="s">
        <v>60</v>
      </c>
    </row>
    <row r="1042" spans="1:18">
      <c r="A1042">
        <v>11041</v>
      </c>
      <c r="B1042" s="2">
        <v>45237</v>
      </c>
      <c r="C1042" s="2">
        <v>45239</v>
      </c>
      <c r="D1042" s="2">
        <v>45243</v>
      </c>
      <c r="E1042" t="s">
        <v>19</v>
      </c>
      <c r="F1042" t="s">
        <v>22</v>
      </c>
      <c r="G1042" t="s">
        <v>25</v>
      </c>
      <c r="H1042" t="s">
        <v>25</v>
      </c>
      <c r="I1042" t="s">
        <v>35</v>
      </c>
      <c r="J1042" t="s">
        <v>38</v>
      </c>
      <c r="K1042" t="s">
        <v>44</v>
      </c>
      <c r="L1042" t="s">
        <v>53</v>
      </c>
      <c r="M1042">
        <v>35582</v>
      </c>
      <c r="N1042">
        <v>0.08</v>
      </c>
      <c r="O1042">
        <v>10459</v>
      </c>
      <c r="P1042">
        <v>19</v>
      </c>
      <c r="Q1042" t="s">
        <v>56</v>
      </c>
      <c r="R1042" t="s">
        <v>61</v>
      </c>
    </row>
    <row r="1043" spans="1:18">
      <c r="A1043">
        <v>11042</v>
      </c>
      <c r="B1043" s="2">
        <v>45238</v>
      </c>
      <c r="C1043" s="2">
        <v>45240</v>
      </c>
      <c r="D1043" s="2">
        <v>45244</v>
      </c>
      <c r="E1043" t="s">
        <v>20</v>
      </c>
      <c r="F1043" t="s">
        <v>22</v>
      </c>
      <c r="G1043" t="s">
        <v>24</v>
      </c>
      <c r="H1043" t="s">
        <v>30</v>
      </c>
      <c r="I1043" t="s">
        <v>35</v>
      </c>
      <c r="J1043" t="s">
        <v>43</v>
      </c>
      <c r="K1043" t="s">
        <v>48</v>
      </c>
      <c r="L1043" t="s">
        <v>53</v>
      </c>
      <c r="M1043">
        <v>22978</v>
      </c>
      <c r="N1043">
        <v>0.18</v>
      </c>
      <c r="O1043">
        <v>2236</v>
      </c>
      <c r="P1043">
        <v>21</v>
      </c>
      <c r="Q1043" t="s">
        <v>57</v>
      </c>
      <c r="R1043" t="s">
        <v>61</v>
      </c>
    </row>
    <row r="1044" spans="1:18">
      <c r="A1044">
        <v>11043</v>
      </c>
      <c r="B1044" s="2">
        <v>45239</v>
      </c>
      <c r="C1044" s="2">
        <v>45241</v>
      </c>
      <c r="D1044" s="2">
        <v>45245</v>
      </c>
      <c r="E1044" t="s">
        <v>21</v>
      </c>
      <c r="F1044" t="s">
        <v>22</v>
      </c>
      <c r="G1044" t="s">
        <v>27</v>
      </c>
      <c r="H1044" t="s">
        <v>30</v>
      </c>
      <c r="I1044" t="s">
        <v>36</v>
      </c>
      <c r="J1044" t="s">
        <v>40</v>
      </c>
      <c r="K1044" t="s">
        <v>47</v>
      </c>
      <c r="L1044" t="s">
        <v>53</v>
      </c>
      <c r="M1044">
        <v>4550</v>
      </c>
      <c r="N1044">
        <v>0.34</v>
      </c>
      <c r="O1044">
        <v>2915</v>
      </c>
      <c r="P1044">
        <v>16</v>
      </c>
      <c r="Q1044" t="s">
        <v>57</v>
      </c>
      <c r="R1044" t="s">
        <v>59</v>
      </c>
    </row>
    <row r="1045" spans="1:18">
      <c r="A1045">
        <v>11044</v>
      </c>
      <c r="B1045" s="2">
        <v>45240</v>
      </c>
      <c r="C1045" s="2">
        <v>45242</v>
      </c>
      <c r="D1045" s="2">
        <v>45246</v>
      </c>
      <c r="E1045" t="s">
        <v>21</v>
      </c>
      <c r="F1045" t="s">
        <v>22</v>
      </c>
      <c r="G1045" t="s">
        <v>23</v>
      </c>
      <c r="H1045" t="s">
        <v>31</v>
      </c>
      <c r="I1045" t="s">
        <v>35</v>
      </c>
      <c r="J1045" t="s">
        <v>43</v>
      </c>
      <c r="K1045" t="s">
        <v>47</v>
      </c>
      <c r="L1045" t="s">
        <v>51</v>
      </c>
      <c r="M1045">
        <v>68323</v>
      </c>
      <c r="N1045">
        <v>0.39</v>
      </c>
      <c r="O1045">
        <v>10623</v>
      </c>
      <c r="P1045">
        <v>9</v>
      </c>
      <c r="Q1045" t="s">
        <v>58</v>
      </c>
      <c r="R1045" t="s">
        <v>61</v>
      </c>
    </row>
    <row r="1046" spans="1:18">
      <c r="A1046">
        <v>11045</v>
      </c>
      <c r="B1046" s="2">
        <v>45241</v>
      </c>
      <c r="C1046" s="2">
        <v>45243</v>
      </c>
      <c r="D1046" s="2">
        <v>45247</v>
      </c>
      <c r="E1046" t="s">
        <v>19</v>
      </c>
      <c r="F1046" t="s">
        <v>22</v>
      </c>
      <c r="G1046" t="s">
        <v>27</v>
      </c>
      <c r="H1046" t="s">
        <v>31</v>
      </c>
      <c r="I1046" t="s">
        <v>35</v>
      </c>
      <c r="J1046" t="s">
        <v>39</v>
      </c>
      <c r="K1046" t="s">
        <v>47</v>
      </c>
      <c r="L1046" t="s">
        <v>53</v>
      </c>
      <c r="M1046">
        <v>56514</v>
      </c>
      <c r="N1046">
        <v>0.28000000000000003</v>
      </c>
      <c r="O1046">
        <v>-1782</v>
      </c>
      <c r="P1046">
        <v>3</v>
      </c>
      <c r="Q1046" t="s">
        <v>57</v>
      </c>
      <c r="R1046" t="s">
        <v>60</v>
      </c>
    </row>
    <row r="1047" spans="1:18">
      <c r="A1047">
        <v>11046</v>
      </c>
      <c r="B1047" s="2">
        <v>45242</v>
      </c>
      <c r="C1047" s="2">
        <v>45244</v>
      </c>
      <c r="D1047" s="2">
        <v>45248</v>
      </c>
      <c r="E1047" t="s">
        <v>20</v>
      </c>
      <c r="F1047" t="s">
        <v>22</v>
      </c>
      <c r="G1047" t="s">
        <v>26</v>
      </c>
      <c r="H1047" t="s">
        <v>33</v>
      </c>
      <c r="I1047" t="s">
        <v>34</v>
      </c>
      <c r="J1047" t="s">
        <v>41</v>
      </c>
      <c r="K1047" t="s">
        <v>45</v>
      </c>
      <c r="L1047" t="s">
        <v>52</v>
      </c>
      <c r="M1047">
        <v>4442</v>
      </c>
      <c r="N1047">
        <v>0.33</v>
      </c>
      <c r="O1047">
        <v>3587</v>
      </c>
      <c r="P1047">
        <v>23</v>
      </c>
      <c r="Q1047" t="s">
        <v>56</v>
      </c>
      <c r="R1047" t="s">
        <v>62</v>
      </c>
    </row>
    <row r="1048" spans="1:18">
      <c r="A1048">
        <v>11047</v>
      </c>
      <c r="B1048" s="2">
        <v>45243</v>
      </c>
      <c r="C1048" s="2">
        <v>45245</v>
      </c>
      <c r="D1048" s="2">
        <v>45249</v>
      </c>
      <c r="E1048" t="s">
        <v>19</v>
      </c>
      <c r="F1048" t="s">
        <v>22</v>
      </c>
      <c r="G1048" t="s">
        <v>27</v>
      </c>
      <c r="H1048" t="s">
        <v>32</v>
      </c>
      <c r="I1048" t="s">
        <v>36</v>
      </c>
      <c r="J1048" t="s">
        <v>42</v>
      </c>
      <c r="K1048" t="s">
        <v>50</v>
      </c>
      <c r="L1048" t="s">
        <v>51</v>
      </c>
      <c r="M1048">
        <v>50718</v>
      </c>
      <c r="N1048">
        <v>0.28999999999999998</v>
      </c>
      <c r="O1048">
        <v>8042</v>
      </c>
      <c r="P1048">
        <v>16</v>
      </c>
      <c r="Q1048" t="s">
        <v>56</v>
      </c>
      <c r="R1048" t="s">
        <v>62</v>
      </c>
    </row>
    <row r="1049" spans="1:18">
      <c r="A1049">
        <v>11048</v>
      </c>
      <c r="B1049" s="2">
        <v>45244</v>
      </c>
      <c r="C1049" s="2">
        <v>45246</v>
      </c>
      <c r="D1049" s="2">
        <v>45250</v>
      </c>
      <c r="E1049" t="s">
        <v>18</v>
      </c>
      <c r="F1049" t="s">
        <v>22</v>
      </c>
      <c r="G1049" t="s">
        <v>26</v>
      </c>
      <c r="H1049" t="s">
        <v>30</v>
      </c>
      <c r="I1049" t="s">
        <v>34</v>
      </c>
      <c r="J1049" t="s">
        <v>39</v>
      </c>
      <c r="K1049" t="s">
        <v>44</v>
      </c>
      <c r="L1049" t="s">
        <v>53</v>
      </c>
      <c r="M1049">
        <v>42923</v>
      </c>
      <c r="N1049">
        <v>0.04</v>
      </c>
      <c r="O1049">
        <v>-853</v>
      </c>
      <c r="P1049">
        <v>22</v>
      </c>
      <c r="Q1049" t="s">
        <v>58</v>
      </c>
      <c r="R1049" t="s">
        <v>62</v>
      </c>
    </row>
    <row r="1050" spans="1:18">
      <c r="A1050">
        <v>11049</v>
      </c>
      <c r="B1050" s="2">
        <v>45245</v>
      </c>
      <c r="C1050" s="2">
        <v>45247</v>
      </c>
      <c r="D1050" s="2">
        <v>45251</v>
      </c>
      <c r="E1050" t="s">
        <v>18</v>
      </c>
      <c r="F1050" t="s">
        <v>22</v>
      </c>
      <c r="G1050" t="s">
        <v>26</v>
      </c>
      <c r="H1050" t="s">
        <v>30</v>
      </c>
      <c r="I1050" t="s">
        <v>35</v>
      </c>
      <c r="J1050" t="s">
        <v>38</v>
      </c>
      <c r="K1050" t="s">
        <v>46</v>
      </c>
      <c r="L1050" t="s">
        <v>51</v>
      </c>
      <c r="M1050">
        <v>33142</v>
      </c>
      <c r="N1050">
        <v>0.28999999999999998</v>
      </c>
      <c r="O1050">
        <v>16218</v>
      </c>
      <c r="P1050">
        <v>1</v>
      </c>
      <c r="Q1050" t="s">
        <v>54</v>
      </c>
      <c r="R1050" t="s">
        <v>60</v>
      </c>
    </row>
    <row r="1051" spans="1:18">
      <c r="A1051">
        <v>11050</v>
      </c>
      <c r="B1051" s="2">
        <v>45246</v>
      </c>
      <c r="C1051" s="2">
        <v>45248</v>
      </c>
      <c r="D1051" s="2">
        <v>45252</v>
      </c>
      <c r="E1051" t="s">
        <v>18</v>
      </c>
      <c r="F1051" t="s">
        <v>22</v>
      </c>
      <c r="G1051" t="s">
        <v>28</v>
      </c>
      <c r="H1051" t="s">
        <v>30</v>
      </c>
      <c r="I1051" t="s">
        <v>35</v>
      </c>
      <c r="J1051" t="s">
        <v>38</v>
      </c>
      <c r="K1051" t="s">
        <v>47</v>
      </c>
      <c r="L1051" t="s">
        <v>52</v>
      </c>
      <c r="M1051">
        <v>49585</v>
      </c>
      <c r="N1051">
        <v>0.31</v>
      </c>
      <c r="O1051">
        <v>18009</v>
      </c>
      <c r="P1051">
        <v>16</v>
      </c>
      <c r="Q1051" t="s">
        <v>57</v>
      </c>
      <c r="R1051" t="s">
        <v>60</v>
      </c>
    </row>
    <row r="1052" spans="1:18">
      <c r="A1052">
        <v>11051</v>
      </c>
      <c r="B1052" s="2">
        <v>45247</v>
      </c>
      <c r="C1052" s="2">
        <v>45249</v>
      </c>
      <c r="D1052" s="2">
        <v>45253</v>
      </c>
      <c r="E1052" t="s">
        <v>21</v>
      </c>
      <c r="F1052" t="s">
        <v>22</v>
      </c>
      <c r="G1052" t="s">
        <v>26</v>
      </c>
      <c r="H1052" t="s">
        <v>31</v>
      </c>
      <c r="I1052" t="s">
        <v>34</v>
      </c>
      <c r="J1052" t="s">
        <v>41</v>
      </c>
      <c r="K1052" t="s">
        <v>50</v>
      </c>
      <c r="L1052" t="s">
        <v>52</v>
      </c>
      <c r="M1052">
        <v>23929</v>
      </c>
      <c r="N1052">
        <v>0.19</v>
      </c>
      <c r="O1052">
        <v>2108</v>
      </c>
      <c r="P1052">
        <v>18</v>
      </c>
      <c r="Q1052" t="s">
        <v>56</v>
      </c>
      <c r="R1052" t="s">
        <v>60</v>
      </c>
    </row>
    <row r="1053" spans="1:18">
      <c r="A1053">
        <v>11052</v>
      </c>
      <c r="B1053" s="2">
        <v>45248</v>
      </c>
      <c r="C1053" s="2">
        <v>45250</v>
      </c>
      <c r="D1053" s="2">
        <v>45254</v>
      </c>
      <c r="E1053" t="s">
        <v>18</v>
      </c>
      <c r="F1053" t="s">
        <v>22</v>
      </c>
      <c r="G1053" t="s">
        <v>23</v>
      </c>
      <c r="H1053" t="s">
        <v>33</v>
      </c>
      <c r="I1053" t="s">
        <v>34</v>
      </c>
      <c r="J1053" t="s">
        <v>38</v>
      </c>
      <c r="K1053" t="s">
        <v>45</v>
      </c>
      <c r="L1053" t="s">
        <v>52</v>
      </c>
      <c r="M1053">
        <v>61161</v>
      </c>
      <c r="N1053">
        <v>0.32</v>
      </c>
      <c r="O1053">
        <v>19214</v>
      </c>
      <c r="P1053">
        <v>3</v>
      </c>
      <c r="Q1053" t="s">
        <v>56</v>
      </c>
      <c r="R1053" t="s">
        <v>61</v>
      </c>
    </row>
    <row r="1054" spans="1:18">
      <c r="A1054">
        <v>11053</v>
      </c>
      <c r="B1054" s="2">
        <v>45249</v>
      </c>
      <c r="C1054" s="2">
        <v>45251</v>
      </c>
      <c r="D1054" s="2">
        <v>45255</v>
      </c>
      <c r="E1054" t="s">
        <v>21</v>
      </c>
      <c r="F1054" t="s">
        <v>22</v>
      </c>
      <c r="G1054" t="s">
        <v>25</v>
      </c>
      <c r="H1054" t="s">
        <v>32</v>
      </c>
      <c r="I1054" t="s">
        <v>35</v>
      </c>
      <c r="J1054" t="s">
        <v>39</v>
      </c>
      <c r="K1054" t="s">
        <v>50</v>
      </c>
      <c r="L1054" t="s">
        <v>52</v>
      </c>
      <c r="M1054">
        <v>10161</v>
      </c>
      <c r="N1054">
        <v>0.37</v>
      </c>
      <c r="O1054">
        <v>-1238</v>
      </c>
      <c r="P1054">
        <v>4</v>
      </c>
      <c r="Q1054" t="s">
        <v>55</v>
      </c>
      <c r="R1054" t="s">
        <v>62</v>
      </c>
    </row>
    <row r="1055" spans="1:18">
      <c r="A1055">
        <v>11054</v>
      </c>
      <c r="B1055" s="2">
        <v>45250</v>
      </c>
      <c r="C1055" s="2">
        <v>45252</v>
      </c>
      <c r="D1055" s="2">
        <v>45256</v>
      </c>
      <c r="E1055" t="s">
        <v>19</v>
      </c>
      <c r="F1055" t="s">
        <v>22</v>
      </c>
      <c r="G1055" t="s">
        <v>24</v>
      </c>
      <c r="H1055" t="s">
        <v>29</v>
      </c>
      <c r="I1055" t="s">
        <v>36</v>
      </c>
      <c r="J1055" t="s">
        <v>39</v>
      </c>
      <c r="K1055" t="s">
        <v>44</v>
      </c>
      <c r="L1055" t="s">
        <v>52</v>
      </c>
      <c r="M1055">
        <v>1904</v>
      </c>
      <c r="N1055">
        <v>0.28000000000000003</v>
      </c>
      <c r="O1055">
        <v>4431</v>
      </c>
      <c r="P1055">
        <v>22</v>
      </c>
      <c r="Q1055" t="s">
        <v>55</v>
      </c>
      <c r="R1055" t="s">
        <v>60</v>
      </c>
    </row>
    <row r="1056" spans="1:18">
      <c r="A1056">
        <v>11055</v>
      </c>
      <c r="B1056" s="2">
        <v>45251</v>
      </c>
      <c r="C1056" s="2">
        <v>45253</v>
      </c>
      <c r="D1056" s="2">
        <v>45257</v>
      </c>
      <c r="E1056" t="s">
        <v>21</v>
      </c>
      <c r="F1056" t="s">
        <v>22</v>
      </c>
      <c r="G1056" t="s">
        <v>25</v>
      </c>
      <c r="H1056" t="s">
        <v>25</v>
      </c>
      <c r="I1056" t="s">
        <v>35</v>
      </c>
      <c r="J1056" t="s">
        <v>42</v>
      </c>
      <c r="K1056" t="s">
        <v>47</v>
      </c>
      <c r="L1056" t="s">
        <v>52</v>
      </c>
      <c r="M1056">
        <v>36735</v>
      </c>
      <c r="N1056">
        <v>0.16</v>
      </c>
      <c r="O1056">
        <v>10179</v>
      </c>
      <c r="P1056">
        <v>21</v>
      </c>
      <c r="Q1056" t="s">
        <v>55</v>
      </c>
      <c r="R1056" t="s">
        <v>62</v>
      </c>
    </row>
    <row r="1057" spans="1:18">
      <c r="A1057">
        <v>11056</v>
      </c>
      <c r="B1057" s="2">
        <v>45252</v>
      </c>
      <c r="C1057" s="2">
        <v>45254</v>
      </c>
      <c r="D1057" s="2">
        <v>45258</v>
      </c>
      <c r="E1057" t="s">
        <v>20</v>
      </c>
      <c r="F1057" t="s">
        <v>22</v>
      </c>
      <c r="G1057" t="s">
        <v>24</v>
      </c>
      <c r="H1057" t="s">
        <v>25</v>
      </c>
      <c r="I1057" t="s">
        <v>35</v>
      </c>
      <c r="J1057" t="s">
        <v>38</v>
      </c>
      <c r="K1057" t="s">
        <v>44</v>
      </c>
      <c r="L1057" t="s">
        <v>52</v>
      </c>
      <c r="M1057">
        <v>45680</v>
      </c>
      <c r="N1057">
        <v>0.14000000000000001</v>
      </c>
      <c r="O1057">
        <v>9289</v>
      </c>
      <c r="P1057">
        <v>5</v>
      </c>
      <c r="Q1057" t="s">
        <v>55</v>
      </c>
      <c r="R1057" t="s">
        <v>59</v>
      </c>
    </row>
    <row r="1058" spans="1:18">
      <c r="A1058">
        <v>11057</v>
      </c>
      <c r="B1058" s="2">
        <v>45253</v>
      </c>
      <c r="C1058" s="2">
        <v>45255</v>
      </c>
      <c r="D1058" s="2">
        <v>45259</v>
      </c>
      <c r="E1058" t="s">
        <v>19</v>
      </c>
      <c r="F1058" t="s">
        <v>22</v>
      </c>
      <c r="G1058" t="s">
        <v>23</v>
      </c>
      <c r="H1058" t="s">
        <v>25</v>
      </c>
      <c r="I1058" t="s">
        <v>36</v>
      </c>
      <c r="J1058" t="s">
        <v>37</v>
      </c>
      <c r="K1058" t="s">
        <v>48</v>
      </c>
      <c r="L1058" t="s">
        <v>51</v>
      </c>
      <c r="M1058">
        <v>34457</v>
      </c>
      <c r="N1058">
        <v>0.35</v>
      </c>
      <c r="O1058">
        <v>13883</v>
      </c>
      <c r="P1058">
        <v>9</v>
      </c>
      <c r="Q1058" t="s">
        <v>54</v>
      </c>
      <c r="R1058" t="s">
        <v>61</v>
      </c>
    </row>
    <row r="1059" spans="1:18">
      <c r="A1059">
        <v>11058</v>
      </c>
      <c r="B1059" s="2">
        <v>45254</v>
      </c>
      <c r="C1059" s="2">
        <v>45256</v>
      </c>
      <c r="D1059" s="2">
        <v>45260</v>
      </c>
      <c r="E1059" t="s">
        <v>20</v>
      </c>
      <c r="F1059" t="s">
        <v>22</v>
      </c>
      <c r="G1059" t="s">
        <v>23</v>
      </c>
      <c r="H1059" t="s">
        <v>31</v>
      </c>
      <c r="I1059" t="s">
        <v>34</v>
      </c>
      <c r="J1059" t="s">
        <v>39</v>
      </c>
      <c r="K1059" t="s">
        <v>44</v>
      </c>
      <c r="L1059" t="s">
        <v>53</v>
      </c>
      <c r="M1059">
        <v>43420</v>
      </c>
      <c r="N1059">
        <v>0</v>
      </c>
      <c r="O1059">
        <v>3887</v>
      </c>
      <c r="P1059">
        <v>7</v>
      </c>
      <c r="Q1059" t="s">
        <v>58</v>
      </c>
      <c r="R1059" t="s">
        <v>62</v>
      </c>
    </row>
    <row r="1060" spans="1:18">
      <c r="A1060">
        <v>11059</v>
      </c>
      <c r="B1060" s="2">
        <v>45255</v>
      </c>
      <c r="C1060" s="2">
        <v>45257</v>
      </c>
      <c r="D1060" s="2">
        <v>45261</v>
      </c>
      <c r="E1060" t="s">
        <v>19</v>
      </c>
      <c r="F1060" t="s">
        <v>22</v>
      </c>
      <c r="G1060" t="s">
        <v>24</v>
      </c>
      <c r="H1060" t="s">
        <v>25</v>
      </c>
      <c r="I1060" t="s">
        <v>36</v>
      </c>
      <c r="J1060" t="s">
        <v>38</v>
      </c>
      <c r="K1060" t="s">
        <v>50</v>
      </c>
      <c r="L1060" t="s">
        <v>52</v>
      </c>
      <c r="M1060">
        <v>56962</v>
      </c>
      <c r="N1060">
        <v>0.26</v>
      </c>
      <c r="O1060">
        <v>-97</v>
      </c>
      <c r="P1060">
        <v>21</v>
      </c>
      <c r="Q1060" t="s">
        <v>55</v>
      </c>
      <c r="R1060" t="s">
        <v>61</v>
      </c>
    </row>
    <row r="1061" spans="1:18">
      <c r="A1061">
        <v>11060</v>
      </c>
      <c r="B1061" s="2">
        <v>45256</v>
      </c>
      <c r="C1061" s="2">
        <v>45258</v>
      </c>
      <c r="D1061" s="2">
        <v>45262</v>
      </c>
      <c r="E1061" t="s">
        <v>20</v>
      </c>
      <c r="F1061" t="s">
        <v>22</v>
      </c>
      <c r="G1061" t="s">
        <v>27</v>
      </c>
      <c r="H1061" t="s">
        <v>32</v>
      </c>
      <c r="I1061" t="s">
        <v>35</v>
      </c>
      <c r="J1061" t="s">
        <v>40</v>
      </c>
      <c r="K1061" t="s">
        <v>49</v>
      </c>
      <c r="L1061" t="s">
        <v>52</v>
      </c>
      <c r="M1061">
        <v>5721</v>
      </c>
      <c r="N1061">
        <v>0.25</v>
      </c>
      <c r="O1061">
        <v>7602</v>
      </c>
      <c r="P1061">
        <v>10</v>
      </c>
      <c r="Q1061" t="s">
        <v>58</v>
      </c>
      <c r="R1061" t="s">
        <v>62</v>
      </c>
    </row>
    <row r="1062" spans="1:18">
      <c r="A1062">
        <v>11061</v>
      </c>
      <c r="B1062" s="2">
        <v>45257</v>
      </c>
      <c r="C1062" s="2">
        <v>45259</v>
      </c>
      <c r="D1062" s="2">
        <v>45263</v>
      </c>
      <c r="E1062" t="s">
        <v>20</v>
      </c>
      <c r="F1062" t="s">
        <v>22</v>
      </c>
      <c r="G1062" t="s">
        <v>23</v>
      </c>
      <c r="H1062" t="s">
        <v>25</v>
      </c>
      <c r="I1062" t="s">
        <v>36</v>
      </c>
      <c r="J1062" t="s">
        <v>37</v>
      </c>
      <c r="K1062" t="s">
        <v>49</v>
      </c>
      <c r="L1062" t="s">
        <v>53</v>
      </c>
      <c r="M1062">
        <v>18914</v>
      </c>
      <c r="N1062">
        <v>0.25</v>
      </c>
      <c r="O1062">
        <v>13558</v>
      </c>
      <c r="P1062">
        <v>10</v>
      </c>
      <c r="Q1062" t="s">
        <v>58</v>
      </c>
      <c r="R1062" t="s">
        <v>59</v>
      </c>
    </row>
    <row r="1063" spans="1:18">
      <c r="A1063">
        <v>11062</v>
      </c>
      <c r="B1063" s="2">
        <v>45258</v>
      </c>
      <c r="C1063" s="2">
        <v>45260</v>
      </c>
      <c r="D1063" s="2">
        <v>45264</v>
      </c>
      <c r="E1063" t="s">
        <v>19</v>
      </c>
      <c r="F1063" t="s">
        <v>22</v>
      </c>
      <c r="G1063" t="s">
        <v>24</v>
      </c>
      <c r="H1063" t="s">
        <v>30</v>
      </c>
      <c r="I1063" t="s">
        <v>35</v>
      </c>
      <c r="J1063" t="s">
        <v>39</v>
      </c>
      <c r="K1063" t="s">
        <v>46</v>
      </c>
      <c r="L1063" t="s">
        <v>53</v>
      </c>
      <c r="M1063">
        <v>19166</v>
      </c>
      <c r="N1063">
        <v>0.13</v>
      </c>
      <c r="O1063">
        <v>11889</v>
      </c>
      <c r="P1063">
        <v>8</v>
      </c>
      <c r="Q1063" t="s">
        <v>54</v>
      </c>
      <c r="R1063" t="s">
        <v>59</v>
      </c>
    </row>
    <row r="1064" spans="1:18">
      <c r="A1064">
        <v>11063</v>
      </c>
      <c r="B1064" s="2">
        <v>45259</v>
      </c>
      <c r="C1064" s="2">
        <v>45261</v>
      </c>
      <c r="D1064" s="2">
        <v>45265</v>
      </c>
      <c r="E1064" t="s">
        <v>21</v>
      </c>
      <c r="F1064" t="s">
        <v>22</v>
      </c>
      <c r="G1064" t="s">
        <v>26</v>
      </c>
      <c r="H1064" t="s">
        <v>32</v>
      </c>
      <c r="I1064" t="s">
        <v>35</v>
      </c>
      <c r="J1064" t="s">
        <v>37</v>
      </c>
      <c r="K1064" t="s">
        <v>48</v>
      </c>
      <c r="L1064" t="s">
        <v>51</v>
      </c>
      <c r="M1064">
        <v>52318</v>
      </c>
      <c r="N1064">
        <v>0.22</v>
      </c>
      <c r="O1064">
        <v>-99</v>
      </c>
      <c r="P1064">
        <v>19</v>
      </c>
      <c r="Q1064" t="s">
        <v>58</v>
      </c>
      <c r="R1064" t="s">
        <v>59</v>
      </c>
    </row>
    <row r="1065" spans="1:18">
      <c r="A1065">
        <v>11064</v>
      </c>
      <c r="B1065" s="2">
        <v>45260</v>
      </c>
      <c r="C1065" s="2">
        <v>45262</v>
      </c>
      <c r="D1065" s="2">
        <v>45266</v>
      </c>
      <c r="E1065" t="s">
        <v>18</v>
      </c>
      <c r="F1065" t="s">
        <v>22</v>
      </c>
      <c r="G1065" t="s">
        <v>23</v>
      </c>
      <c r="H1065" t="s">
        <v>25</v>
      </c>
      <c r="I1065" t="s">
        <v>35</v>
      </c>
      <c r="J1065" t="s">
        <v>41</v>
      </c>
      <c r="K1065" t="s">
        <v>48</v>
      </c>
      <c r="L1065" t="s">
        <v>53</v>
      </c>
      <c r="M1065">
        <v>24919</v>
      </c>
      <c r="N1065">
        <v>0.21</v>
      </c>
      <c r="O1065">
        <v>-200</v>
      </c>
      <c r="P1065">
        <v>1</v>
      </c>
      <c r="Q1065" t="s">
        <v>56</v>
      </c>
      <c r="R1065" t="s">
        <v>60</v>
      </c>
    </row>
    <row r="1066" spans="1:18">
      <c r="A1066">
        <v>11065</v>
      </c>
      <c r="B1066" s="2">
        <v>45261</v>
      </c>
      <c r="C1066" s="2">
        <v>45263</v>
      </c>
      <c r="D1066" s="2">
        <v>45267</v>
      </c>
      <c r="E1066" t="s">
        <v>19</v>
      </c>
      <c r="F1066" t="s">
        <v>22</v>
      </c>
      <c r="G1066" t="s">
        <v>24</v>
      </c>
      <c r="H1066" t="s">
        <v>31</v>
      </c>
      <c r="I1066" t="s">
        <v>36</v>
      </c>
      <c r="J1066" t="s">
        <v>41</v>
      </c>
      <c r="K1066" t="s">
        <v>44</v>
      </c>
      <c r="L1066" t="s">
        <v>52</v>
      </c>
      <c r="M1066">
        <v>47530</v>
      </c>
      <c r="N1066">
        <v>0.35</v>
      </c>
      <c r="O1066">
        <v>-1406</v>
      </c>
      <c r="P1066">
        <v>3</v>
      </c>
      <c r="Q1066" t="s">
        <v>58</v>
      </c>
      <c r="R1066" t="s">
        <v>62</v>
      </c>
    </row>
    <row r="1067" spans="1:18">
      <c r="A1067">
        <v>11066</v>
      </c>
      <c r="B1067" s="2">
        <v>45262</v>
      </c>
      <c r="C1067" s="2">
        <v>45264</v>
      </c>
      <c r="D1067" s="2">
        <v>45268</v>
      </c>
      <c r="E1067" t="s">
        <v>21</v>
      </c>
      <c r="F1067" t="s">
        <v>22</v>
      </c>
      <c r="G1067" t="s">
        <v>24</v>
      </c>
      <c r="H1067" t="s">
        <v>25</v>
      </c>
      <c r="I1067" t="s">
        <v>35</v>
      </c>
      <c r="J1067" t="s">
        <v>40</v>
      </c>
      <c r="K1067" t="s">
        <v>49</v>
      </c>
      <c r="L1067" t="s">
        <v>53</v>
      </c>
      <c r="M1067">
        <v>12423</v>
      </c>
      <c r="N1067">
        <v>0.39</v>
      </c>
      <c r="O1067">
        <v>7230</v>
      </c>
      <c r="P1067">
        <v>12</v>
      </c>
      <c r="Q1067" t="s">
        <v>54</v>
      </c>
      <c r="R1067" t="s">
        <v>62</v>
      </c>
    </row>
    <row r="1068" spans="1:18">
      <c r="A1068">
        <v>11067</v>
      </c>
      <c r="B1068" s="2">
        <v>45263</v>
      </c>
      <c r="C1068" s="2">
        <v>45265</v>
      </c>
      <c r="D1068" s="2">
        <v>45269</v>
      </c>
      <c r="E1068" t="s">
        <v>18</v>
      </c>
      <c r="F1068" t="s">
        <v>22</v>
      </c>
      <c r="G1068" t="s">
        <v>28</v>
      </c>
      <c r="H1068" t="s">
        <v>32</v>
      </c>
      <c r="I1068" t="s">
        <v>35</v>
      </c>
      <c r="J1068" t="s">
        <v>42</v>
      </c>
      <c r="K1068" t="s">
        <v>50</v>
      </c>
      <c r="L1068" t="s">
        <v>52</v>
      </c>
      <c r="M1068">
        <v>30263</v>
      </c>
      <c r="N1068">
        <v>0.16</v>
      </c>
      <c r="O1068">
        <v>3184</v>
      </c>
      <c r="P1068">
        <v>16</v>
      </c>
      <c r="Q1068" t="s">
        <v>58</v>
      </c>
      <c r="R1068" t="s">
        <v>59</v>
      </c>
    </row>
    <row r="1069" spans="1:18">
      <c r="A1069">
        <v>11068</v>
      </c>
      <c r="B1069" s="2">
        <v>45264</v>
      </c>
      <c r="C1069" s="2">
        <v>45266</v>
      </c>
      <c r="D1069" s="2">
        <v>45270</v>
      </c>
      <c r="E1069" t="s">
        <v>21</v>
      </c>
      <c r="F1069" t="s">
        <v>22</v>
      </c>
      <c r="G1069" t="s">
        <v>24</v>
      </c>
      <c r="H1069" t="s">
        <v>25</v>
      </c>
      <c r="I1069" t="s">
        <v>36</v>
      </c>
      <c r="J1069" t="s">
        <v>41</v>
      </c>
      <c r="K1069" t="s">
        <v>46</v>
      </c>
      <c r="L1069" t="s">
        <v>52</v>
      </c>
      <c r="M1069">
        <v>28801</v>
      </c>
      <c r="N1069">
        <v>0.35</v>
      </c>
      <c r="O1069">
        <v>18805</v>
      </c>
      <c r="P1069">
        <v>18</v>
      </c>
      <c r="Q1069" t="s">
        <v>57</v>
      </c>
      <c r="R1069" t="s">
        <v>59</v>
      </c>
    </row>
    <row r="1070" spans="1:18">
      <c r="A1070">
        <v>11069</v>
      </c>
      <c r="B1070" s="2">
        <v>45265</v>
      </c>
      <c r="C1070" s="2">
        <v>45267</v>
      </c>
      <c r="D1070" s="2">
        <v>45271</v>
      </c>
      <c r="E1070" t="s">
        <v>21</v>
      </c>
      <c r="F1070" t="s">
        <v>22</v>
      </c>
      <c r="G1070" t="s">
        <v>23</v>
      </c>
      <c r="H1070" t="s">
        <v>31</v>
      </c>
      <c r="I1070" t="s">
        <v>36</v>
      </c>
      <c r="J1070" t="s">
        <v>37</v>
      </c>
      <c r="K1070" t="s">
        <v>49</v>
      </c>
      <c r="L1070" t="s">
        <v>51</v>
      </c>
      <c r="M1070">
        <v>16077</v>
      </c>
      <c r="N1070">
        <v>0.19</v>
      </c>
      <c r="O1070">
        <v>6276</v>
      </c>
      <c r="P1070">
        <v>7</v>
      </c>
      <c r="Q1070" t="s">
        <v>56</v>
      </c>
      <c r="R1070" t="s">
        <v>62</v>
      </c>
    </row>
    <row r="1071" spans="1:18">
      <c r="A1071">
        <v>11070</v>
      </c>
      <c r="B1071" s="2">
        <v>45266</v>
      </c>
      <c r="C1071" s="2">
        <v>45268</v>
      </c>
      <c r="D1071" s="2">
        <v>45272</v>
      </c>
      <c r="E1071" t="s">
        <v>19</v>
      </c>
      <c r="F1071" t="s">
        <v>22</v>
      </c>
      <c r="G1071" t="s">
        <v>25</v>
      </c>
      <c r="H1071" t="s">
        <v>29</v>
      </c>
      <c r="I1071" t="s">
        <v>36</v>
      </c>
      <c r="J1071" t="s">
        <v>37</v>
      </c>
      <c r="K1071" t="s">
        <v>50</v>
      </c>
      <c r="L1071" t="s">
        <v>53</v>
      </c>
      <c r="M1071">
        <v>44125</v>
      </c>
      <c r="N1071">
        <v>0.33</v>
      </c>
      <c r="O1071">
        <v>12956</v>
      </c>
      <c r="P1071">
        <v>18</v>
      </c>
      <c r="Q1071" t="s">
        <v>54</v>
      </c>
      <c r="R1071" t="s">
        <v>59</v>
      </c>
    </row>
    <row r="1072" spans="1:18">
      <c r="A1072">
        <v>11071</v>
      </c>
      <c r="B1072" s="2">
        <v>45267</v>
      </c>
      <c r="C1072" s="2">
        <v>45269</v>
      </c>
      <c r="D1072" s="2">
        <v>45273</v>
      </c>
      <c r="E1072" t="s">
        <v>18</v>
      </c>
      <c r="F1072" t="s">
        <v>22</v>
      </c>
      <c r="G1072" t="s">
        <v>23</v>
      </c>
      <c r="H1072" t="s">
        <v>32</v>
      </c>
      <c r="I1072" t="s">
        <v>35</v>
      </c>
      <c r="J1072" t="s">
        <v>42</v>
      </c>
      <c r="K1072" t="s">
        <v>50</v>
      </c>
      <c r="L1072" t="s">
        <v>52</v>
      </c>
      <c r="M1072">
        <v>71394</v>
      </c>
      <c r="N1072">
        <v>0.1</v>
      </c>
      <c r="O1072">
        <v>2683</v>
      </c>
      <c r="P1072">
        <v>6</v>
      </c>
      <c r="Q1072" t="s">
        <v>57</v>
      </c>
      <c r="R1072" t="s">
        <v>60</v>
      </c>
    </row>
    <row r="1073" spans="1:18">
      <c r="A1073">
        <v>11072</v>
      </c>
      <c r="B1073" s="2">
        <v>45268</v>
      </c>
      <c r="C1073" s="2">
        <v>45270</v>
      </c>
      <c r="D1073" s="2">
        <v>45274</v>
      </c>
      <c r="E1073" t="s">
        <v>21</v>
      </c>
      <c r="F1073" t="s">
        <v>22</v>
      </c>
      <c r="G1073" t="s">
        <v>27</v>
      </c>
      <c r="H1073" t="s">
        <v>32</v>
      </c>
      <c r="I1073" t="s">
        <v>35</v>
      </c>
      <c r="J1073" t="s">
        <v>38</v>
      </c>
      <c r="K1073" t="s">
        <v>47</v>
      </c>
      <c r="L1073" t="s">
        <v>51</v>
      </c>
      <c r="M1073">
        <v>44423</v>
      </c>
      <c r="N1073">
        <v>0.24</v>
      </c>
      <c r="O1073">
        <v>2868</v>
      </c>
      <c r="P1073">
        <v>24</v>
      </c>
      <c r="Q1073" t="s">
        <v>57</v>
      </c>
      <c r="R1073" t="s">
        <v>61</v>
      </c>
    </row>
    <row r="1074" spans="1:18">
      <c r="A1074">
        <v>11073</v>
      </c>
      <c r="B1074" s="2">
        <v>45269</v>
      </c>
      <c r="C1074" s="2">
        <v>45271</v>
      </c>
      <c r="D1074" s="2">
        <v>45275</v>
      </c>
      <c r="E1074" t="s">
        <v>18</v>
      </c>
      <c r="F1074" t="s">
        <v>22</v>
      </c>
      <c r="G1074" t="s">
        <v>23</v>
      </c>
      <c r="H1074" t="s">
        <v>31</v>
      </c>
      <c r="I1074" t="s">
        <v>34</v>
      </c>
      <c r="J1074" t="s">
        <v>39</v>
      </c>
      <c r="K1074" t="s">
        <v>47</v>
      </c>
      <c r="L1074" t="s">
        <v>52</v>
      </c>
      <c r="M1074">
        <v>46722</v>
      </c>
      <c r="N1074">
        <v>0.03</v>
      </c>
      <c r="O1074">
        <v>-529</v>
      </c>
      <c r="P1074">
        <v>23</v>
      </c>
      <c r="Q1074" t="s">
        <v>56</v>
      </c>
      <c r="R1074" t="s">
        <v>61</v>
      </c>
    </row>
    <row r="1075" spans="1:18">
      <c r="A1075">
        <v>11074</v>
      </c>
      <c r="B1075" s="2">
        <v>45270</v>
      </c>
      <c r="C1075" s="2">
        <v>45272</v>
      </c>
      <c r="D1075" s="2">
        <v>45276</v>
      </c>
      <c r="E1075" t="s">
        <v>20</v>
      </c>
      <c r="F1075" t="s">
        <v>22</v>
      </c>
      <c r="G1075" t="s">
        <v>26</v>
      </c>
      <c r="H1075" t="s">
        <v>31</v>
      </c>
      <c r="I1075" t="s">
        <v>34</v>
      </c>
      <c r="J1075" t="s">
        <v>43</v>
      </c>
      <c r="K1075" t="s">
        <v>46</v>
      </c>
      <c r="L1075" t="s">
        <v>53</v>
      </c>
      <c r="M1075">
        <v>37468</v>
      </c>
      <c r="N1075">
        <v>0.06</v>
      </c>
      <c r="O1075">
        <v>6522</v>
      </c>
      <c r="P1075">
        <v>24</v>
      </c>
      <c r="Q1075" t="s">
        <v>54</v>
      </c>
      <c r="R1075" t="s">
        <v>59</v>
      </c>
    </row>
    <row r="1076" spans="1:18">
      <c r="A1076">
        <v>11075</v>
      </c>
      <c r="B1076" s="2">
        <v>45271</v>
      </c>
      <c r="C1076" s="2">
        <v>45273</v>
      </c>
      <c r="D1076" s="2">
        <v>45277</v>
      </c>
      <c r="E1076" t="s">
        <v>19</v>
      </c>
      <c r="F1076" t="s">
        <v>22</v>
      </c>
      <c r="G1076" t="s">
        <v>26</v>
      </c>
      <c r="H1076" t="s">
        <v>25</v>
      </c>
      <c r="I1076" t="s">
        <v>35</v>
      </c>
      <c r="J1076" t="s">
        <v>41</v>
      </c>
      <c r="K1076" t="s">
        <v>48</v>
      </c>
      <c r="L1076" t="s">
        <v>52</v>
      </c>
      <c r="M1076">
        <v>15434</v>
      </c>
      <c r="N1076">
        <v>0.26</v>
      </c>
      <c r="O1076">
        <v>14680</v>
      </c>
      <c r="P1076">
        <v>6</v>
      </c>
      <c r="Q1076" t="s">
        <v>56</v>
      </c>
      <c r="R1076" t="s">
        <v>59</v>
      </c>
    </row>
    <row r="1077" spans="1:18">
      <c r="A1077">
        <v>11076</v>
      </c>
      <c r="B1077" s="2">
        <v>45272</v>
      </c>
      <c r="C1077" s="2">
        <v>45274</v>
      </c>
      <c r="D1077" s="2">
        <v>45278</v>
      </c>
      <c r="E1077" t="s">
        <v>18</v>
      </c>
      <c r="F1077" t="s">
        <v>22</v>
      </c>
      <c r="G1077" t="s">
        <v>26</v>
      </c>
      <c r="H1077" t="s">
        <v>32</v>
      </c>
      <c r="I1077" t="s">
        <v>34</v>
      </c>
      <c r="J1077" t="s">
        <v>39</v>
      </c>
      <c r="K1077" t="s">
        <v>45</v>
      </c>
      <c r="L1077" t="s">
        <v>53</v>
      </c>
      <c r="M1077">
        <v>51247</v>
      </c>
      <c r="N1077">
        <v>0.05</v>
      </c>
      <c r="O1077">
        <v>6018</v>
      </c>
      <c r="P1077">
        <v>18</v>
      </c>
      <c r="Q1077" t="s">
        <v>54</v>
      </c>
      <c r="R1077" t="s">
        <v>60</v>
      </c>
    </row>
    <row r="1078" spans="1:18">
      <c r="A1078">
        <v>11077</v>
      </c>
      <c r="B1078" s="2">
        <v>45273</v>
      </c>
      <c r="C1078" s="2">
        <v>45275</v>
      </c>
      <c r="D1078" s="2">
        <v>45279</v>
      </c>
      <c r="E1078" t="s">
        <v>20</v>
      </c>
      <c r="F1078" t="s">
        <v>22</v>
      </c>
      <c r="G1078" t="s">
        <v>23</v>
      </c>
      <c r="H1078" t="s">
        <v>31</v>
      </c>
      <c r="I1078" t="s">
        <v>35</v>
      </c>
      <c r="J1078" t="s">
        <v>41</v>
      </c>
      <c r="K1078" t="s">
        <v>44</v>
      </c>
      <c r="L1078" t="s">
        <v>51</v>
      </c>
      <c r="M1078">
        <v>5160</v>
      </c>
      <c r="N1078">
        <v>0.12</v>
      </c>
      <c r="O1078">
        <v>10090</v>
      </c>
      <c r="P1078">
        <v>5</v>
      </c>
      <c r="Q1078" t="s">
        <v>56</v>
      </c>
      <c r="R1078" t="s">
        <v>62</v>
      </c>
    </row>
    <row r="1079" spans="1:18">
      <c r="A1079">
        <v>11078</v>
      </c>
      <c r="B1079" s="2">
        <v>45274</v>
      </c>
      <c r="C1079" s="2">
        <v>45276</v>
      </c>
      <c r="D1079" s="2">
        <v>45280</v>
      </c>
      <c r="E1079" t="s">
        <v>19</v>
      </c>
      <c r="F1079" t="s">
        <v>22</v>
      </c>
      <c r="G1079" t="s">
        <v>23</v>
      </c>
      <c r="H1079" t="s">
        <v>32</v>
      </c>
      <c r="I1079" t="s">
        <v>36</v>
      </c>
      <c r="J1079" t="s">
        <v>38</v>
      </c>
      <c r="K1079" t="s">
        <v>50</v>
      </c>
      <c r="L1079" t="s">
        <v>51</v>
      </c>
      <c r="M1079">
        <v>4754</v>
      </c>
      <c r="N1079">
        <v>0.01</v>
      </c>
      <c r="O1079">
        <v>17837</v>
      </c>
      <c r="P1079">
        <v>8</v>
      </c>
      <c r="Q1079" t="s">
        <v>57</v>
      </c>
      <c r="R1079" t="s">
        <v>61</v>
      </c>
    </row>
    <row r="1080" spans="1:18">
      <c r="A1080">
        <v>11079</v>
      </c>
      <c r="B1080" s="2">
        <v>45275</v>
      </c>
      <c r="C1080" s="2">
        <v>45277</v>
      </c>
      <c r="D1080" s="2">
        <v>45281</v>
      </c>
      <c r="E1080" t="s">
        <v>19</v>
      </c>
      <c r="F1080" t="s">
        <v>22</v>
      </c>
      <c r="G1080" t="s">
        <v>28</v>
      </c>
      <c r="H1080" t="s">
        <v>25</v>
      </c>
      <c r="I1080" t="s">
        <v>36</v>
      </c>
      <c r="J1080" t="s">
        <v>42</v>
      </c>
      <c r="K1080" t="s">
        <v>45</v>
      </c>
      <c r="L1080" t="s">
        <v>51</v>
      </c>
      <c r="M1080">
        <v>30070</v>
      </c>
      <c r="N1080">
        <v>0.09</v>
      </c>
      <c r="O1080">
        <v>17820</v>
      </c>
      <c r="P1080">
        <v>4</v>
      </c>
      <c r="Q1080" t="s">
        <v>58</v>
      </c>
      <c r="R1080" t="s">
        <v>60</v>
      </c>
    </row>
    <row r="1081" spans="1:18">
      <c r="A1081">
        <v>11080</v>
      </c>
      <c r="B1081" s="2">
        <v>45276</v>
      </c>
      <c r="C1081" s="2">
        <v>45278</v>
      </c>
      <c r="D1081" s="2">
        <v>45282</v>
      </c>
      <c r="E1081" t="s">
        <v>19</v>
      </c>
      <c r="F1081" t="s">
        <v>22</v>
      </c>
      <c r="G1081" t="s">
        <v>25</v>
      </c>
      <c r="H1081" t="s">
        <v>33</v>
      </c>
      <c r="I1081" t="s">
        <v>36</v>
      </c>
      <c r="J1081" t="s">
        <v>42</v>
      </c>
      <c r="K1081" t="s">
        <v>47</v>
      </c>
      <c r="L1081" t="s">
        <v>51</v>
      </c>
      <c r="M1081">
        <v>38308</v>
      </c>
      <c r="N1081">
        <v>0.19</v>
      </c>
      <c r="O1081">
        <v>13991</v>
      </c>
      <c r="P1081">
        <v>18</v>
      </c>
      <c r="Q1081" t="s">
        <v>55</v>
      </c>
      <c r="R1081" t="s">
        <v>62</v>
      </c>
    </row>
    <row r="1082" spans="1:18">
      <c r="A1082">
        <v>11081</v>
      </c>
      <c r="B1082" s="2">
        <v>45277</v>
      </c>
      <c r="C1082" s="2">
        <v>45279</v>
      </c>
      <c r="D1082" s="2">
        <v>45283</v>
      </c>
      <c r="E1082" t="s">
        <v>18</v>
      </c>
      <c r="F1082" t="s">
        <v>22</v>
      </c>
      <c r="G1082" t="s">
        <v>27</v>
      </c>
      <c r="H1082" t="s">
        <v>33</v>
      </c>
      <c r="I1082" t="s">
        <v>35</v>
      </c>
      <c r="J1082" t="s">
        <v>39</v>
      </c>
      <c r="K1082" t="s">
        <v>47</v>
      </c>
      <c r="L1082" t="s">
        <v>51</v>
      </c>
      <c r="M1082">
        <v>5289</v>
      </c>
      <c r="N1082">
        <v>0.25</v>
      </c>
      <c r="O1082">
        <v>6586</v>
      </c>
      <c r="P1082">
        <v>9</v>
      </c>
      <c r="Q1082" t="s">
        <v>57</v>
      </c>
      <c r="R1082" t="s">
        <v>61</v>
      </c>
    </row>
    <row r="1083" spans="1:18">
      <c r="A1083">
        <v>11082</v>
      </c>
      <c r="B1083" s="2">
        <v>45278</v>
      </c>
      <c r="C1083" s="2">
        <v>45280</v>
      </c>
      <c r="D1083" s="2">
        <v>45284</v>
      </c>
      <c r="E1083" t="s">
        <v>19</v>
      </c>
      <c r="F1083" t="s">
        <v>22</v>
      </c>
      <c r="G1083" t="s">
        <v>24</v>
      </c>
      <c r="H1083" t="s">
        <v>33</v>
      </c>
      <c r="I1083" t="s">
        <v>36</v>
      </c>
      <c r="J1083" t="s">
        <v>40</v>
      </c>
      <c r="K1083" t="s">
        <v>49</v>
      </c>
      <c r="L1083" t="s">
        <v>52</v>
      </c>
      <c r="M1083">
        <v>37378</v>
      </c>
      <c r="N1083">
        <v>0.1</v>
      </c>
      <c r="O1083">
        <v>14310</v>
      </c>
      <c r="P1083">
        <v>19</v>
      </c>
      <c r="Q1083" t="s">
        <v>55</v>
      </c>
      <c r="R1083" t="s">
        <v>60</v>
      </c>
    </row>
    <row r="1084" spans="1:18">
      <c r="A1084">
        <v>11083</v>
      </c>
      <c r="B1084" s="2">
        <v>45279</v>
      </c>
      <c r="C1084" s="2">
        <v>45281</v>
      </c>
      <c r="D1084" s="2">
        <v>45285</v>
      </c>
      <c r="E1084" t="s">
        <v>21</v>
      </c>
      <c r="F1084" t="s">
        <v>22</v>
      </c>
      <c r="G1084" t="s">
        <v>27</v>
      </c>
      <c r="H1084" t="s">
        <v>32</v>
      </c>
      <c r="I1084" t="s">
        <v>35</v>
      </c>
      <c r="J1084" t="s">
        <v>41</v>
      </c>
      <c r="K1084" t="s">
        <v>44</v>
      </c>
      <c r="L1084" t="s">
        <v>53</v>
      </c>
      <c r="M1084">
        <v>15923</v>
      </c>
      <c r="N1084">
        <v>0.03</v>
      </c>
      <c r="O1084">
        <v>14402</v>
      </c>
      <c r="P1084">
        <v>12</v>
      </c>
      <c r="Q1084" t="s">
        <v>57</v>
      </c>
      <c r="R1084" t="s">
        <v>60</v>
      </c>
    </row>
    <row r="1085" spans="1:18">
      <c r="A1085">
        <v>11084</v>
      </c>
      <c r="B1085" s="2">
        <v>45280</v>
      </c>
      <c r="C1085" s="2">
        <v>45282</v>
      </c>
      <c r="D1085" s="2">
        <v>45286</v>
      </c>
      <c r="E1085" t="s">
        <v>20</v>
      </c>
      <c r="F1085" t="s">
        <v>22</v>
      </c>
      <c r="G1085" t="s">
        <v>24</v>
      </c>
      <c r="H1085" t="s">
        <v>31</v>
      </c>
      <c r="I1085" t="s">
        <v>36</v>
      </c>
      <c r="J1085" t="s">
        <v>40</v>
      </c>
      <c r="K1085" t="s">
        <v>46</v>
      </c>
      <c r="L1085" t="s">
        <v>52</v>
      </c>
      <c r="M1085">
        <v>15751</v>
      </c>
      <c r="N1085">
        <v>0.38</v>
      </c>
      <c r="O1085">
        <v>5957</v>
      </c>
      <c r="P1085">
        <v>11</v>
      </c>
      <c r="Q1085" t="s">
        <v>57</v>
      </c>
      <c r="R1085" t="s">
        <v>60</v>
      </c>
    </row>
    <row r="1086" spans="1:18">
      <c r="A1086">
        <v>11085</v>
      </c>
      <c r="B1086" s="2">
        <v>45281</v>
      </c>
      <c r="C1086" s="2">
        <v>45283</v>
      </c>
      <c r="D1086" s="2">
        <v>45287</v>
      </c>
      <c r="E1086" t="s">
        <v>21</v>
      </c>
      <c r="F1086" t="s">
        <v>22</v>
      </c>
      <c r="G1086" t="s">
        <v>23</v>
      </c>
      <c r="H1086" t="s">
        <v>33</v>
      </c>
      <c r="I1086" t="s">
        <v>35</v>
      </c>
      <c r="J1086" t="s">
        <v>43</v>
      </c>
      <c r="K1086" t="s">
        <v>44</v>
      </c>
      <c r="L1086" t="s">
        <v>51</v>
      </c>
      <c r="M1086">
        <v>34578</v>
      </c>
      <c r="N1086">
        <v>0.28000000000000003</v>
      </c>
      <c r="O1086">
        <v>9450</v>
      </c>
      <c r="P1086">
        <v>2</v>
      </c>
      <c r="Q1086" t="s">
        <v>55</v>
      </c>
      <c r="R1086" t="s">
        <v>59</v>
      </c>
    </row>
    <row r="1087" spans="1:18">
      <c r="A1087">
        <v>11086</v>
      </c>
      <c r="B1087" s="2">
        <v>45282</v>
      </c>
      <c r="C1087" s="2">
        <v>45284</v>
      </c>
      <c r="D1087" s="2">
        <v>45288</v>
      </c>
      <c r="E1087" t="s">
        <v>18</v>
      </c>
      <c r="F1087" t="s">
        <v>22</v>
      </c>
      <c r="G1087" t="s">
        <v>28</v>
      </c>
      <c r="H1087" t="s">
        <v>31</v>
      </c>
      <c r="I1087" t="s">
        <v>34</v>
      </c>
      <c r="J1087" t="s">
        <v>38</v>
      </c>
      <c r="K1087" t="s">
        <v>48</v>
      </c>
      <c r="L1087" t="s">
        <v>53</v>
      </c>
      <c r="M1087">
        <v>39766</v>
      </c>
      <c r="N1087">
        <v>0.25</v>
      </c>
      <c r="O1087">
        <v>11157</v>
      </c>
      <c r="P1087">
        <v>18</v>
      </c>
      <c r="Q1087" t="s">
        <v>55</v>
      </c>
      <c r="R1087" t="s">
        <v>62</v>
      </c>
    </row>
    <row r="1088" spans="1:18">
      <c r="A1088">
        <v>11087</v>
      </c>
      <c r="B1088" s="2">
        <v>45283</v>
      </c>
      <c r="C1088" s="2">
        <v>45285</v>
      </c>
      <c r="D1088" s="2">
        <v>45289</v>
      </c>
      <c r="E1088" t="s">
        <v>21</v>
      </c>
      <c r="F1088" t="s">
        <v>22</v>
      </c>
      <c r="G1088" t="s">
        <v>28</v>
      </c>
      <c r="H1088" t="s">
        <v>29</v>
      </c>
      <c r="I1088" t="s">
        <v>34</v>
      </c>
      <c r="J1088" t="s">
        <v>42</v>
      </c>
      <c r="K1088" t="s">
        <v>47</v>
      </c>
      <c r="L1088" t="s">
        <v>53</v>
      </c>
      <c r="M1088">
        <v>30571</v>
      </c>
      <c r="N1088">
        <v>0.16</v>
      </c>
      <c r="O1088">
        <v>742</v>
      </c>
      <c r="P1088">
        <v>15</v>
      </c>
      <c r="Q1088" t="s">
        <v>58</v>
      </c>
      <c r="R1088" t="s">
        <v>62</v>
      </c>
    </row>
    <row r="1089" spans="1:18">
      <c r="A1089">
        <v>11088</v>
      </c>
      <c r="B1089" s="2">
        <v>45284</v>
      </c>
      <c r="C1089" s="2">
        <v>45286</v>
      </c>
      <c r="D1089" s="2">
        <v>45290</v>
      </c>
      <c r="E1089" t="s">
        <v>18</v>
      </c>
      <c r="F1089" t="s">
        <v>22</v>
      </c>
      <c r="G1089" t="s">
        <v>24</v>
      </c>
      <c r="H1089" t="s">
        <v>31</v>
      </c>
      <c r="I1089" t="s">
        <v>36</v>
      </c>
      <c r="J1089" t="s">
        <v>39</v>
      </c>
      <c r="K1089" t="s">
        <v>44</v>
      </c>
      <c r="L1089" t="s">
        <v>53</v>
      </c>
      <c r="M1089">
        <v>1726</v>
      </c>
      <c r="N1089">
        <v>0.08</v>
      </c>
      <c r="O1089">
        <v>6824</v>
      </c>
      <c r="P1089">
        <v>15</v>
      </c>
      <c r="Q1089" t="s">
        <v>57</v>
      </c>
      <c r="R1089" t="s">
        <v>61</v>
      </c>
    </row>
    <row r="1090" spans="1:18">
      <c r="A1090">
        <v>11089</v>
      </c>
      <c r="B1090" s="2">
        <v>45285</v>
      </c>
      <c r="C1090" s="2">
        <v>45287</v>
      </c>
      <c r="D1090" s="2">
        <v>45291</v>
      </c>
      <c r="E1090" t="s">
        <v>18</v>
      </c>
      <c r="F1090" t="s">
        <v>22</v>
      </c>
      <c r="G1090" t="s">
        <v>28</v>
      </c>
      <c r="H1090" t="s">
        <v>33</v>
      </c>
      <c r="I1090" t="s">
        <v>35</v>
      </c>
      <c r="J1090" t="s">
        <v>39</v>
      </c>
      <c r="K1090" t="s">
        <v>50</v>
      </c>
      <c r="L1090" t="s">
        <v>52</v>
      </c>
      <c r="M1090">
        <v>54576</v>
      </c>
      <c r="N1090">
        <v>0.11</v>
      </c>
      <c r="O1090">
        <v>14062</v>
      </c>
      <c r="P1090">
        <v>7</v>
      </c>
      <c r="Q1090" t="s">
        <v>54</v>
      </c>
      <c r="R1090" t="s">
        <v>59</v>
      </c>
    </row>
    <row r="1091" spans="1:18">
      <c r="A1091">
        <v>11090</v>
      </c>
      <c r="B1091" s="2">
        <v>45286</v>
      </c>
      <c r="C1091" s="2">
        <v>45288</v>
      </c>
      <c r="D1091" s="2">
        <v>45292</v>
      </c>
      <c r="E1091" t="s">
        <v>20</v>
      </c>
      <c r="F1091" t="s">
        <v>22</v>
      </c>
      <c r="G1091" t="s">
        <v>23</v>
      </c>
      <c r="H1091" t="s">
        <v>25</v>
      </c>
      <c r="I1091" t="s">
        <v>34</v>
      </c>
      <c r="J1091" t="s">
        <v>37</v>
      </c>
      <c r="K1091" t="s">
        <v>47</v>
      </c>
      <c r="L1091" t="s">
        <v>51</v>
      </c>
      <c r="M1091">
        <v>28396</v>
      </c>
      <c r="N1091">
        <v>0.18</v>
      </c>
      <c r="O1091">
        <v>11309</v>
      </c>
      <c r="P1091">
        <v>21</v>
      </c>
      <c r="Q1091" t="s">
        <v>57</v>
      </c>
      <c r="R1091" t="s">
        <v>61</v>
      </c>
    </row>
    <row r="1092" spans="1:18">
      <c r="A1092">
        <v>11091</v>
      </c>
      <c r="B1092" s="2">
        <v>45287</v>
      </c>
      <c r="C1092" s="2">
        <v>45289</v>
      </c>
      <c r="D1092" s="2">
        <v>45293</v>
      </c>
      <c r="E1092" t="s">
        <v>19</v>
      </c>
      <c r="F1092" t="s">
        <v>22</v>
      </c>
      <c r="G1092" t="s">
        <v>27</v>
      </c>
      <c r="H1092" t="s">
        <v>31</v>
      </c>
      <c r="I1092" t="s">
        <v>34</v>
      </c>
      <c r="J1092" t="s">
        <v>41</v>
      </c>
      <c r="K1092" t="s">
        <v>50</v>
      </c>
      <c r="L1092" t="s">
        <v>52</v>
      </c>
      <c r="M1092">
        <v>23221</v>
      </c>
      <c r="N1092">
        <v>0.36</v>
      </c>
      <c r="O1092">
        <v>8399</v>
      </c>
      <c r="P1092">
        <v>9</v>
      </c>
      <c r="Q1092" t="s">
        <v>58</v>
      </c>
      <c r="R1092" t="s">
        <v>62</v>
      </c>
    </row>
    <row r="1093" spans="1:18">
      <c r="A1093">
        <v>11092</v>
      </c>
      <c r="B1093" s="2">
        <v>45288</v>
      </c>
      <c r="C1093" s="2">
        <v>45290</v>
      </c>
      <c r="D1093" s="2">
        <v>45294</v>
      </c>
      <c r="E1093" t="s">
        <v>21</v>
      </c>
      <c r="F1093" t="s">
        <v>22</v>
      </c>
      <c r="G1093" t="s">
        <v>28</v>
      </c>
      <c r="H1093" t="s">
        <v>32</v>
      </c>
      <c r="I1093" t="s">
        <v>35</v>
      </c>
      <c r="J1093" t="s">
        <v>39</v>
      </c>
      <c r="K1093" t="s">
        <v>45</v>
      </c>
      <c r="L1093" t="s">
        <v>51</v>
      </c>
      <c r="M1093">
        <v>28173</v>
      </c>
      <c r="N1093">
        <v>0.31</v>
      </c>
      <c r="O1093">
        <v>3401</v>
      </c>
      <c r="P1093">
        <v>11</v>
      </c>
      <c r="Q1093" t="s">
        <v>56</v>
      </c>
      <c r="R1093" t="s">
        <v>61</v>
      </c>
    </row>
    <row r="1094" spans="1:18">
      <c r="A1094">
        <v>11093</v>
      </c>
      <c r="B1094" s="2">
        <v>45289</v>
      </c>
      <c r="C1094" s="2">
        <v>45291</v>
      </c>
      <c r="D1094" s="2">
        <v>45295</v>
      </c>
      <c r="E1094" t="s">
        <v>21</v>
      </c>
      <c r="F1094" t="s">
        <v>22</v>
      </c>
      <c r="G1094" t="s">
        <v>24</v>
      </c>
      <c r="H1094" t="s">
        <v>29</v>
      </c>
      <c r="I1094" t="s">
        <v>35</v>
      </c>
      <c r="J1094" t="s">
        <v>37</v>
      </c>
      <c r="K1094" t="s">
        <v>44</v>
      </c>
      <c r="L1094" t="s">
        <v>53</v>
      </c>
      <c r="M1094">
        <v>55606</v>
      </c>
      <c r="N1094">
        <v>0.36</v>
      </c>
      <c r="O1094">
        <v>16777</v>
      </c>
      <c r="P1094">
        <v>5</v>
      </c>
      <c r="Q1094" t="s">
        <v>54</v>
      </c>
      <c r="R1094" t="s">
        <v>61</v>
      </c>
    </row>
    <row r="1095" spans="1:18">
      <c r="A1095">
        <v>11094</v>
      </c>
      <c r="B1095" s="2">
        <v>45290</v>
      </c>
      <c r="C1095" s="2">
        <v>45292</v>
      </c>
      <c r="D1095" s="2">
        <v>45296</v>
      </c>
      <c r="E1095" t="s">
        <v>20</v>
      </c>
      <c r="F1095" t="s">
        <v>22</v>
      </c>
      <c r="G1095" t="s">
        <v>28</v>
      </c>
      <c r="H1095" t="s">
        <v>29</v>
      </c>
      <c r="I1095" t="s">
        <v>36</v>
      </c>
      <c r="J1095" t="s">
        <v>42</v>
      </c>
      <c r="K1095" t="s">
        <v>47</v>
      </c>
      <c r="L1095" t="s">
        <v>53</v>
      </c>
      <c r="M1095">
        <v>73838</v>
      </c>
      <c r="N1095">
        <v>0.03</v>
      </c>
      <c r="O1095">
        <v>11909</v>
      </c>
      <c r="P1095">
        <v>7</v>
      </c>
      <c r="Q1095" t="s">
        <v>56</v>
      </c>
      <c r="R1095" t="s">
        <v>62</v>
      </c>
    </row>
    <row r="1096" spans="1:18">
      <c r="A1096">
        <v>11095</v>
      </c>
      <c r="B1096" s="2">
        <v>45291</v>
      </c>
      <c r="C1096" s="2">
        <v>45293</v>
      </c>
      <c r="D1096" s="2">
        <v>45297</v>
      </c>
      <c r="E1096" t="s">
        <v>19</v>
      </c>
      <c r="F1096" t="s">
        <v>22</v>
      </c>
      <c r="G1096" t="s">
        <v>23</v>
      </c>
      <c r="H1096" t="s">
        <v>30</v>
      </c>
      <c r="I1096" t="s">
        <v>34</v>
      </c>
      <c r="J1096" t="s">
        <v>38</v>
      </c>
      <c r="K1096" t="s">
        <v>48</v>
      </c>
      <c r="L1096" t="s">
        <v>52</v>
      </c>
      <c r="M1096">
        <v>68049</v>
      </c>
      <c r="N1096">
        <v>0.36</v>
      </c>
      <c r="O1096">
        <v>14533</v>
      </c>
      <c r="P1096">
        <v>13</v>
      </c>
      <c r="Q1096" t="s">
        <v>56</v>
      </c>
      <c r="R1096" t="s">
        <v>61</v>
      </c>
    </row>
    <row r="1097" spans="1:18">
      <c r="A1097">
        <v>11096</v>
      </c>
      <c r="B1097" s="2">
        <v>45292</v>
      </c>
      <c r="C1097" s="2">
        <v>45294</v>
      </c>
      <c r="D1097" s="2">
        <v>45298</v>
      </c>
      <c r="E1097" t="s">
        <v>20</v>
      </c>
      <c r="F1097" t="s">
        <v>22</v>
      </c>
      <c r="G1097" t="s">
        <v>27</v>
      </c>
      <c r="H1097" t="s">
        <v>30</v>
      </c>
      <c r="I1097" t="s">
        <v>34</v>
      </c>
      <c r="J1097" t="s">
        <v>43</v>
      </c>
      <c r="K1097" t="s">
        <v>50</v>
      </c>
      <c r="L1097" t="s">
        <v>51</v>
      </c>
      <c r="M1097">
        <v>7506</v>
      </c>
      <c r="N1097">
        <v>0.24</v>
      </c>
      <c r="O1097">
        <v>5051</v>
      </c>
      <c r="P1097">
        <v>21</v>
      </c>
      <c r="Q1097" t="s">
        <v>56</v>
      </c>
      <c r="R1097" t="s">
        <v>60</v>
      </c>
    </row>
    <row r="1098" spans="1:18">
      <c r="A1098">
        <v>11097</v>
      </c>
      <c r="B1098" s="2">
        <v>45293</v>
      </c>
      <c r="C1098" s="2">
        <v>45295</v>
      </c>
      <c r="D1098" s="2">
        <v>45299</v>
      </c>
      <c r="E1098" t="s">
        <v>21</v>
      </c>
      <c r="F1098" t="s">
        <v>22</v>
      </c>
      <c r="G1098" t="s">
        <v>25</v>
      </c>
      <c r="H1098" t="s">
        <v>25</v>
      </c>
      <c r="I1098" t="s">
        <v>34</v>
      </c>
      <c r="J1098" t="s">
        <v>41</v>
      </c>
      <c r="K1098" t="s">
        <v>48</v>
      </c>
      <c r="L1098" t="s">
        <v>51</v>
      </c>
      <c r="M1098">
        <v>5593</v>
      </c>
      <c r="N1098">
        <v>0.13</v>
      </c>
      <c r="O1098">
        <v>-650</v>
      </c>
      <c r="P1098">
        <v>12</v>
      </c>
      <c r="Q1098" t="s">
        <v>56</v>
      </c>
      <c r="R1098" t="s">
        <v>60</v>
      </c>
    </row>
    <row r="1099" spans="1:18">
      <c r="A1099">
        <v>11098</v>
      </c>
      <c r="B1099" s="2">
        <v>45294</v>
      </c>
      <c r="C1099" s="2">
        <v>45296</v>
      </c>
      <c r="D1099" s="2">
        <v>45300</v>
      </c>
      <c r="E1099" t="s">
        <v>21</v>
      </c>
      <c r="F1099" t="s">
        <v>22</v>
      </c>
      <c r="G1099" t="s">
        <v>24</v>
      </c>
      <c r="H1099" t="s">
        <v>32</v>
      </c>
      <c r="I1099" t="s">
        <v>34</v>
      </c>
      <c r="J1099" t="s">
        <v>42</v>
      </c>
      <c r="K1099" t="s">
        <v>45</v>
      </c>
      <c r="L1099" t="s">
        <v>51</v>
      </c>
      <c r="M1099">
        <v>63120</v>
      </c>
      <c r="N1099">
        <v>0.08</v>
      </c>
      <c r="O1099">
        <v>18779</v>
      </c>
      <c r="P1099">
        <v>15</v>
      </c>
      <c r="Q1099" t="s">
        <v>55</v>
      </c>
      <c r="R1099" t="s">
        <v>59</v>
      </c>
    </row>
    <row r="1100" spans="1:18">
      <c r="A1100">
        <v>11099</v>
      </c>
      <c r="B1100" s="2">
        <v>45295</v>
      </c>
      <c r="C1100" s="2">
        <v>45297</v>
      </c>
      <c r="D1100" s="2">
        <v>45301</v>
      </c>
      <c r="E1100" t="s">
        <v>21</v>
      </c>
      <c r="F1100" t="s">
        <v>22</v>
      </c>
      <c r="G1100" t="s">
        <v>25</v>
      </c>
      <c r="H1100" t="s">
        <v>31</v>
      </c>
      <c r="I1100" t="s">
        <v>34</v>
      </c>
      <c r="J1100" t="s">
        <v>37</v>
      </c>
      <c r="K1100" t="s">
        <v>45</v>
      </c>
      <c r="L1100" t="s">
        <v>52</v>
      </c>
      <c r="M1100">
        <v>24807</v>
      </c>
      <c r="N1100">
        <v>0.35</v>
      </c>
      <c r="O1100">
        <v>11104</v>
      </c>
      <c r="P1100">
        <v>21</v>
      </c>
      <c r="Q1100" t="s">
        <v>58</v>
      </c>
      <c r="R1100" t="s">
        <v>62</v>
      </c>
    </row>
    <row r="1101" spans="1:18">
      <c r="A1101">
        <v>11100</v>
      </c>
      <c r="B1101" s="2">
        <v>45296</v>
      </c>
      <c r="C1101" s="2">
        <v>45298</v>
      </c>
      <c r="D1101" s="2">
        <v>45302</v>
      </c>
      <c r="E1101" t="s">
        <v>18</v>
      </c>
      <c r="F1101" t="s">
        <v>22</v>
      </c>
      <c r="G1101" t="s">
        <v>26</v>
      </c>
      <c r="H1101" t="s">
        <v>29</v>
      </c>
      <c r="I1101" t="s">
        <v>34</v>
      </c>
      <c r="J1101" t="s">
        <v>42</v>
      </c>
      <c r="K1101" t="s">
        <v>49</v>
      </c>
      <c r="L1101" t="s">
        <v>51</v>
      </c>
      <c r="M1101">
        <v>9724</v>
      </c>
      <c r="N1101">
        <v>0.09</v>
      </c>
      <c r="O1101">
        <v>5561</v>
      </c>
      <c r="P1101">
        <v>18</v>
      </c>
      <c r="Q1101" t="s">
        <v>56</v>
      </c>
      <c r="R1101" t="s">
        <v>60</v>
      </c>
    </row>
    <row r="1102" spans="1:18">
      <c r="A1102">
        <v>11101</v>
      </c>
      <c r="B1102" s="2">
        <v>45297</v>
      </c>
      <c r="C1102" s="2">
        <v>45299</v>
      </c>
      <c r="D1102" s="2">
        <v>45303</v>
      </c>
      <c r="E1102" t="s">
        <v>21</v>
      </c>
      <c r="F1102" t="s">
        <v>22</v>
      </c>
      <c r="G1102" t="s">
        <v>27</v>
      </c>
      <c r="H1102" t="s">
        <v>32</v>
      </c>
      <c r="I1102" t="s">
        <v>34</v>
      </c>
      <c r="J1102" t="s">
        <v>39</v>
      </c>
      <c r="K1102" t="s">
        <v>50</v>
      </c>
      <c r="L1102" t="s">
        <v>51</v>
      </c>
      <c r="M1102">
        <v>623</v>
      </c>
      <c r="N1102">
        <v>0.11</v>
      </c>
      <c r="O1102">
        <v>7537</v>
      </c>
      <c r="P1102">
        <v>6</v>
      </c>
      <c r="Q1102" t="s">
        <v>57</v>
      </c>
      <c r="R1102" t="s">
        <v>61</v>
      </c>
    </row>
    <row r="1103" spans="1:18">
      <c r="A1103">
        <v>11102</v>
      </c>
      <c r="B1103" s="2">
        <v>45298</v>
      </c>
      <c r="C1103" s="2">
        <v>45300</v>
      </c>
      <c r="D1103" s="2">
        <v>45304</v>
      </c>
      <c r="E1103" t="s">
        <v>20</v>
      </c>
      <c r="F1103" t="s">
        <v>22</v>
      </c>
      <c r="G1103" t="s">
        <v>28</v>
      </c>
      <c r="H1103" t="s">
        <v>33</v>
      </c>
      <c r="I1103" t="s">
        <v>36</v>
      </c>
      <c r="J1103" t="s">
        <v>41</v>
      </c>
      <c r="K1103" t="s">
        <v>46</v>
      </c>
      <c r="L1103" t="s">
        <v>53</v>
      </c>
      <c r="M1103">
        <v>13732</v>
      </c>
      <c r="N1103">
        <v>0.3</v>
      </c>
      <c r="O1103">
        <v>19752</v>
      </c>
      <c r="P1103">
        <v>16</v>
      </c>
      <c r="Q1103" t="s">
        <v>58</v>
      </c>
      <c r="R1103" t="s">
        <v>61</v>
      </c>
    </row>
    <row r="1104" spans="1:18">
      <c r="A1104">
        <v>11103</v>
      </c>
      <c r="B1104" s="2">
        <v>45299</v>
      </c>
      <c r="C1104" s="2">
        <v>45301</v>
      </c>
      <c r="D1104" s="2">
        <v>45305</v>
      </c>
      <c r="E1104" t="s">
        <v>18</v>
      </c>
      <c r="F1104" t="s">
        <v>22</v>
      </c>
      <c r="G1104" t="s">
        <v>24</v>
      </c>
      <c r="H1104" t="s">
        <v>29</v>
      </c>
      <c r="I1104" t="s">
        <v>34</v>
      </c>
      <c r="J1104" t="s">
        <v>40</v>
      </c>
      <c r="K1104" t="s">
        <v>45</v>
      </c>
      <c r="L1104" t="s">
        <v>51</v>
      </c>
      <c r="M1104">
        <v>43226</v>
      </c>
      <c r="N1104">
        <v>0.16</v>
      </c>
      <c r="O1104">
        <v>7315</v>
      </c>
      <c r="P1104">
        <v>15</v>
      </c>
      <c r="Q1104" t="s">
        <v>57</v>
      </c>
      <c r="R1104" t="s">
        <v>62</v>
      </c>
    </row>
    <row r="1105" spans="1:18">
      <c r="A1105">
        <v>11104</v>
      </c>
      <c r="B1105" s="2">
        <v>45300</v>
      </c>
      <c r="C1105" s="2">
        <v>45302</v>
      </c>
      <c r="D1105" s="2">
        <v>45306</v>
      </c>
      <c r="E1105" t="s">
        <v>19</v>
      </c>
      <c r="F1105" t="s">
        <v>22</v>
      </c>
      <c r="G1105" t="s">
        <v>23</v>
      </c>
      <c r="H1105" t="s">
        <v>33</v>
      </c>
      <c r="I1105" t="s">
        <v>35</v>
      </c>
      <c r="J1105" t="s">
        <v>38</v>
      </c>
      <c r="K1105" t="s">
        <v>50</v>
      </c>
      <c r="L1105" t="s">
        <v>51</v>
      </c>
      <c r="M1105">
        <v>25863</v>
      </c>
      <c r="N1105">
        <v>0.06</v>
      </c>
      <c r="O1105">
        <v>277</v>
      </c>
      <c r="P1105">
        <v>5</v>
      </c>
      <c r="Q1105" t="s">
        <v>58</v>
      </c>
      <c r="R1105" t="s">
        <v>62</v>
      </c>
    </row>
    <row r="1106" spans="1:18">
      <c r="A1106">
        <v>11105</v>
      </c>
      <c r="B1106" s="2">
        <v>45301</v>
      </c>
      <c r="C1106" s="2">
        <v>45303</v>
      </c>
      <c r="D1106" s="2">
        <v>45307</v>
      </c>
      <c r="E1106" t="s">
        <v>19</v>
      </c>
      <c r="F1106" t="s">
        <v>22</v>
      </c>
      <c r="G1106" t="s">
        <v>26</v>
      </c>
      <c r="H1106" t="s">
        <v>29</v>
      </c>
      <c r="I1106" t="s">
        <v>35</v>
      </c>
      <c r="J1106" t="s">
        <v>41</v>
      </c>
      <c r="K1106" t="s">
        <v>45</v>
      </c>
      <c r="L1106" t="s">
        <v>52</v>
      </c>
      <c r="M1106">
        <v>52379</v>
      </c>
      <c r="N1106">
        <v>0.26</v>
      </c>
      <c r="O1106">
        <v>5758</v>
      </c>
      <c r="P1106">
        <v>3</v>
      </c>
      <c r="Q1106" t="s">
        <v>55</v>
      </c>
      <c r="R1106" t="s">
        <v>61</v>
      </c>
    </row>
    <row r="1107" spans="1:18">
      <c r="A1107">
        <v>11106</v>
      </c>
      <c r="B1107" s="2">
        <v>45302</v>
      </c>
      <c r="C1107" s="2">
        <v>45304</v>
      </c>
      <c r="D1107" s="2">
        <v>45308</v>
      </c>
      <c r="E1107" t="s">
        <v>20</v>
      </c>
      <c r="F1107" t="s">
        <v>22</v>
      </c>
      <c r="G1107" t="s">
        <v>25</v>
      </c>
      <c r="H1107" t="s">
        <v>33</v>
      </c>
      <c r="I1107" t="s">
        <v>34</v>
      </c>
      <c r="J1107" t="s">
        <v>38</v>
      </c>
      <c r="K1107" t="s">
        <v>47</v>
      </c>
      <c r="L1107" t="s">
        <v>52</v>
      </c>
      <c r="M1107">
        <v>20795</v>
      </c>
      <c r="N1107">
        <v>0.03</v>
      </c>
      <c r="O1107">
        <v>12030</v>
      </c>
      <c r="P1107">
        <v>11</v>
      </c>
      <c r="Q1107" t="s">
        <v>56</v>
      </c>
      <c r="R1107" t="s">
        <v>61</v>
      </c>
    </row>
    <row r="1108" spans="1:18">
      <c r="A1108">
        <v>11107</v>
      </c>
      <c r="B1108" s="2">
        <v>45303</v>
      </c>
      <c r="C1108" s="2">
        <v>45305</v>
      </c>
      <c r="D1108" s="2">
        <v>45309</v>
      </c>
      <c r="E1108" t="s">
        <v>19</v>
      </c>
      <c r="F1108" t="s">
        <v>22</v>
      </c>
      <c r="G1108" t="s">
        <v>27</v>
      </c>
      <c r="H1108" t="s">
        <v>30</v>
      </c>
      <c r="I1108" t="s">
        <v>36</v>
      </c>
      <c r="J1108" t="s">
        <v>41</v>
      </c>
      <c r="K1108" t="s">
        <v>50</v>
      </c>
      <c r="L1108" t="s">
        <v>52</v>
      </c>
      <c r="M1108">
        <v>48174</v>
      </c>
      <c r="N1108">
        <v>0.32</v>
      </c>
      <c r="O1108">
        <v>2546</v>
      </c>
      <c r="P1108">
        <v>18</v>
      </c>
      <c r="Q1108" t="s">
        <v>58</v>
      </c>
      <c r="R1108" t="s">
        <v>60</v>
      </c>
    </row>
    <row r="1109" spans="1:18">
      <c r="A1109">
        <v>11108</v>
      </c>
      <c r="B1109" s="2">
        <v>45304</v>
      </c>
      <c r="C1109" s="2">
        <v>45306</v>
      </c>
      <c r="D1109" s="2">
        <v>45310</v>
      </c>
      <c r="E1109" t="s">
        <v>19</v>
      </c>
      <c r="F1109" t="s">
        <v>22</v>
      </c>
      <c r="G1109" t="s">
        <v>23</v>
      </c>
      <c r="H1109" t="s">
        <v>33</v>
      </c>
      <c r="I1109" t="s">
        <v>36</v>
      </c>
      <c r="J1109" t="s">
        <v>37</v>
      </c>
      <c r="K1109" t="s">
        <v>48</v>
      </c>
      <c r="L1109" t="s">
        <v>53</v>
      </c>
      <c r="M1109">
        <v>70837</v>
      </c>
      <c r="N1109">
        <v>0.02</v>
      </c>
      <c r="O1109">
        <v>6167</v>
      </c>
      <c r="P1109">
        <v>8</v>
      </c>
      <c r="Q1109" t="s">
        <v>57</v>
      </c>
      <c r="R1109" t="s">
        <v>60</v>
      </c>
    </row>
    <row r="1110" spans="1:18">
      <c r="A1110">
        <v>11109</v>
      </c>
      <c r="B1110" s="2">
        <v>45305</v>
      </c>
      <c r="C1110" s="2">
        <v>45307</v>
      </c>
      <c r="D1110" s="2">
        <v>45311</v>
      </c>
      <c r="E1110" t="s">
        <v>21</v>
      </c>
      <c r="F1110" t="s">
        <v>22</v>
      </c>
      <c r="G1110" t="s">
        <v>28</v>
      </c>
      <c r="H1110" t="s">
        <v>25</v>
      </c>
      <c r="I1110" t="s">
        <v>35</v>
      </c>
      <c r="J1110" t="s">
        <v>43</v>
      </c>
      <c r="K1110" t="s">
        <v>44</v>
      </c>
      <c r="L1110" t="s">
        <v>53</v>
      </c>
      <c r="M1110">
        <v>5769</v>
      </c>
      <c r="N1110">
        <v>0.13</v>
      </c>
      <c r="O1110">
        <v>7493</v>
      </c>
      <c r="P1110">
        <v>9</v>
      </c>
      <c r="Q1110" t="s">
        <v>54</v>
      </c>
      <c r="R1110" t="s">
        <v>62</v>
      </c>
    </row>
    <row r="1111" spans="1:18">
      <c r="A1111">
        <v>11110</v>
      </c>
      <c r="B1111" s="2">
        <v>45306</v>
      </c>
      <c r="C1111" s="2">
        <v>45308</v>
      </c>
      <c r="D1111" s="2">
        <v>45312</v>
      </c>
      <c r="E1111" t="s">
        <v>19</v>
      </c>
      <c r="F1111" t="s">
        <v>22</v>
      </c>
      <c r="G1111" t="s">
        <v>23</v>
      </c>
      <c r="H1111" t="s">
        <v>30</v>
      </c>
      <c r="I1111" t="s">
        <v>35</v>
      </c>
      <c r="J1111" t="s">
        <v>41</v>
      </c>
      <c r="K1111" t="s">
        <v>45</v>
      </c>
      <c r="L1111" t="s">
        <v>52</v>
      </c>
      <c r="M1111">
        <v>47581</v>
      </c>
      <c r="N1111">
        <v>0.32</v>
      </c>
      <c r="O1111">
        <v>8859</v>
      </c>
      <c r="P1111">
        <v>17</v>
      </c>
      <c r="Q1111" t="s">
        <v>56</v>
      </c>
      <c r="R1111" t="s">
        <v>61</v>
      </c>
    </row>
    <row r="1112" spans="1:18">
      <c r="A1112">
        <v>11111</v>
      </c>
      <c r="B1112" s="2">
        <v>45307</v>
      </c>
      <c r="C1112" s="2">
        <v>45309</v>
      </c>
      <c r="D1112" s="2">
        <v>45313</v>
      </c>
      <c r="E1112" t="s">
        <v>20</v>
      </c>
      <c r="F1112" t="s">
        <v>22</v>
      </c>
      <c r="G1112" t="s">
        <v>28</v>
      </c>
      <c r="H1112" t="s">
        <v>25</v>
      </c>
      <c r="I1112" t="s">
        <v>34</v>
      </c>
      <c r="J1112" t="s">
        <v>37</v>
      </c>
      <c r="K1112" t="s">
        <v>50</v>
      </c>
      <c r="L1112" t="s">
        <v>53</v>
      </c>
      <c r="M1112">
        <v>45051</v>
      </c>
      <c r="N1112">
        <v>0.2</v>
      </c>
      <c r="O1112">
        <v>-1926</v>
      </c>
      <c r="P1112">
        <v>2</v>
      </c>
      <c r="Q1112" t="s">
        <v>57</v>
      </c>
      <c r="R1112" t="s">
        <v>60</v>
      </c>
    </row>
    <row r="1113" spans="1:18">
      <c r="A1113">
        <v>11112</v>
      </c>
      <c r="B1113" s="2">
        <v>45308</v>
      </c>
      <c r="C1113" s="2">
        <v>45310</v>
      </c>
      <c r="D1113" s="2">
        <v>45314</v>
      </c>
      <c r="E1113" t="s">
        <v>19</v>
      </c>
      <c r="F1113" t="s">
        <v>22</v>
      </c>
      <c r="G1113" t="s">
        <v>26</v>
      </c>
      <c r="H1113" t="s">
        <v>31</v>
      </c>
      <c r="I1113" t="s">
        <v>35</v>
      </c>
      <c r="J1113" t="s">
        <v>43</v>
      </c>
      <c r="K1113" t="s">
        <v>48</v>
      </c>
      <c r="L1113" t="s">
        <v>52</v>
      </c>
      <c r="M1113">
        <v>19664</v>
      </c>
      <c r="N1113">
        <v>0.39</v>
      </c>
      <c r="O1113">
        <v>4660</v>
      </c>
      <c r="P1113">
        <v>24</v>
      </c>
      <c r="Q1113" t="s">
        <v>54</v>
      </c>
      <c r="R1113" t="s">
        <v>59</v>
      </c>
    </row>
    <row r="1114" spans="1:18">
      <c r="A1114">
        <v>11113</v>
      </c>
      <c r="B1114" s="2">
        <v>45309</v>
      </c>
      <c r="C1114" s="2">
        <v>45311</v>
      </c>
      <c r="D1114" s="2">
        <v>45315</v>
      </c>
      <c r="E1114" t="s">
        <v>18</v>
      </c>
      <c r="F1114" t="s">
        <v>22</v>
      </c>
      <c r="G1114" t="s">
        <v>25</v>
      </c>
      <c r="H1114" t="s">
        <v>29</v>
      </c>
      <c r="I1114" t="s">
        <v>35</v>
      </c>
      <c r="J1114" t="s">
        <v>37</v>
      </c>
      <c r="K1114" t="s">
        <v>46</v>
      </c>
      <c r="L1114" t="s">
        <v>51</v>
      </c>
      <c r="M1114">
        <v>69070</v>
      </c>
      <c r="N1114">
        <v>0.25</v>
      </c>
      <c r="O1114">
        <v>18344</v>
      </c>
      <c r="P1114">
        <v>6</v>
      </c>
      <c r="Q1114" t="s">
        <v>58</v>
      </c>
      <c r="R1114" t="s">
        <v>60</v>
      </c>
    </row>
    <row r="1115" spans="1:18">
      <c r="A1115">
        <v>11114</v>
      </c>
      <c r="B1115" s="2">
        <v>45310</v>
      </c>
      <c r="C1115" s="2">
        <v>45312</v>
      </c>
      <c r="D1115" s="2">
        <v>45316</v>
      </c>
      <c r="E1115" t="s">
        <v>20</v>
      </c>
      <c r="F1115" t="s">
        <v>22</v>
      </c>
      <c r="G1115" t="s">
        <v>28</v>
      </c>
      <c r="H1115" t="s">
        <v>30</v>
      </c>
      <c r="I1115" t="s">
        <v>36</v>
      </c>
      <c r="J1115" t="s">
        <v>39</v>
      </c>
      <c r="K1115" t="s">
        <v>49</v>
      </c>
      <c r="L1115" t="s">
        <v>51</v>
      </c>
      <c r="M1115">
        <v>5157</v>
      </c>
      <c r="N1115">
        <v>0.26</v>
      </c>
      <c r="O1115">
        <v>6710</v>
      </c>
      <c r="P1115">
        <v>5</v>
      </c>
      <c r="Q1115" t="s">
        <v>57</v>
      </c>
      <c r="R1115" t="s">
        <v>61</v>
      </c>
    </row>
    <row r="1116" spans="1:18">
      <c r="A1116">
        <v>11115</v>
      </c>
      <c r="B1116" s="2">
        <v>45311</v>
      </c>
      <c r="C1116" s="2">
        <v>45313</v>
      </c>
      <c r="D1116" s="2">
        <v>45317</v>
      </c>
      <c r="E1116" t="s">
        <v>20</v>
      </c>
      <c r="F1116" t="s">
        <v>22</v>
      </c>
      <c r="G1116" t="s">
        <v>26</v>
      </c>
      <c r="H1116" t="s">
        <v>30</v>
      </c>
      <c r="I1116" t="s">
        <v>35</v>
      </c>
      <c r="J1116" t="s">
        <v>39</v>
      </c>
      <c r="K1116" t="s">
        <v>48</v>
      </c>
      <c r="L1116" t="s">
        <v>52</v>
      </c>
      <c r="M1116">
        <v>73803</v>
      </c>
      <c r="N1116">
        <v>0.34</v>
      </c>
      <c r="O1116">
        <v>6279</v>
      </c>
      <c r="P1116">
        <v>6</v>
      </c>
      <c r="Q1116" t="s">
        <v>54</v>
      </c>
      <c r="R1116" t="s">
        <v>59</v>
      </c>
    </row>
    <row r="1117" spans="1:18">
      <c r="A1117">
        <v>11116</v>
      </c>
      <c r="B1117" s="2">
        <v>45312</v>
      </c>
      <c r="C1117" s="2">
        <v>45314</v>
      </c>
      <c r="D1117" s="2">
        <v>45318</v>
      </c>
      <c r="E1117" t="s">
        <v>21</v>
      </c>
      <c r="F1117" t="s">
        <v>22</v>
      </c>
      <c r="G1117" t="s">
        <v>23</v>
      </c>
      <c r="H1117" t="s">
        <v>25</v>
      </c>
      <c r="I1117" t="s">
        <v>34</v>
      </c>
      <c r="J1117" t="s">
        <v>40</v>
      </c>
      <c r="K1117" t="s">
        <v>49</v>
      </c>
      <c r="L1117" t="s">
        <v>53</v>
      </c>
      <c r="M1117">
        <v>66054</v>
      </c>
      <c r="N1117">
        <v>0.37</v>
      </c>
      <c r="O1117">
        <v>8564</v>
      </c>
      <c r="P1117">
        <v>24</v>
      </c>
      <c r="Q1117" t="s">
        <v>56</v>
      </c>
      <c r="R1117" t="s">
        <v>59</v>
      </c>
    </row>
    <row r="1118" spans="1:18">
      <c r="A1118">
        <v>11117</v>
      </c>
      <c r="B1118" s="2">
        <v>45313</v>
      </c>
      <c r="C1118" s="2">
        <v>45315</v>
      </c>
      <c r="D1118" s="2">
        <v>45319</v>
      </c>
      <c r="E1118" t="s">
        <v>19</v>
      </c>
      <c r="F1118" t="s">
        <v>22</v>
      </c>
      <c r="G1118" t="s">
        <v>25</v>
      </c>
      <c r="H1118" t="s">
        <v>33</v>
      </c>
      <c r="I1118" t="s">
        <v>34</v>
      </c>
      <c r="J1118" t="s">
        <v>43</v>
      </c>
      <c r="K1118" t="s">
        <v>49</v>
      </c>
      <c r="L1118" t="s">
        <v>52</v>
      </c>
      <c r="M1118">
        <v>69615</v>
      </c>
      <c r="N1118">
        <v>0.03</v>
      </c>
      <c r="O1118">
        <v>9020</v>
      </c>
      <c r="P1118">
        <v>13</v>
      </c>
      <c r="Q1118" t="s">
        <v>57</v>
      </c>
      <c r="R1118" t="s">
        <v>61</v>
      </c>
    </row>
    <row r="1119" spans="1:18">
      <c r="A1119">
        <v>11118</v>
      </c>
      <c r="B1119" s="2">
        <v>45314</v>
      </c>
      <c r="C1119" s="2">
        <v>45316</v>
      </c>
      <c r="D1119" s="2">
        <v>45320</v>
      </c>
      <c r="E1119" t="s">
        <v>18</v>
      </c>
      <c r="F1119" t="s">
        <v>22</v>
      </c>
      <c r="G1119" t="s">
        <v>27</v>
      </c>
      <c r="H1119" t="s">
        <v>31</v>
      </c>
      <c r="I1119" t="s">
        <v>34</v>
      </c>
      <c r="J1119" t="s">
        <v>41</v>
      </c>
      <c r="K1119" t="s">
        <v>44</v>
      </c>
      <c r="L1119" t="s">
        <v>52</v>
      </c>
      <c r="M1119">
        <v>8190</v>
      </c>
      <c r="N1119">
        <v>0.35</v>
      </c>
      <c r="O1119">
        <v>3829</v>
      </c>
      <c r="P1119">
        <v>8</v>
      </c>
      <c r="Q1119" t="s">
        <v>57</v>
      </c>
      <c r="R1119" t="s">
        <v>59</v>
      </c>
    </row>
    <row r="1120" spans="1:18">
      <c r="A1120">
        <v>11119</v>
      </c>
      <c r="B1120" s="2">
        <v>45315</v>
      </c>
      <c r="C1120" s="2">
        <v>45317</v>
      </c>
      <c r="D1120" s="2">
        <v>45321</v>
      </c>
      <c r="E1120" t="s">
        <v>21</v>
      </c>
      <c r="F1120" t="s">
        <v>22</v>
      </c>
      <c r="G1120" t="s">
        <v>24</v>
      </c>
      <c r="H1120" t="s">
        <v>33</v>
      </c>
      <c r="I1120" t="s">
        <v>36</v>
      </c>
      <c r="J1120" t="s">
        <v>39</v>
      </c>
      <c r="K1120" t="s">
        <v>47</v>
      </c>
      <c r="L1120" t="s">
        <v>53</v>
      </c>
      <c r="M1120">
        <v>5024</v>
      </c>
      <c r="N1120">
        <v>0.31</v>
      </c>
      <c r="O1120">
        <v>-276</v>
      </c>
      <c r="P1120">
        <v>18</v>
      </c>
      <c r="Q1120" t="s">
        <v>54</v>
      </c>
      <c r="R1120" t="s">
        <v>61</v>
      </c>
    </row>
    <row r="1121" spans="1:18">
      <c r="A1121">
        <v>11120</v>
      </c>
      <c r="B1121" s="2">
        <v>45316</v>
      </c>
      <c r="C1121" s="2">
        <v>45318</v>
      </c>
      <c r="D1121" s="2">
        <v>45322</v>
      </c>
      <c r="E1121" t="s">
        <v>18</v>
      </c>
      <c r="F1121" t="s">
        <v>22</v>
      </c>
      <c r="G1121" t="s">
        <v>28</v>
      </c>
      <c r="H1121" t="s">
        <v>33</v>
      </c>
      <c r="I1121" t="s">
        <v>34</v>
      </c>
      <c r="J1121" t="s">
        <v>39</v>
      </c>
      <c r="K1121" t="s">
        <v>44</v>
      </c>
      <c r="L1121" t="s">
        <v>51</v>
      </c>
      <c r="M1121">
        <v>27663</v>
      </c>
      <c r="N1121">
        <v>0.34</v>
      </c>
      <c r="O1121">
        <v>14279</v>
      </c>
      <c r="P1121">
        <v>6</v>
      </c>
      <c r="Q1121" t="s">
        <v>58</v>
      </c>
      <c r="R1121" t="s">
        <v>62</v>
      </c>
    </row>
    <row r="1122" spans="1:18">
      <c r="A1122">
        <v>11121</v>
      </c>
      <c r="B1122" s="2">
        <v>45317</v>
      </c>
      <c r="C1122" s="2">
        <v>45319</v>
      </c>
      <c r="D1122" s="2">
        <v>45323</v>
      </c>
      <c r="E1122" t="s">
        <v>20</v>
      </c>
      <c r="F1122" t="s">
        <v>22</v>
      </c>
      <c r="G1122" t="s">
        <v>27</v>
      </c>
      <c r="H1122" t="s">
        <v>30</v>
      </c>
      <c r="I1122" t="s">
        <v>34</v>
      </c>
      <c r="J1122" t="s">
        <v>40</v>
      </c>
      <c r="K1122" t="s">
        <v>45</v>
      </c>
      <c r="L1122" t="s">
        <v>53</v>
      </c>
      <c r="M1122">
        <v>20583</v>
      </c>
      <c r="N1122">
        <v>0.31</v>
      </c>
      <c r="O1122">
        <v>7587</v>
      </c>
      <c r="P1122">
        <v>4</v>
      </c>
      <c r="Q1122" t="s">
        <v>58</v>
      </c>
      <c r="R1122" t="s">
        <v>62</v>
      </c>
    </row>
    <row r="1123" spans="1:18">
      <c r="A1123">
        <v>11122</v>
      </c>
      <c r="B1123" s="2">
        <v>45318</v>
      </c>
      <c r="C1123" s="2">
        <v>45320</v>
      </c>
      <c r="D1123" s="2">
        <v>45324</v>
      </c>
      <c r="E1123" t="s">
        <v>18</v>
      </c>
      <c r="F1123" t="s">
        <v>22</v>
      </c>
      <c r="G1123" t="s">
        <v>23</v>
      </c>
      <c r="H1123" t="s">
        <v>29</v>
      </c>
      <c r="I1123" t="s">
        <v>35</v>
      </c>
      <c r="J1123" t="s">
        <v>38</v>
      </c>
      <c r="K1123" t="s">
        <v>47</v>
      </c>
      <c r="L1123" t="s">
        <v>51</v>
      </c>
      <c r="M1123">
        <v>69131</v>
      </c>
      <c r="N1123">
        <v>0.33</v>
      </c>
      <c r="O1123">
        <v>7889</v>
      </c>
      <c r="P1123">
        <v>21</v>
      </c>
      <c r="Q1123" t="s">
        <v>54</v>
      </c>
      <c r="R1123" t="s">
        <v>62</v>
      </c>
    </row>
    <row r="1124" spans="1:18">
      <c r="A1124">
        <v>11123</v>
      </c>
      <c r="B1124" s="2">
        <v>45319</v>
      </c>
      <c r="C1124" s="2">
        <v>45321</v>
      </c>
      <c r="D1124" s="2">
        <v>45325</v>
      </c>
      <c r="E1124" t="s">
        <v>18</v>
      </c>
      <c r="F1124" t="s">
        <v>22</v>
      </c>
      <c r="G1124" t="s">
        <v>25</v>
      </c>
      <c r="H1124" t="s">
        <v>32</v>
      </c>
      <c r="I1124" t="s">
        <v>34</v>
      </c>
      <c r="J1124" t="s">
        <v>37</v>
      </c>
      <c r="K1124" t="s">
        <v>45</v>
      </c>
      <c r="L1124" t="s">
        <v>51</v>
      </c>
      <c r="M1124">
        <v>50933</v>
      </c>
      <c r="N1124">
        <v>0.03</v>
      </c>
      <c r="O1124">
        <v>7344</v>
      </c>
      <c r="P1124">
        <v>4</v>
      </c>
      <c r="Q1124" t="s">
        <v>57</v>
      </c>
      <c r="R1124" t="s">
        <v>62</v>
      </c>
    </row>
    <row r="1125" spans="1:18">
      <c r="A1125">
        <v>11124</v>
      </c>
      <c r="B1125" s="2">
        <v>45320</v>
      </c>
      <c r="C1125" s="2">
        <v>45322</v>
      </c>
      <c r="D1125" s="2">
        <v>45326</v>
      </c>
      <c r="E1125" t="s">
        <v>18</v>
      </c>
      <c r="F1125" t="s">
        <v>22</v>
      </c>
      <c r="G1125" t="s">
        <v>23</v>
      </c>
      <c r="H1125" t="s">
        <v>33</v>
      </c>
      <c r="I1125" t="s">
        <v>35</v>
      </c>
      <c r="J1125" t="s">
        <v>41</v>
      </c>
      <c r="K1125" t="s">
        <v>45</v>
      </c>
      <c r="L1125" t="s">
        <v>52</v>
      </c>
      <c r="M1125">
        <v>9924</v>
      </c>
      <c r="N1125">
        <v>0.3</v>
      </c>
      <c r="O1125">
        <v>12482</v>
      </c>
      <c r="P1125">
        <v>6</v>
      </c>
      <c r="Q1125" t="s">
        <v>56</v>
      </c>
      <c r="R1125" t="s">
        <v>60</v>
      </c>
    </row>
    <row r="1126" spans="1:18">
      <c r="A1126">
        <v>11125</v>
      </c>
      <c r="B1126" s="2">
        <v>45321</v>
      </c>
      <c r="C1126" s="2">
        <v>45323</v>
      </c>
      <c r="D1126" s="2">
        <v>45327</v>
      </c>
      <c r="E1126" t="s">
        <v>20</v>
      </c>
      <c r="F1126" t="s">
        <v>22</v>
      </c>
      <c r="G1126" t="s">
        <v>25</v>
      </c>
      <c r="H1126" t="s">
        <v>29</v>
      </c>
      <c r="I1126" t="s">
        <v>36</v>
      </c>
      <c r="J1126" t="s">
        <v>39</v>
      </c>
      <c r="K1126" t="s">
        <v>49</v>
      </c>
      <c r="L1126" t="s">
        <v>52</v>
      </c>
      <c r="M1126">
        <v>39223</v>
      </c>
      <c r="N1126">
        <v>0.09</v>
      </c>
      <c r="O1126">
        <v>5661</v>
      </c>
      <c r="P1126">
        <v>23</v>
      </c>
      <c r="Q1126" t="s">
        <v>56</v>
      </c>
      <c r="R1126" t="s">
        <v>59</v>
      </c>
    </row>
    <row r="1127" spans="1:18">
      <c r="A1127">
        <v>11126</v>
      </c>
      <c r="B1127" s="2">
        <v>45322</v>
      </c>
      <c r="C1127" s="2">
        <v>45324</v>
      </c>
      <c r="D1127" s="2">
        <v>45328</v>
      </c>
      <c r="E1127" t="s">
        <v>20</v>
      </c>
      <c r="F1127" t="s">
        <v>22</v>
      </c>
      <c r="G1127" t="s">
        <v>24</v>
      </c>
      <c r="H1127" t="s">
        <v>25</v>
      </c>
      <c r="I1127" t="s">
        <v>35</v>
      </c>
      <c r="J1127" t="s">
        <v>40</v>
      </c>
      <c r="K1127" t="s">
        <v>49</v>
      </c>
      <c r="L1127" t="s">
        <v>51</v>
      </c>
      <c r="M1127">
        <v>42954</v>
      </c>
      <c r="N1127">
        <v>0.33</v>
      </c>
      <c r="O1127">
        <v>15226</v>
      </c>
      <c r="P1127">
        <v>9</v>
      </c>
      <c r="Q1127" t="s">
        <v>58</v>
      </c>
      <c r="R1127" t="s">
        <v>61</v>
      </c>
    </row>
    <row r="1128" spans="1:18">
      <c r="A1128">
        <v>11127</v>
      </c>
      <c r="B1128" s="2">
        <v>45323</v>
      </c>
      <c r="C1128" s="2">
        <v>45325</v>
      </c>
      <c r="D1128" s="2">
        <v>45329</v>
      </c>
      <c r="E1128" t="s">
        <v>21</v>
      </c>
      <c r="F1128" t="s">
        <v>22</v>
      </c>
      <c r="G1128" t="s">
        <v>28</v>
      </c>
      <c r="H1128" t="s">
        <v>33</v>
      </c>
      <c r="I1128" t="s">
        <v>35</v>
      </c>
      <c r="J1128" t="s">
        <v>37</v>
      </c>
      <c r="K1128" t="s">
        <v>49</v>
      </c>
      <c r="L1128" t="s">
        <v>51</v>
      </c>
      <c r="M1128">
        <v>56283</v>
      </c>
      <c r="N1128">
        <v>0.09</v>
      </c>
      <c r="O1128">
        <v>-186</v>
      </c>
      <c r="P1128">
        <v>5</v>
      </c>
      <c r="Q1128" t="s">
        <v>55</v>
      </c>
      <c r="R1128" t="s">
        <v>61</v>
      </c>
    </row>
    <row r="1129" spans="1:18">
      <c r="A1129">
        <v>11128</v>
      </c>
      <c r="B1129" s="2">
        <v>45324</v>
      </c>
      <c r="C1129" s="2">
        <v>45326</v>
      </c>
      <c r="D1129" s="2">
        <v>45330</v>
      </c>
      <c r="E1129" t="s">
        <v>19</v>
      </c>
      <c r="F1129" t="s">
        <v>22</v>
      </c>
      <c r="G1129" t="s">
        <v>28</v>
      </c>
      <c r="H1129" t="s">
        <v>33</v>
      </c>
      <c r="I1129" t="s">
        <v>36</v>
      </c>
      <c r="J1129" t="s">
        <v>38</v>
      </c>
      <c r="K1129" t="s">
        <v>47</v>
      </c>
      <c r="L1129" t="s">
        <v>51</v>
      </c>
      <c r="M1129">
        <v>34699</v>
      </c>
      <c r="N1129">
        <v>0.17</v>
      </c>
      <c r="O1129">
        <v>6781</v>
      </c>
      <c r="P1129">
        <v>11</v>
      </c>
      <c r="Q1129" t="s">
        <v>57</v>
      </c>
      <c r="R1129" t="s">
        <v>61</v>
      </c>
    </row>
    <row r="1130" spans="1:18">
      <c r="A1130">
        <v>11129</v>
      </c>
      <c r="B1130" s="2">
        <v>45325</v>
      </c>
      <c r="C1130" s="2">
        <v>45327</v>
      </c>
      <c r="D1130" s="2">
        <v>45331</v>
      </c>
      <c r="E1130" t="s">
        <v>21</v>
      </c>
      <c r="F1130" t="s">
        <v>22</v>
      </c>
      <c r="G1130" t="s">
        <v>26</v>
      </c>
      <c r="H1130" t="s">
        <v>31</v>
      </c>
      <c r="I1130" t="s">
        <v>34</v>
      </c>
      <c r="J1130" t="s">
        <v>42</v>
      </c>
      <c r="K1130" t="s">
        <v>47</v>
      </c>
      <c r="L1130" t="s">
        <v>51</v>
      </c>
      <c r="M1130">
        <v>9752</v>
      </c>
      <c r="N1130">
        <v>0.38</v>
      </c>
      <c r="O1130">
        <v>12327</v>
      </c>
      <c r="P1130">
        <v>20</v>
      </c>
      <c r="Q1130" t="s">
        <v>58</v>
      </c>
      <c r="R1130" t="s">
        <v>59</v>
      </c>
    </row>
    <row r="1131" spans="1:18">
      <c r="A1131">
        <v>11130</v>
      </c>
      <c r="B1131" s="2">
        <v>45326</v>
      </c>
      <c r="C1131" s="2">
        <v>45328</v>
      </c>
      <c r="D1131" s="2">
        <v>45332</v>
      </c>
      <c r="E1131" t="s">
        <v>19</v>
      </c>
      <c r="F1131" t="s">
        <v>22</v>
      </c>
      <c r="G1131" t="s">
        <v>28</v>
      </c>
      <c r="H1131" t="s">
        <v>32</v>
      </c>
      <c r="I1131" t="s">
        <v>34</v>
      </c>
      <c r="J1131" t="s">
        <v>42</v>
      </c>
      <c r="K1131" t="s">
        <v>46</v>
      </c>
      <c r="L1131" t="s">
        <v>51</v>
      </c>
      <c r="M1131">
        <v>26689</v>
      </c>
      <c r="N1131">
        <v>0.23</v>
      </c>
      <c r="O1131">
        <v>10527</v>
      </c>
      <c r="P1131">
        <v>18</v>
      </c>
      <c r="Q1131" t="s">
        <v>58</v>
      </c>
      <c r="R1131" t="s">
        <v>60</v>
      </c>
    </row>
    <row r="1132" spans="1:18">
      <c r="A1132">
        <v>11131</v>
      </c>
      <c r="B1132" s="2">
        <v>45327</v>
      </c>
      <c r="C1132" s="2">
        <v>45329</v>
      </c>
      <c r="D1132" s="2">
        <v>45333</v>
      </c>
      <c r="E1132" t="s">
        <v>19</v>
      </c>
      <c r="F1132" t="s">
        <v>22</v>
      </c>
      <c r="G1132" t="s">
        <v>27</v>
      </c>
      <c r="H1132" t="s">
        <v>31</v>
      </c>
      <c r="I1132" t="s">
        <v>35</v>
      </c>
      <c r="J1132" t="s">
        <v>38</v>
      </c>
      <c r="K1132" t="s">
        <v>48</v>
      </c>
      <c r="L1132" t="s">
        <v>53</v>
      </c>
      <c r="M1132">
        <v>29578</v>
      </c>
      <c r="N1132">
        <v>0.34</v>
      </c>
      <c r="O1132">
        <v>3024</v>
      </c>
      <c r="P1132">
        <v>19</v>
      </c>
      <c r="Q1132" t="s">
        <v>56</v>
      </c>
      <c r="R1132" t="s">
        <v>61</v>
      </c>
    </row>
    <row r="1133" spans="1:18">
      <c r="A1133">
        <v>11132</v>
      </c>
      <c r="B1133" s="2">
        <v>45328</v>
      </c>
      <c r="C1133" s="2">
        <v>45330</v>
      </c>
      <c r="D1133" s="2">
        <v>45334</v>
      </c>
      <c r="E1133" t="s">
        <v>21</v>
      </c>
      <c r="F1133" t="s">
        <v>22</v>
      </c>
      <c r="G1133" t="s">
        <v>24</v>
      </c>
      <c r="H1133" t="s">
        <v>32</v>
      </c>
      <c r="I1133" t="s">
        <v>36</v>
      </c>
      <c r="J1133" t="s">
        <v>37</v>
      </c>
      <c r="K1133" t="s">
        <v>44</v>
      </c>
      <c r="L1133" t="s">
        <v>52</v>
      </c>
      <c r="M1133">
        <v>42587</v>
      </c>
      <c r="N1133">
        <v>0.09</v>
      </c>
      <c r="O1133">
        <v>2662</v>
      </c>
      <c r="P1133">
        <v>21</v>
      </c>
      <c r="Q1133" t="s">
        <v>54</v>
      </c>
      <c r="R1133" t="s">
        <v>62</v>
      </c>
    </row>
    <row r="1134" spans="1:18">
      <c r="A1134">
        <v>11133</v>
      </c>
      <c r="B1134" s="2">
        <v>45329</v>
      </c>
      <c r="C1134" s="2">
        <v>45331</v>
      </c>
      <c r="D1134" s="2">
        <v>45335</v>
      </c>
      <c r="E1134" t="s">
        <v>20</v>
      </c>
      <c r="F1134" t="s">
        <v>22</v>
      </c>
      <c r="G1134" t="s">
        <v>23</v>
      </c>
      <c r="H1134" t="s">
        <v>25</v>
      </c>
      <c r="I1134" t="s">
        <v>34</v>
      </c>
      <c r="J1134" t="s">
        <v>43</v>
      </c>
      <c r="K1134" t="s">
        <v>49</v>
      </c>
      <c r="L1134" t="s">
        <v>53</v>
      </c>
      <c r="M1134">
        <v>47849</v>
      </c>
      <c r="N1134">
        <v>0.24</v>
      </c>
      <c r="O1134">
        <v>15214</v>
      </c>
      <c r="P1134">
        <v>18</v>
      </c>
      <c r="Q1134" t="s">
        <v>54</v>
      </c>
      <c r="R1134" t="s">
        <v>61</v>
      </c>
    </row>
    <row r="1135" spans="1:18">
      <c r="A1135">
        <v>11134</v>
      </c>
      <c r="B1135" s="2">
        <v>45330</v>
      </c>
      <c r="C1135" s="2">
        <v>45332</v>
      </c>
      <c r="D1135" s="2">
        <v>45336</v>
      </c>
      <c r="E1135" t="s">
        <v>18</v>
      </c>
      <c r="F1135" t="s">
        <v>22</v>
      </c>
      <c r="G1135" t="s">
        <v>24</v>
      </c>
      <c r="H1135" t="s">
        <v>31</v>
      </c>
      <c r="I1135" t="s">
        <v>35</v>
      </c>
      <c r="J1135" t="s">
        <v>38</v>
      </c>
      <c r="K1135" t="s">
        <v>49</v>
      </c>
      <c r="L1135" t="s">
        <v>51</v>
      </c>
      <c r="M1135">
        <v>23107</v>
      </c>
      <c r="N1135">
        <v>0.18</v>
      </c>
      <c r="O1135">
        <v>14704</v>
      </c>
      <c r="P1135">
        <v>10</v>
      </c>
      <c r="Q1135" t="s">
        <v>55</v>
      </c>
      <c r="R1135" t="s">
        <v>59</v>
      </c>
    </row>
    <row r="1136" spans="1:18">
      <c r="A1136">
        <v>11135</v>
      </c>
      <c r="B1136" s="2">
        <v>45331</v>
      </c>
      <c r="C1136" s="2">
        <v>45333</v>
      </c>
      <c r="D1136" s="2">
        <v>45337</v>
      </c>
      <c r="E1136" t="s">
        <v>19</v>
      </c>
      <c r="F1136" t="s">
        <v>22</v>
      </c>
      <c r="G1136" t="s">
        <v>24</v>
      </c>
      <c r="H1136" t="s">
        <v>31</v>
      </c>
      <c r="I1136" t="s">
        <v>35</v>
      </c>
      <c r="J1136" t="s">
        <v>41</v>
      </c>
      <c r="K1136" t="s">
        <v>44</v>
      </c>
      <c r="L1136" t="s">
        <v>51</v>
      </c>
      <c r="M1136">
        <v>5816</v>
      </c>
      <c r="N1136">
        <v>0.11</v>
      </c>
      <c r="O1136">
        <v>11849</v>
      </c>
      <c r="P1136">
        <v>9</v>
      </c>
      <c r="Q1136" t="s">
        <v>57</v>
      </c>
      <c r="R1136" t="s">
        <v>60</v>
      </c>
    </row>
    <row r="1137" spans="1:18">
      <c r="A1137">
        <v>11136</v>
      </c>
      <c r="B1137" s="2">
        <v>45332</v>
      </c>
      <c r="C1137" s="2">
        <v>45334</v>
      </c>
      <c r="D1137" s="2">
        <v>45338</v>
      </c>
      <c r="E1137" t="s">
        <v>21</v>
      </c>
      <c r="F1137" t="s">
        <v>22</v>
      </c>
      <c r="G1137" t="s">
        <v>24</v>
      </c>
      <c r="H1137" t="s">
        <v>31</v>
      </c>
      <c r="I1137" t="s">
        <v>36</v>
      </c>
      <c r="J1137" t="s">
        <v>40</v>
      </c>
      <c r="K1137" t="s">
        <v>46</v>
      </c>
      <c r="L1137" t="s">
        <v>53</v>
      </c>
      <c r="M1137">
        <v>66033</v>
      </c>
      <c r="N1137">
        <v>0.03</v>
      </c>
      <c r="O1137">
        <v>2570</v>
      </c>
      <c r="P1137">
        <v>15</v>
      </c>
      <c r="Q1137" t="s">
        <v>58</v>
      </c>
      <c r="R1137" t="s">
        <v>61</v>
      </c>
    </row>
    <row r="1138" spans="1:18">
      <c r="A1138">
        <v>11137</v>
      </c>
      <c r="B1138" s="2">
        <v>45333</v>
      </c>
      <c r="C1138" s="2">
        <v>45335</v>
      </c>
      <c r="D1138" s="2">
        <v>45339</v>
      </c>
      <c r="E1138" t="s">
        <v>19</v>
      </c>
      <c r="F1138" t="s">
        <v>22</v>
      </c>
      <c r="G1138" t="s">
        <v>24</v>
      </c>
      <c r="H1138" t="s">
        <v>31</v>
      </c>
      <c r="I1138" t="s">
        <v>36</v>
      </c>
      <c r="J1138" t="s">
        <v>38</v>
      </c>
      <c r="K1138" t="s">
        <v>46</v>
      </c>
      <c r="L1138" t="s">
        <v>53</v>
      </c>
      <c r="M1138">
        <v>35764</v>
      </c>
      <c r="N1138">
        <v>0.26</v>
      </c>
      <c r="O1138">
        <v>45</v>
      </c>
      <c r="P1138">
        <v>21</v>
      </c>
      <c r="Q1138" t="s">
        <v>56</v>
      </c>
      <c r="R1138" t="s">
        <v>62</v>
      </c>
    </row>
    <row r="1139" spans="1:18">
      <c r="A1139">
        <v>11138</v>
      </c>
      <c r="B1139" s="2">
        <v>45334</v>
      </c>
      <c r="C1139" s="2">
        <v>45336</v>
      </c>
      <c r="D1139" s="2">
        <v>45340</v>
      </c>
      <c r="E1139" t="s">
        <v>20</v>
      </c>
      <c r="F1139" t="s">
        <v>22</v>
      </c>
      <c r="G1139" t="s">
        <v>24</v>
      </c>
      <c r="H1139" t="s">
        <v>25</v>
      </c>
      <c r="I1139" t="s">
        <v>34</v>
      </c>
      <c r="J1139" t="s">
        <v>38</v>
      </c>
      <c r="K1139" t="s">
        <v>47</v>
      </c>
      <c r="L1139" t="s">
        <v>53</v>
      </c>
      <c r="M1139">
        <v>65760</v>
      </c>
      <c r="N1139">
        <v>0.35</v>
      </c>
      <c r="O1139">
        <v>15795</v>
      </c>
      <c r="P1139">
        <v>23</v>
      </c>
      <c r="Q1139" t="s">
        <v>58</v>
      </c>
      <c r="R1139" t="s">
        <v>61</v>
      </c>
    </row>
    <row r="1140" spans="1:18">
      <c r="A1140">
        <v>11139</v>
      </c>
      <c r="B1140" s="2">
        <v>45335</v>
      </c>
      <c r="C1140" s="2">
        <v>45337</v>
      </c>
      <c r="D1140" s="2">
        <v>45341</v>
      </c>
      <c r="E1140" t="s">
        <v>19</v>
      </c>
      <c r="F1140" t="s">
        <v>22</v>
      </c>
      <c r="G1140" t="s">
        <v>24</v>
      </c>
      <c r="H1140" t="s">
        <v>29</v>
      </c>
      <c r="I1140" t="s">
        <v>34</v>
      </c>
      <c r="J1140" t="s">
        <v>39</v>
      </c>
      <c r="K1140" t="s">
        <v>49</v>
      </c>
      <c r="L1140" t="s">
        <v>51</v>
      </c>
      <c r="M1140">
        <v>73600</v>
      </c>
      <c r="N1140">
        <v>0.09</v>
      </c>
      <c r="O1140">
        <v>11130</v>
      </c>
      <c r="P1140">
        <v>5</v>
      </c>
      <c r="Q1140" t="s">
        <v>57</v>
      </c>
      <c r="R1140" t="s">
        <v>61</v>
      </c>
    </row>
    <row r="1141" spans="1:18">
      <c r="A1141">
        <v>11140</v>
      </c>
      <c r="B1141" s="2">
        <v>45336</v>
      </c>
      <c r="C1141" s="2">
        <v>45338</v>
      </c>
      <c r="D1141" s="2">
        <v>45342</v>
      </c>
      <c r="E1141" t="s">
        <v>21</v>
      </c>
      <c r="F1141" t="s">
        <v>22</v>
      </c>
      <c r="G1141" t="s">
        <v>25</v>
      </c>
      <c r="H1141" t="s">
        <v>29</v>
      </c>
      <c r="I1141" t="s">
        <v>34</v>
      </c>
      <c r="J1141" t="s">
        <v>39</v>
      </c>
      <c r="K1141" t="s">
        <v>48</v>
      </c>
      <c r="L1141" t="s">
        <v>53</v>
      </c>
      <c r="M1141">
        <v>10264</v>
      </c>
      <c r="N1141">
        <v>0.02</v>
      </c>
      <c r="O1141">
        <v>17887</v>
      </c>
      <c r="P1141">
        <v>2</v>
      </c>
      <c r="Q1141" t="s">
        <v>58</v>
      </c>
      <c r="R1141" t="s">
        <v>62</v>
      </c>
    </row>
    <row r="1142" spans="1:18">
      <c r="A1142">
        <v>11141</v>
      </c>
      <c r="B1142" s="2">
        <v>45337</v>
      </c>
      <c r="C1142" s="2">
        <v>45339</v>
      </c>
      <c r="D1142" s="2">
        <v>45343</v>
      </c>
      <c r="E1142" t="s">
        <v>18</v>
      </c>
      <c r="F1142" t="s">
        <v>22</v>
      </c>
      <c r="G1142" t="s">
        <v>25</v>
      </c>
      <c r="H1142" t="s">
        <v>33</v>
      </c>
      <c r="I1142" t="s">
        <v>34</v>
      </c>
      <c r="J1142" t="s">
        <v>38</v>
      </c>
      <c r="K1142" t="s">
        <v>49</v>
      </c>
      <c r="L1142" t="s">
        <v>53</v>
      </c>
      <c r="M1142">
        <v>27680</v>
      </c>
      <c r="N1142">
        <v>0.02</v>
      </c>
      <c r="O1142">
        <v>6602</v>
      </c>
      <c r="P1142">
        <v>8</v>
      </c>
      <c r="Q1142" t="s">
        <v>54</v>
      </c>
      <c r="R1142" t="s">
        <v>59</v>
      </c>
    </row>
    <row r="1143" spans="1:18">
      <c r="A1143">
        <v>11142</v>
      </c>
      <c r="B1143" s="2">
        <v>45338</v>
      </c>
      <c r="C1143" s="2">
        <v>45340</v>
      </c>
      <c r="D1143" s="2">
        <v>45344</v>
      </c>
      <c r="E1143" t="s">
        <v>21</v>
      </c>
      <c r="F1143" t="s">
        <v>22</v>
      </c>
      <c r="G1143" t="s">
        <v>26</v>
      </c>
      <c r="H1143" t="s">
        <v>32</v>
      </c>
      <c r="I1143" t="s">
        <v>36</v>
      </c>
      <c r="J1143" t="s">
        <v>40</v>
      </c>
      <c r="K1143" t="s">
        <v>49</v>
      </c>
      <c r="L1143" t="s">
        <v>53</v>
      </c>
      <c r="M1143">
        <v>28323</v>
      </c>
      <c r="N1143">
        <v>0.22</v>
      </c>
      <c r="O1143">
        <v>240</v>
      </c>
      <c r="P1143">
        <v>18</v>
      </c>
      <c r="Q1143" t="s">
        <v>55</v>
      </c>
      <c r="R1143" t="s">
        <v>62</v>
      </c>
    </row>
    <row r="1144" spans="1:18">
      <c r="A1144">
        <v>11143</v>
      </c>
      <c r="B1144" s="2">
        <v>45339</v>
      </c>
      <c r="C1144" s="2">
        <v>45341</v>
      </c>
      <c r="D1144" s="2">
        <v>45345</v>
      </c>
      <c r="E1144" t="s">
        <v>19</v>
      </c>
      <c r="F1144" t="s">
        <v>22</v>
      </c>
      <c r="G1144" t="s">
        <v>25</v>
      </c>
      <c r="H1144" t="s">
        <v>25</v>
      </c>
      <c r="I1144" t="s">
        <v>34</v>
      </c>
      <c r="J1144" t="s">
        <v>42</v>
      </c>
      <c r="K1144" t="s">
        <v>46</v>
      </c>
      <c r="L1144" t="s">
        <v>51</v>
      </c>
      <c r="M1144">
        <v>50742</v>
      </c>
      <c r="N1144">
        <v>0.02</v>
      </c>
      <c r="O1144">
        <v>5204</v>
      </c>
      <c r="P1144">
        <v>2</v>
      </c>
      <c r="Q1144" t="s">
        <v>57</v>
      </c>
      <c r="R1144" t="s">
        <v>62</v>
      </c>
    </row>
    <row r="1145" spans="1:18">
      <c r="A1145">
        <v>11144</v>
      </c>
      <c r="B1145" s="2">
        <v>45340</v>
      </c>
      <c r="C1145" s="2">
        <v>45342</v>
      </c>
      <c r="D1145" s="2">
        <v>45346</v>
      </c>
      <c r="E1145" t="s">
        <v>19</v>
      </c>
      <c r="F1145" t="s">
        <v>22</v>
      </c>
      <c r="G1145" t="s">
        <v>25</v>
      </c>
      <c r="H1145" t="s">
        <v>30</v>
      </c>
      <c r="I1145" t="s">
        <v>36</v>
      </c>
      <c r="J1145" t="s">
        <v>37</v>
      </c>
      <c r="K1145" t="s">
        <v>44</v>
      </c>
      <c r="L1145" t="s">
        <v>53</v>
      </c>
      <c r="M1145">
        <v>66979</v>
      </c>
      <c r="N1145">
        <v>0.28000000000000003</v>
      </c>
      <c r="O1145">
        <v>9342</v>
      </c>
      <c r="P1145">
        <v>3</v>
      </c>
      <c r="Q1145" t="s">
        <v>55</v>
      </c>
      <c r="R1145" t="s">
        <v>62</v>
      </c>
    </row>
    <row r="1146" spans="1:18">
      <c r="A1146">
        <v>11145</v>
      </c>
      <c r="B1146" s="2">
        <v>45341</v>
      </c>
      <c r="C1146" s="2">
        <v>45343</v>
      </c>
      <c r="D1146" s="2">
        <v>45347</v>
      </c>
      <c r="E1146" t="s">
        <v>21</v>
      </c>
      <c r="F1146" t="s">
        <v>22</v>
      </c>
      <c r="G1146" t="s">
        <v>26</v>
      </c>
      <c r="H1146" t="s">
        <v>33</v>
      </c>
      <c r="I1146" t="s">
        <v>34</v>
      </c>
      <c r="J1146" t="s">
        <v>41</v>
      </c>
      <c r="K1146" t="s">
        <v>48</v>
      </c>
      <c r="L1146" t="s">
        <v>52</v>
      </c>
      <c r="M1146">
        <v>1830</v>
      </c>
      <c r="N1146">
        <v>0.23</v>
      </c>
      <c r="O1146">
        <v>12137</v>
      </c>
      <c r="P1146">
        <v>1</v>
      </c>
      <c r="Q1146" t="s">
        <v>54</v>
      </c>
      <c r="R1146" t="s">
        <v>60</v>
      </c>
    </row>
    <row r="1147" spans="1:18">
      <c r="A1147">
        <v>11146</v>
      </c>
      <c r="B1147" s="2">
        <v>45342</v>
      </c>
      <c r="C1147" s="2">
        <v>45344</v>
      </c>
      <c r="D1147" s="2">
        <v>45348</v>
      </c>
      <c r="E1147" t="s">
        <v>18</v>
      </c>
      <c r="F1147" t="s">
        <v>22</v>
      </c>
      <c r="G1147" t="s">
        <v>28</v>
      </c>
      <c r="H1147" t="s">
        <v>31</v>
      </c>
      <c r="I1147" t="s">
        <v>34</v>
      </c>
      <c r="J1147" t="s">
        <v>41</v>
      </c>
      <c r="K1147" t="s">
        <v>47</v>
      </c>
      <c r="L1147" t="s">
        <v>51</v>
      </c>
      <c r="M1147">
        <v>69690</v>
      </c>
      <c r="N1147">
        <v>0.15</v>
      </c>
      <c r="O1147">
        <v>13770</v>
      </c>
      <c r="P1147">
        <v>4</v>
      </c>
      <c r="Q1147" t="s">
        <v>54</v>
      </c>
      <c r="R1147" t="s">
        <v>59</v>
      </c>
    </row>
    <row r="1148" spans="1:18">
      <c r="A1148">
        <v>11147</v>
      </c>
      <c r="B1148" s="2">
        <v>45343</v>
      </c>
      <c r="C1148" s="2">
        <v>45345</v>
      </c>
      <c r="D1148" s="2">
        <v>45349</v>
      </c>
      <c r="E1148" t="s">
        <v>18</v>
      </c>
      <c r="F1148" t="s">
        <v>22</v>
      </c>
      <c r="G1148" t="s">
        <v>28</v>
      </c>
      <c r="H1148" t="s">
        <v>33</v>
      </c>
      <c r="I1148" t="s">
        <v>34</v>
      </c>
      <c r="J1148" t="s">
        <v>41</v>
      </c>
      <c r="K1148" t="s">
        <v>45</v>
      </c>
      <c r="L1148" t="s">
        <v>53</v>
      </c>
      <c r="M1148">
        <v>7892</v>
      </c>
      <c r="N1148">
        <v>0.13</v>
      </c>
      <c r="O1148">
        <v>8711</v>
      </c>
      <c r="P1148">
        <v>9</v>
      </c>
      <c r="Q1148" t="s">
        <v>55</v>
      </c>
      <c r="R1148" t="s">
        <v>59</v>
      </c>
    </row>
    <row r="1149" spans="1:18">
      <c r="A1149">
        <v>11148</v>
      </c>
      <c r="B1149" s="2">
        <v>45344</v>
      </c>
      <c r="C1149" s="2">
        <v>45346</v>
      </c>
      <c r="D1149" s="2">
        <v>45350</v>
      </c>
      <c r="E1149" t="s">
        <v>18</v>
      </c>
      <c r="F1149" t="s">
        <v>22</v>
      </c>
      <c r="G1149" t="s">
        <v>27</v>
      </c>
      <c r="H1149" t="s">
        <v>32</v>
      </c>
      <c r="I1149" t="s">
        <v>36</v>
      </c>
      <c r="J1149" t="s">
        <v>39</v>
      </c>
      <c r="K1149" t="s">
        <v>49</v>
      </c>
      <c r="L1149" t="s">
        <v>52</v>
      </c>
      <c r="M1149">
        <v>63645</v>
      </c>
      <c r="N1149">
        <v>0.33</v>
      </c>
      <c r="O1149">
        <v>12309</v>
      </c>
      <c r="P1149">
        <v>6</v>
      </c>
      <c r="Q1149" t="s">
        <v>54</v>
      </c>
      <c r="R1149" t="s">
        <v>60</v>
      </c>
    </row>
    <row r="1150" spans="1:18">
      <c r="A1150">
        <v>11149</v>
      </c>
      <c r="B1150" s="2">
        <v>45345</v>
      </c>
      <c r="C1150" s="2">
        <v>45347</v>
      </c>
      <c r="D1150" s="2">
        <v>45351</v>
      </c>
      <c r="E1150" t="s">
        <v>20</v>
      </c>
      <c r="F1150" t="s">
        <v>22</v>
      </c>
      <c r="G1150" t="s">
        <v>26</v>
      </c>
      <c r="H1150" t="s">
        <v>29</v>
      </c>
      <c r="I1150" t="s">
        <v>36</v>
      </c>
      <c r="J1150" t="s">
        <v>39</v>
      </c>
      <c r="K1150" t="s">
        <v>45</v>
      </c>
      <c r="L1150" t="s">
        <v>53</v>
      </c>
      <c r="M1150">
        <v>30557</v>
      </c>
      <c r="N1150">
        <v>0.27</v>
      </c>
      <c r="O1150">
        <v>-1556</v>
      </c>
      <c r="P1150">
        <v>13</v>
      </c>
      <c r="Q1150" t="s">
        <v>54</v>
      </c>
      <c r="R1150" t="s">
        <v>59</v>
      </c>
    </row>
    <row r="1151" spans="1:18">
      <c r="A1151">
        <v>11150</v>
      </c>
      <c r="B1151" s="2">
        <v>45346</v>
      </c>
      <c r="C1151" s="2">
        <v>45348</v>
      </c>
      <c r="D1151" s="2">
        <v>45352</v>
      </c>
      <c r="E1151" t="s">
        <v>18</v>
      </c>
      <c r="F1151" t="s">
        <v>22</v>
      </c>
      <c r="G1151" t="s">
        <v>28</v>
      </c>
      <c r="H1151" t="s">
        <v>25</v>
      </c>
      <c r="I1151" t="s">
        <v>36</v>
      </c>
      <c r="J1151" t="s">
        <v>41</v>
      </c>
      <c r="K1151" t="s">
        <v>45</v>
      </c>
      <c r="L1151" t="s">
        <v>52</v>
      </c>
      <c r="M1151">
        <v>74959</v>
      </c>
      <c r="N1151">
        <v>0.13</v>
      </c>
      <c r="O1151">
        <v>10796</v>
      </c>
      <c r="P1151">
        <v>23</v>
      </c>
      <c r="Q1151" t="s">
        <v>58</v>
      </c>
      <c r="R1151" t="s">
        <v>60</v>
      </c>
    </row>
    <row r="1152" spans="1:18">
      <c r="A1152">
        <v>11151</v>
      </c>
      <c r="B1152" s="2">
        <v>45347</v>
      </c>
      <c r="C1152" s="2">
        <v>45349</v>
      </c>
      <c r="D1152" s="2">
        <v>45353</v>
      </c>
      <c r="E1152" t="s">
        <v>20</v>
      </c>
      <c r="F1152" t="s">
        <v>22</v>
      </c>
      <c r="G1152" t="s">
        <v>23</v>
      </c>
      <c r="H1152" t="s">
        <v>30</v>
      </c>
      <c r="I1152" t="s">
        <v>34</v>
      </c>
      <c r="J1152" t="s">
        <v>41</v>
      </c>
      <c r="K1152" t="s">
        <v>50</v>
      </c>
      <c r="L1152" t="s">
        <v>51</v>
      </c>
      <c r="M1152">
        <v>1363</v>
      </c>
      <c r="N1152">
        <v>0.05</v>
      </c>
      <c r="O1152">
        <v>11394</v>
      </c>
      <c r="P1152">
        <v>4</v>
      </c>
      <c r="Q1152" t="s">
        <v>58</v>
      </c>
      <c r="R1152" t="s">
        <v>60</v>
      </c>
    </row>
    <row r="1153" spans="1:18">
      <c r="A1153">
        <v>11152</v>
      </c>
      <c r="B1153" s="2">
        <v>45348</v>
      </c>
      <c r="C1153" s="2">
        <v>45350</v>
      </c>
      <c r="D1153" s="2">
        <v>45354</v>
      </c>
      <c r="E1153" t="s">
        <v>20</v>
      </c>
      <c r="F1153" t="s">
        <v>22</v>
      </c>
      <c r="G1153" t="s">
        <v>26</v>
      </c>
      <c r="H1153" t="s">
        <v>33</v>
      </c>
      <c r="I1153" t="s">
        <v>36</v>
      </c>
      <c r="J1153" t="s">
        <v>38</v>
      </c>
      <c r="K1153" t="s">
        <v>47</v>
      </c>
      <c r="L1153" t="s">
        <v>53</v>
      </c>
      <c r="M1153">
        <v>62782</v>
      </c>
      <c r="N1153">
        <v>0.16</v>
      </c>
      <c r="O1153">
        <v>14850</v>
      </c>
      <c r="P1153">
        <v>14</v>
      </c>
      <c r="Q1153" t="s">
        <v>57</v>
      </c>
      <c r="R1153" t="s">
        <v>60</v>
      </c>
    </row>
    <row r="1154" spans="1:18">
      <c r="A1154">
        <v>11153</v>
      </c>
      <c r="B1154" s="2">
        <v>45349</v>
      </c>
      <c r="C1154" s="2">
        <v>45351</v>
      </c>
      <c r="D1154" s="2">
        <v>45355</v>
      </c>
      <c r="E1154" t="s">
        <v>21</v>
      </c>
      <c r="F1154" t="s">
        <v>22</v>
      </c>
      <c r="G1154" t="s">
        <v>23</v>
      </c>
      <c r="H1154" t="s">
        <v>30</v>
      </c>
      <c r="I1154" t="s">
        <v>36</v>
      </c>
      <c r="J1154" t="s">
        <v>39</v>
      </c>
      <c r="K1154" t="s">
        <v>44</v>
      </c>
      <c r="L1154" t="s">
        <v>53</v>
      </c>
      <c r="M1154">
        <v>74499</v>
      </c>
      <c r="N1154">
        <v>0.16</v>
      </c>
      <c r="O1154">
        <v>5869</v>
      </c>
      <c r="P1154">
        <v>7</v>
      </c>
      <c r="Q1154" t="s">
        <v>54</v>
      </c>
      <c r="R1154" t="s">
        <v>62</v>
      </c>
    </row>
    <row r="1155" spans="1:18">
      <c r="A1155">
        <v>11154</v>
      </c>
      <c r="B1155" s="2">
        <v>45350</v>
      </c>
      <c r="C1155" s="2">
        <v>45352</v>
      </c>
      <c r="D1155" s="2">
        <v>45356</v>
      </c>
      <c r="E1155" t="s">
        <v>20</v>
      </c>
      <c r="F1155" t="s">
        <v>22</v>
      </c>
      <c r="G1155" t="s">
        <v>23</v>
      </c>
      <c r="H1155" t="s">
        <v>30</v>
      </c>
      <c r="I1155" t="s">
        <v>35</v>
      </c>
      <c r="J1155" t="s">
        <v>42</v>
      </c>
      <c r="K1155" t="s">
        <v>44</v>
      </c>
      <c r="L1155" t="s">
        <v>52</v>
      </c>
      <c r="M1155">
        <v>22621</v>
      </c>
      <c r="N1155">
        <v>0.05</v>
      </c>
      <c r="O1155">
        <v>5893</v>
      </c>
      <c r="P1155">
        <v>10</v>
      </c>
      <c r="Q1155" t="s">
        <v>58</v>
      </c>
      <c r="R1155" t="s">
        <v>59</v>
      </c>
    </row>
    <row r="1156" spans="1:18">
      <c r="A1156">
        <v>11155</v>
      </c>
      <c r="B1156" s="2">
        <v>45351</v>
      </c>
      <c r="C1156" s="2">
        <v>45353</v>
      </c>
      <c r="D1156" s="2">
        <v>45357</v>
      </c>
      <c r="E1156" t="s">
        <v>19</v>
      </c>
      <c r="F1156" t="s">
        <v>22</v>
      </c>
      <c r="G1156" t="s">
        <v>28</v>
      </c>
      <c r="H1156" t="s">
        <v>25</v>
      </c>
      <c r="I1156" t="s">
        <v>36</v>
      </c>
      <c r="J1156" t="s">
        <v>40</v>
      </c>
      <c r="K1156" t="s">
        <v>46</v>
      </c>
      <c r="L1156" t="s">
        <v>52</v>
      </c>
      <c r="M1156">
        <v>49225</v>
      </c>
      <c r="N1156">
        <v>0.12</v>
      </c>
      <c r="O1156">
        <v>4439</v>
      </c>
      <c r="P1156">
        <v>11</v>
      </c>
      <c r="Q1156" t="s">
        <v>57</v>
      </c>
      <c r="R1156" t="s">
        <v>59</v>
      </c>
    </row>
    <row r="1157" spans="1:18">
      <c r="A1157">
        <v>11156</v>
      </c>
      <c r="B1157" s="2">
        <v>45352</v>
      </c>
      <c r="C1157" s="2">
        <v>45354</v>
      </c>
      <c r="D1157" s="2">
        <v>45358</v>
      </c>
      <c r="E1157" t="s">
        <v>21</v>
      </c>
      <c r="F1157" t="s">
        <v>22</v>
      </c>
      <c r="G1157" t="s">
        <v>26</v>
      </c>
      <c r="H1157" t="s">
        <v>32</v>
      </c>
      <c r="I1157" t="s">
        <v>35</v>
      </c>
      <c r="J1157" t="s">
        <v>42</v>
      </c>
      <c r="K1157" t="s">
        <v>45</v>
      </c>
      <c r="L1157" t="s">
        <v>53</v>
      </c>
      <c r="M1157">
        <v>59896</v>
      </c>
      <c r="N1157">
        <v>0.14000000000000001</v>
      </c>
      <c r="O1157">
        <v>-574</v>
      </c>
      <c r="P1157">
        <v>9</v>
      </c>
      <c r="Q1157" t="s">
        <v>54</v>
      </c>
      <c r="R1157" t="s">
        <v>62</v>
      </c>
    </row>
    <row r="1158" spans="1:18">
      <c r="A1158">
        <v>11157</v>
      </c>
      <c r="B1158" s="2">
        <v>45353</v>
      </c>
      <c r="C1158" s="2">
        <v>45355</v>
      </c>
      <c r="D1158" s="2">
        <v>45359</v>
      </c>
      <c r="E1158" t="s">
        <v>19</v>
      </c>
      <c r="F1158" t="s">
        <v>22</v>
      </c>
      <c r="G1158" t="s">
        <v>23</v>
      </c>
      <c r="H1158" t="s">
        <v>32</v>
      </c>
      <c r="I1158" t="s">
        <v>34</v>
      </c>
      <c r="J1158" t="s">
        <v>43</v>
      </c>
      <c r="K1158" t="s">
        <v>49</v>
      </c>
      <c r="L1158" t="s">
        <v>53</v>
      </c>
      <c r="M1158">
        <v>22062</v>
      </c>
      <c r="N1158">
        <v>0.17</v>
      </c>
      <c r="O1158">
        <v>17933</v>
      </c>
      <c r="P1158">
        <v>3</v>
      </c>
      <c r="Q1158" t="s">
        <v>55</v>
      </c>
      <c r="R1158" t="s">
        <v>60</v>
      </c>
    </row>
    <row r="1159" spans="1:18">
      <c r="A1159">
        <v>11158</v>
      </c>
      <c r="B1159" s="2">
        <v>45354</v>
      </c>
      <c r="C1159" s="2">
        <v>45356</v>
      </c>
      <c r="D1159" s="2">
        <v>45360</v>
      </c>
      <c r="E1159" t="s">
        <v>20</v>
      </c>
      <c r="F1159" t="s">
        <v>22</v>
      </c>
      <c r="G1159" t="s">
        <v>23</v>
      </c>
      <c r="H1159" t="s">
        <v>32</v>
      </c>
      <c r="I1159" t="s">
        <v>34</v>
      </c>
      <c r="J1159" t="s">
        <v>40</v>
      </c>
      <c r="K1159" t="s">
        <v>48</v>
      </c>
      <c r="L1159" t="s">
        <v>53</v>
      </c>
      <c r="M1159">
        <v>31089</v>
      </c>
      <c r="N1159">
        <v>0.28000000000000003</v>
      </c>
      <c r="O1159">
        <v>17000</v>
      </c>
      <c r="P1159">
        <v>22</v>
      </c>
      <c r="Q1159" t="s">
        <v>54</v>
      </c>
      <c r="R1159" t="s">
        <v>61</v>
      </c>
    </row>
    <row r="1160" spans="1:18">
      <c r="A1160">
        <v>11159</v>
      </c>
      <c r="B1160" s="2">
        <v>45355</v>
      </c>
      <c r="C1160" s="2">
        <v>45357</v>
      </c>
      <c r="D1160" s="2">
        <v>45361</v>
      </c>
      <c r="E1160" t="s">
        <v>18</v>
      </c>
      <c r="F1160" t="s">
        <v>22</v>
      </c>
      <c r="G1160" t="s">
        <v>24</v>
      </c>
      <c r="H1160" t="s">
        <v>29</v>
      </c>
      <c r="I1160" t="s">
        <v>36</v>
      </c>
      <c r="J1160" t="s">
        <v>41</v>
      </c>
      <c r="K1160" t="s">
        <v>48</v>
      </c>
      <c r="L1160" t="s">
        <v>51</v>
      </c>
      <c r="M1160">
        <v>50170</v>
      </c>
      <c r="N1160">
        <v>0.18</v>
      </c>
      <c r="O1160">
        <v>7878</v>
      </c>
      <c r="P1160">
        <v>6</v>
      </c>
      <c r="Q1160" t="s">
        <v>58</v>
      </c>
      <c r="R1160" t="s">
        <v>61</v>
      </c>
    </row>
    <row r="1161" spans="1:18">
      <c r="A1161">
        <v>11160</v>
      </c>
      <c r="B1161" s="2">
        <v>45356</v>
      </c>
      <c r="C1161" s="2">
        <v>45358</v>
      </c>
      <c r="D1161" s="2">
        <v>45362</v>
      </c>
      <c r="E1161" t="s">
        <v>18</v>
      </c>
      <c r="F1161" t="s">
        <v>22</v>
      </c>
      <c r="G1161" t="s">
        <v>24</v>
      </c>
      <c r="H1161" t="s">
        <v>30</v>
      </c>
      <c r="I1161" t="s">
        <v>36</v>
      </c>
      <c r="J1161" t="s">
        <v>39</v>
      </c>
      <c r="K1161" t="s">
        <v>44</v>
      </c>
      <c r="L1161" t="s">
        <v>52</v>
      </c>
      <c r="M1161">
        <v>67589</v>
      </c>
      <c r="N1161">
        <v>0.23</v>
      </c>
      <c r="O1161">
        <v>9519</v>
      </c>
      <c r="P1161">
        <v>13</v>
      </c>
      <c r="Q1161" t="s">
        <v>55</v>
      </c>
      <c r="R1161" t="s">
        <v>61</v>
      </c>
    </row>
    <row r="1162" spans="1:18">
      <c r="A1162">
        <v>11161</v>
      </c>
      <c r="B1162" s="2">
        <v>45357</v>
      </c>
      <c r="C1162" s="2">
        <v>45359</v>
      </c>
      <c r="D1162" s="2">
        <v>45363</v>
      </c>
      <c r="E1162" t="s">
        <v>21</v>
      </c>
      <c r="F1162" t="s">
        <v>22</v>
      </c>
      <c r="G1162" t="s">
        <v>24</v>
      </c>
      <c r="H1162" t="s">
        <v>31</v>
      </c>
      <c r="I1162" t="s">
        <v>35</v>
      </c>
      <c r="J1162" t="s">
        <v>42</v>
      </c>
      <c r="K1162" t="s">
        <v>46</v>
      </c>
      <c r="L1162" t="s">
        <v>53</v>
      </c>
      <c r="M1162">
        <v>71835</v>
      </c>
      <c r="N1162">
        <v>0.1</v>
      </c>
      <c r="O1162">
        <v>3177</v>
      </c>
      <c r="P1162">
        <v>20</v>
      </c>
      <c r="Q1162" t="s">
        <v>55</v>
      </c>
      <c r="R1162" t="s">
        <v>60</v>
      </c>
    </row>
    <row r="1163" spans="1:18">
      <c r="A1163">
        <v>11162</v>
      </c>
      <c r="B1163" s="2">
        <v>45358</v>
      </c>
      <c r="C1163" s="2">
        <v>45360</v>
      </c>
      <c r="D1163" s="2">
        <v>45364</v>
      </c>
      <c r="E1163" t="s">
        <v>20</v>
      </c>
      <c r="F1163" t="s">
        <v>22</v>
      </c>
      <c r="G1163" t="s">
        <v>23</v>
      </c>
      <c r="H1163" t="s">
        <v>30</v>
      </c>
      <c r="I1163" t="s">
        <v>36</v>
      </c>
      <c r="J1163" t="s">
        <v>42</v>
      </c>
      <c r="K1163" t="s">
        <v>46</v>
      </c>
      <c r="L1163" t="s">
        <v>51</v>
      </c>
      <c r="M1163">
        <v>26290</v>
      </c>
      <c r="N1163">
        <v>0.32</v>
      </c>
      <c r="O1163">
        <v>13052</v>
      </c>
      <c r="P1163">
        <v>13</v>
      </c>
      <c r="Q1163" t="s">
        <v>54</v>
      </c>
      <c r="R1163" t="s">
        <v>59</v>
      </c>
    </row>
    <row r="1164" spans="1:18">
      <c r="A1164">
        <v>11163</v>
      </c>
      <c r="B1164" s="2">
        <v>45359</v>
      </c>
      <c r="C1164" s="2">
        <v>45361</v>
      </c>
      <c r="D1164" s="2">
        <v>45365</v>
      </c>
      <c r="E1164" t="s">
        <v>18</v>
      </c>
      <c r="F1164" t="s">
        <v>22</v>
      </c>
      <c r="G1164" t="s">
        <v>26</v>
      </c>
      <c r="H1164" t="s">
        <v>30</v>
      </c>
      <c r="I1164" t="s">
        <v>35</v>
      </c>
      <c r="J1164" t="s">
        <v>37</v>
      </c>
      <c r="K1164" t="s">
        <v>49</v>
      </c>
      <c r="L1164" t="s">
        <v>51</v>
      </c>
      <c r="M1164">
        <v>3594</v>
      </c>
      <c r="N1164">
        <v>0.24</v>
      </c>
      <c r="O1164">
        <v>19696</v>
      </c>
      <c r="P1164">
        <v>15</v>
      </c>
      <c r="Q1164" t="s">
        <v>55</v>
      </c>
      <c r="R1164" t="s">
        <v>61</v>
      </c>
    </row>
    <row r="1165" spans="1:18">
      <c r="A1165">
        <v>11164</v>
      </c>
      <c r="B1165" s="2">
        <v>45360</v>
      </c>
      <c r="C1165" s="2">
        <v>45362</v>
      </c>
      <c r="D1165" s="2">
        <v>45366</v>
      </c>
      <c r="E1165" t="s">
        <v>20</v>
      </c>
      <c r="F1165" t="s">
        <v>22</v>
      </c>
      <c r="G1165" t="s">
        <v>23</v>
      </c>
      <c r="H1165" t="s">
        <v>31</v>
      </c>
      <c r="I1165" t="s">
        <v>36</v>
      </c>
      <c r="J1165" t="s">
        <v>37</v>
      </c>
      <c r="K1165" t="s">
        <v>47</v>
      </c>
      <c r="L1165" t="s">
        <v>52</v>
      </c>
      <c r="M1165">
        <v>30928</v>
      </c>
      <c r="N1165">
        <v>0.27</v>
      </c>
      <c r="O1165">
        <v>14129</v>
      </c>
      <c r="P1165">
        <v>19</v>
      </c>
      <c r="Q1165" t="s">
        <v>58</v>
      </c>
      <c r="R1165" t="s">
        <v>62</v>
      </c>
    </row>
    <row r="1166" spans="1:18">
      <c r="A1166">
        <v>11165</v>
      </c>
      <c r="B1166" s="2">
        <v>45361</v>
      </c>
      <c r="C1166" s="2">
        <v>45363</v>
      </c>
      <c r="D1166" s="2">
        <v>45367</v>
      </c>
      <c r="E1166" t="s">
        <v>20</v>
      </c>
      <c r="F1166" t="s">
        <v>22</v>
      </c>
      <c r="G1166" t="s">
        <v>23</v>
      </c>
      <c r="H1166" t="s">
        <v>32</v>
      </c>
      <c r="I1166" t="s">
        <v>36</v>
      </c>
      <c r="J1166" t="s">
        <v>43</v>
      </c>
      <c r="K1166" t="s">
        <v>44</v>
      </c>
      <c r="L1166" t="s">
        <v>53</v>
      </c>
      <c r="M1166">
        <v>68084</v>
      </c>
      <c r="N1166">
        <v>0.18</v>
      </c>
      <c r="O1166">
        <v>14093</v>
      </c>
      <c r="P1166">
        <v>13</v>
      </c>
      <c r="Q1166" t="s">
        <v>54</v>
      </c>
      <c r="R1166" t="s">
        <v>61</v>
      </c>
    </row>
    <row r="1167" spans="1:18">
      <c r="A1167">
        <v>11166</v>
      </c>
      <c r="B1167" s="2">
        <v>45362</v>
      </c>
      <c r="C1167" s="2">
        <v>45364</v>
      </c>
      <c r="D1167" s="2">
        <v>45368</v>
      </c>
      <c r="E1167" t="s">
        <v>18</v>
      </c>
      <c r="F1167" t="s">
        <v>22</v>
      </c>
      <c r="G1167" t="s">
        <v>23</v>
      </c>
      <c r="H1167" t="s">
        <v>33</v>
      </c>
      <c r="I1167" t="s">
        <v>34</v>
      </c>
      <c r="J1167" t="s">
        <v>40</v>
      </c>
      <c r="K1167" t="s">
        <v>50</v>
      </c>
      <c r="L1167" t="s">
        <v>51</v>
      </c>
      <c r="M1167">
        <v>46330</v>
      </c>
      <c r="N1167">
        <v>0.03</v>
      </c>
      <c r="O1167">
        <v>18790</v>
      </c>
      <c r="P1167">
        <v>5</v>
      </c>
      <c r="Q1167" t="s">
        <v>56</v>
      </c>
      <c r="R1167" t="s">
        <v>60</v>
      </c>
    </row>
    <row r="1168" spans="1:18">
      <c r="A1168">
        <v>11167</v>
      </c>
      <c r="B1168" s="2">
        <v>45363</v>
      </c>
      <c r="C1168" s="2">
        <v>45365</v>
      </c>
      <c r="D1168" s="2">
        <v>45369</v>
      </c>
      <c r="E1168" t="s">
        <v>21</v>
      </c>
      <c r="F1168" t="s">
        <v>22</v>
      </c>
      <c r="G1168" t="s">
        <v>23</v>
      </c>
      <c r="H1168" t="s">
        <v>31</v>
      </c>
      <c r="I1168" t="s">
        <v>36</v>
      </c>
      <c r="J1168" t="s">
        <v>42</v>
      </c>
      <c r="K1168" t="s">
        <v>44</v>
      </c>
      <c r="L1168" t="s">
        <v>51</v>
      </c>
      <c r="M1168">
        <v>66229</v>
      </c>
      <c r="N1168">
        <v>0.25</v>
      </c>
      <c r="O1168">
        <v>6940</v>
      </c>
      <c r="P1168">
        <v>1</v>
      </c>
      <c r="Q1168" t="s">
        <v>54</v>
      </c>
      <c r="R1168" t="s">
        <v>61</v>
      </c>
    </row>
    <row r="1169" spans="1:18">
      <c r="A1169">
        <v>11168</v>
      </c>
      <c r="B1169" s="2">
        <v>45364</v>
      </c>
      <c r="C1169" s="2">
        <v>45366</v>
      </c>
      <c r="D1169" s="2">
        <v>45370</v>
      </c>
      <c r="E1169" t="s">
        <v>19</v>
      </c>
      <c r="F1169" t="s">
        <v>22</v>
      </c>
      <c r="G1169" t="s">
        <v>24</v>
      </c>
      <c r="H1169" t="s">
        <v>30</v>
      </c>
      <c r="I1169" t="s">
        <v>36</v>
      </c>
      <c r="J1169" t="s">
        <v>38</v>
      </c>
      <c r="K1169" t="s">
        <v>49</v>
      </c>
      <c r="L1169" t="s">
        <v>52</v>
      </c>
      <c r="M1169">
        <v>38454</v>
      </c>
      <c r="N1169">
        <v>0.23</v>
      </c>
      <c r="O1169">
        <v>379</v>
      </c>
      <c r="P1169">
        <v>8</v>
      </c>
      <c r="Q1169" t="s">
        <v>55</v>
      </c>
      <c r="R1169" t="s">
        <v>60</v>
      </c>
    </row>
    <row r="1170" spans="1:18">
      <c r="A1170">
        <v>11169</v>
      </c>
      <c r="B1170" s="2">
        <v>45365</v>
      </c>
      <c r="C1170" s="2">
        <v>45367</v>
      </c>
      <c r="D1170" s="2">
        <v>45371</v>
      </c>
      <c r="E1170" t="s">
        <v>21</v>
      </c>
      <c r="F1170" t="s">
        <v>22</v>
      </c>
      <c r="G1170" t="s">
        <v>28</v>
      </c>
      <c r="H1170" t="s">
        <v>32</v>
      </c>
      <c r="I1170" t="s">
        <v>36</v>
      </c>
      <c r="J1170" t="s">
        <v>41</v>
      </c>
      <c r="K1170" t="s">
        <v>48</v>
      </c>
      <c r="L1170" t="s">
        <v>53</v>
      </c>
      <c r="M1170">
        <v>14413</v>
      </c>
      <c r="N1170">
        <v>0.33</v>
      </c>
      <c r="O1170">
        <v>17210</v>
      </c>
      <c r="P1170">
        <v>2</v>
      </c>
      <c r="Q1170" t="s">
        <v>56</v>
      </c>
      <c r="R1170" t="s">
        <v>60</v>
      </c>
    </row>
    <row r="1171" spans="1:18">
      <c r="A1171">
        <v>11170</v>
      </c>
      <c r="B1171" s="2">
        <v>45366</v>
      </c>
      <c r="C1171" s="2">
        <v>45368</v>
      </c>
      <c r="D1171" s="2">
        <v>45372</v>
      </c>
      <c r="E1171" t="s">
        <v>20</v>
      </c>
      <c r="F1171" t="s">
        <v>22</v>
      </c>
      <c r="G1171" t="s">
        <v>23</v>
      </c>
      <c r="H1171" t="s">
        <v>25</v>
      </c>
      <c r="I1171" t="s">
        <v>35</v>
      </c>
      <c r="J1171" t="s">
        <v>41</v>
      </c>
      <c r="K1171" t="s">
        <v>49</v>
      </c>
      <c r="L1171" t="s">
        <v>51</v>
      </c>
      <c r="M1171">
        <v>46699</v>
      </c>
      <c r="N1171">
        <v>0.23</v>
      </c>
      <c r="O1171">
        <v>8236</v>
      </c>
      <c r="P1171">
        <v>11</v>
      </c>
      <c r="Q1171" t="s">
        <v>56</v>
      </c>
      <c r="R1171" t="s">
        <v>61</v>
      </c>
    </row>
    <row r="1172" spans="1:18">
      <c r="A1172">
        <v>11171</v>
      </c>
      <c r="B1172" s="2">
        <v>45367</v>
      </c>
      <c r="C1172" s="2">
        <v>45369</v>
      </c>
      <c r="D1172" s="2">
        <v>45373</v>
      </c>
      <c r="E1172" t="s">
        <v>21</v>
      </c>
      <c r="F1172" t="s">
        <v>22</v>
      </c>
      <c r="G1172" t="s">
        <v>26</v>
      </c>
      <c r="H1172" t="s">
        <v>33</v>
      </c>
      <c r="I1172" t="s">
        <v>36</v>
      </c>
      <c r="J1172" t="s">
        <v>42</v>
      </c>
      <c r="K1172" t="s">
        <v>49</v>
      </c>
      <c r="L1172" t="s">
        <v>52</v>
      </c>
      <c r="M1172">
        <v>54685</v>
      </c>
      <c r="N1172">
        <v>0.35</v>
      </c>
      <c r="O1172">
        <v>17576</v>
      </c>
      <c r="P1172">
        <v>9</v>
      </c>
      <c r="Q1172" t="s">
        <v>58</v>
      </c>
      <c r="R1172" t="s">
        <v>60</v>
      </c>
    </row>
    <row r="1173" spans="1:18">
      <c r="A1173">
        <v>11172</v>
      </c>
      <c r="B1173" s="2">
        <v>45368</v>
      </c>
      <c r="C1173" s="2">
        <v>45370</v>
      </c>
      <c r="D1173" s="2">
        <v>45374</v>
      </c>
      <c r="E1173" t="s">
        <v>19</v>
      </c>
      <c r="F1173" t="s">
        <v>22</v>
      </c>
      <c r="G1173" t="s">
        <v>28</v>
      </c>
      <c r="H1173" t="s">
        <v>33</v>
      </c>
      <c r="I1173" t="s">
        <v>36</v>
      </c>
      <c r="J1173" t="s">
        <v>40</v>
      </c>
      <c r="K1173" t="s">
        <v>50</v>
      </c>
      <c r="L1173" t="s">
        <v>52</v>
      </c>
      <c r="M1173">
        <v>28552</v>
      </c>
      <c r="N1173">
        <v>0.24</v>
      </c>
      <c r="O1173">
        <v>8130</v>
      </c>
      <c r="P1173">
        <v>24</v>
      </c>
      <c r="Q1173" t="s">
        <v>56</v>
      </c>
      <c r="R1173" t="s">
        <v>59</v>
      </c>
    </row>
    <row r="1174" spans="1:18">
      <c r="A1174">
        <v>11173</v>
      </c>
      <c r="B1174" s="2">
        <v>45369</v>
      </c>
      <c r="C1174" s="2">
        <v>45371</v>
      </c>
      <c r="D1174" s="2">
        <v>45375</v>
      </c>
      <c r="E1174" t="s">
        <v>18</v>
      </c>
      <c r="F1174" t="s">
        <v>22</v>
      </c>
      <c r="G1174" t="s">
        <v>25</v>
      </c>
      <c r="H1174" t="s">
        <v>32</v>
      </c>
      <c r="I1174" t="s">
        <v>34</v>
      </c>
      <c r="J1174" t="s">
        <v>38</v>
      </c>
      <c r="K1174" t="s">
        <v>49</v>
      </c>
      <c r="L1174" t="s">
        <v>53</v>
      </c>
      <c r="M1174">
        <v>44010</v>
      </c>
      <c r="N1174">
        <v>0.08</v>
      </c>
      <c r="O1174">
        <v>17925</v>
      </c>
      <c r="P1174">
        <v>1</v>
      </c>
      <c r="Q1174" t="s">
        <v>54</v>
      </c>
      <c r="R1174" t="s">
        <v>61</v>
      </c>
    </row>
    <row r="1175" spans="1:18">
      <c r="A1175">
        <v>11174</v>
      </c>
      <c r="B1175" s="2">
        <v>45370</v>
      </c>
      <c r="C1175" s="2">
        <v>45372</v>
      </c>
      <c r="D1175" s="2">
        <v>45376</v>
      </c>
      <c r="E1175" t="s">
        <v>18</v>
      </c>
      <c r="F1175" t="s">
        <v>22</v>
      </c>
      <c r="G1175" t="s">
        <v>24</v>
      </c>
      <c r="H1175" t="s">
        <v>29</v>
      </c>
      <c r="I1175" t="s">
        <v>36</v>
      </c>
      <c r="J1175" t="s">
        <v>41</v>
      </c>
      <c r="K1175" t="s">
        <v>48</v>
      </c>
      <c r="L1175" t="s">
        <v>51</v>
      </c>
      <c r="M1175">
        <v>11479</v>
      </c>
      <c r="N1175">
        <v>0.39</v>
      </c>
      <c r="O1175">
        <v>6267</v>
      </c>
      <c r="P1175">
        <v>19</v>
      </c>
      <c r="Q1175" t="s">
        <v>56</v>
      </c>
      <c r="R1175" t="s">
        <v>60</v>
      </c>
    </row>
    <row r="1176" spans="1:18">
      <c r="A1176">
        <v>11175</v>
      </c>
      <c r="B1176" s="2">
        <v>45371</v>
      </c>
      <c r="C1176" s="2">
        <v>45373</v>
      </c>
      <c r="D1176" s="2">
        <v>45377</v>
      </c>
      <c r="E1176" t="s">
        <v>19</v>
      </c>
      <c r="F1176" t="s">
        <v>22</v>
      </c>
      <c r="G1176" t="s">
        <v>23</v>
      </c>
      <c r="H1176" t="s">
        <v>25</v>
      </c>
      <c r="I1176" t="s">
        <v>36</v>
      </c>
      <c r="J1176" t="s">
        <v>43</v>
      </c>
      <c r="K1176" t="s">
        <v>46</v>
      </c>
      <c r="L1176" t="s">
        <v>51</v>
      </c>
      <c r="M1176">
        <v>56343</v>
      </c>
      <c r="N1176">
        <v>0.27</v>
      </c>
      <c r="O1176">
        <v>7669</v>
      </c>
      <c r="P1176">
        <v>20</v>
      </c>
      <c r="Q1176" t="s">
        <v>55</v>
      </c>
      <c r="R1176" t="s">
        <v>59</v>
      </c>
    </row>
    <row r="1177" spans="1:18">
      <c r="A1177">
        <v>11176</v>
      </c>
      <c r="B1177" s="2">
        <v>45372</v>
      </c>
      <c r="C1177" s="2">
        <v>45374</v>
      </c>
      <c r="D1177" s="2">
        <v>45378</v>
      </c>
      <c r="E1177" t="s">
        <v>18</v>
      </c>
      <c r="F1177" t="s">
        <v>22</v>
      </c>
      <c r="G1177" t="s">
        <v>26</v>
      </c>
      <c r="H1177" t="s">
        <v>33</v>
      </c>
      <c r="I1177" t="s">
        <v>36</v>
      </c>
      <c r="J1177" t="s">
        <v>38</v>
      </c>
      <c r="K1177" t="s">
        <v>44</v>
      </c>
      <c r="L1177" t="s">
        <v>53</v>
      </c>
      <c r="M1177">
        <v>6291</v>
      </c>
      <c r="N1177">
        <v>0.13</v>
      </c>
      <c r="O1177">
        <v>6957</v>
      </c>
      <c r="P1177">
        <v>12</v>
      </c>
      <c r="Q1177" t="s">
        <v>56</v>
      </c>
      <c r="R1177" t="s">
        <v>61</v>
      </c>
    </row>
    <row r="1178" spans="1:18">
      <c r="A1178">
        <v>11177</v>
      </c>
      <c r="B1178" s="2">
        <v>45373</v>
      </c>
      <c r="C1178" s="2">
        <v>45375</v>
      </c>
      <c r="D1178" s="2">
        <v>45379</v>
      </c>
      <c r="E1178" t="s">
        <v>19</v>
      </c>
      <c r="F1178" t="s">
        <v>22</v>
      </c>
      <c r="G1178" t="s">
        <v>24</v>
      </c>
      <c r="H1178" t="s">
        <v>29</v>
      </c>
      <c r="I1178" t="s">
        <v>36</v>
      </c>
      <c r="J1178" t="s">
        <v>40</v>
      </c>
      <c r="K1178" t="s">
        <v>50</v>
      </c>
      <c r="L1178" t="s">
        <v>52</v>
      </c>
      <c r="M1178">
        <v>53801</v>
      </c>
      <c r="N1178">
        <v>0.11</v>
      </c>
      <c r="O1178">
        <v>14073</v>
      </c>
      <c r="P1178">
        <v>12</v>
      </c>
      <c r="Q1178" t="s">
        <v>54</v>
      </c>
      <c r="R1178" t="s">
        <v>62</v>
      </c>
    </row>
    <row r="1179" spans="1:18">
      <c r="A1179">
        <v>11178</v>
      </c>
      <c r="B1179" s="2">
        <v>45374</v>
      </c>
      <c r="C1179" s="2">
        <v>45376</v>
      </c>
      <c r="D1179" s="2">
        <v>45380</v>
      </c>
      <c r="E1179" t="s">
        <v>18</v>
      </c>
      <c r="F1179" t="s">
        <v>22</v>
      </c>
      <c r="G1179" t="s">
        <v>24</v>
      </c>
      <c r="H1179" t="s">
        <v>32</v>
      </c>
      <c r="I1179" t="s">
        <v>36</v>
      </c>
      <c r="J1179" t="s">
        <v>43</v>
      </c>
      <c r="K1179" t="s">
        <v>50</v>
      </c>
      <c r="L1179" t="s">
        <v>51</v>
      </c>
      <c r="M1179">
        <v>73936</v>
      </c>
      <c r="N1179">
        <v>0.38</v>
      </c>
      <c r="O1179">
        <v>6624</v>
      </c>
      <c r="P1179">
        <v>11</v>
      </c>
      <c r="Q1179" t="s">
        <v>55</v>
      </c>
      <c r="R1179" t="s">
        <v>62</v>
      </c>
    </row>
    <row r="1180" spans="1:18">
      <c r="A1180">
        <v>11179</v>
      </c>
      <c r="B1180" s="2">
        <v>45375</v>
      </c>
      <c r="C1180" s="2">
        <v>45377</v>
      </c>
      <c r="D1180" s="2">
        <v>45381</v>
      </c>
      <c r="E1180" t="s">
        <v>21</v>
      </c>
      <c r="F1180" t="s">
        <v>22</v>
      </c>
      <c r="G1180" t="s">
        <v>25</v>
      </c>
      <c r="H1180" t="s">
        <v>29</v>
      </c>
      <c r="I1180" t="s">
        <v>35</v>
      </c>
      <c r="J1180" t="s">
        <v>43</v>
      </c>
      <c r="K1180" t="s">
        <v>50</v>
      </c>
      <c r="L1180" t="s">
        <v>51</v>
      </c>
      <c r="M1180">
        <v>55596</v>
      </c>
      <c r="N1180">
        <v>0.38</v>
      </c>
      <c r="O1180">
        <v>-1166</v>
      </c>
      <c r="P1180">
        <v>20</v>
      </c>
      <c r="Q1180" t="s">
        <v>54</v>
      </c>
      <c r="R1180" t="s">
        <v>59</v>
      </c>
    </row>
    <row r="1181" spans="1:18">
      <c r="A1181">
        <v>11180</v>
      </c>
      <c r="B1181" s="2">
        <v>45376</v>
      </c>
      <c r="C1181" s="2">
        <v>45378</v>
      </c>
      <c r="D1181" s="2">
        <v>45382</v>
      </c>
      <c r="E1181" t="s">
        <v>18</v>
      </c>
      <c r="F1181" t="s">
        <v>22</v>
      </c>
      <c r="G1181" t="s">
        <v>24</v>
      </c>
      <c r="H1181" t="s">
        <v>33</v>
      </c>
      <c r="I1181" t="s">
        <v>35</v>
      </c>
      <c r="J1181" t="s">
        <v>43</v>
      </c>
      <c r="K1181" t="s">
        <v>44</v>
      </c>
      <c r="L1181" t="s">
        <v>53</v>
      </c>
      <c r="M1181">
        <v>8570</v>
      </c>
      <c r="N1181">
        <v>0.33</v>
      </c>
      <c r="O1181">
        <v>19940</v>
      </c>
      <c r="P1181">
        <v>20</v>
      </c>
      <c r="Q1181" t="s">
        <v>58</v>
      </c>
      <c r="R1181" t="s">
        <v>60</v>
      </c>
    </row>
    <row r="1182" spans="1:18">
      <c r="A1182">
        <v>11181</v>
      </c>
      <c r="B1182" s="2">
        <v>45377</v>
      </c>
      <c r="C1182" s="2">
        <v>45379</v>
      </c>
      <c r="D1182" s="2">
        <v>45383</v>
      </c>
      <c r="E1182" t="s">
        <v>18</v>
      </c>
      <c r="F1182" t="s">
        <v>22</v>
      </c>
      <c r="G1182" t="s">
        <v>28</v>
      </c>
      <c r="H1182" t="s">
        <v>33</v>
      </c>
      <c r="I1182" t="s">
        <v>34</v>
      </c>
      <c r="J1182" t="s">
        <v>41</v>
      </c>
      <c r="K1182" t="s">
        <v>46</v>
      </c>
      <c r="L1182" t="s">
        <v>51</v>
      </c>
      <c r="M1182">
        <v>25198</v>
      </c>
      <c r="N1182">
        <v>0.14000000000000001</v>
      </c>
      <c r="O1182">
        <v>19445</v>
      </c>
      <c r="P1182">
        <v>2</v>
      </c>
      <c r="Q1182" t="s">
        <v>54</v>
      </c>
      <c r="R1182" t="s">
        <v>59</v>
      </c>
    </row>
    <row r="1183" spans="1:18">
      <c r="A1183">
        <v>11182</v>
      </c>
      <c r="B1183" s="2">
        <v>45378</v>
      </c>
      <c r="C1183" s="2">
        <v>45380</v>
      </c>
      <c r="D1183" s="2">
        <v>45384</v>
      </c>
      <c r="E1183" t="s">
        <v>21</v>
      </c>
      <c r="F1183" t="s">
        <v>22</v>
      </c>
      <c r="G1183" t="s">
        <v>24</v>
      </c>
      <c r="H1183" t="s">
        <v>29</v>
      </c>
      <c r="I1183" t="s">
        <v>36</v>
      </c>
      <c r="J1183" t="s">
        <v>40</v>
      </c>
      <c r="K1183" t="s">
        <v>47</v>
      </c>
      <c r="L1183" t="s">
        <v>51</v>
      </c>
      <c r="M1183">
        <v>67273</v>
      </c>
      <c r="N1183">
        <v>0.22</v>
      </c>
      <c r="O1183">
        <v>14961</v>
      </c>
      <c r="P1183">
        <v>8</v>
      </c>
      <c r="Q1183" t="s">
        <v>58</v>
      </c>
      <c r="R1183" t="s">
        <v>60</v>
      </c>
    </row>
    <row r="1184" spans="1:18">
      <c r="A1184">
        <v>11183</v>
      </c>
      <c r="B1184" s="2">
        <v>45379</v>
      </c>
      <c r="C1184" s="2">
        <v>45381</v>
      </c>
      <c r="D1184" s="2">
        <v>45385</v>
      </c>
      <c r="E1184" t="s">
        <v>19</v>
      </c>
      <c r="F1184" t="s">
        <v>22</v>
      </c>
      <c r="G1184" t="s">
        <v>25</v>
      </c>
      <c r="H1184" t="s">
        <v>32</v>
      </c>
      <c r="I1184" t="s">
        <v>35</v>
      </c>
      <c r="J1184" t="s">
        <v>43</v>
      </c>
      <c r="K1184" t="s">
        <v>45</v>
      </c>
      <c r="L1184" t="s">
        <v>53</v>
      </c>
      <c r="M1184">
        <v>25120</v>
      </c>
      <c r="N1184">
        <v>0.36</v>
      </c>
      <c r="O1184">
        <v>8058</v>
      </c>
      <c r="P1184">
        <v>21</v>
      </c>
      <c r="Q1184" t="s">
        <v>57</v>
      </c>
      <c r="R1184" t="s">
        <v>59</v>
      </c>
    </row>
    <row r="1185" spans="1:18">
      <c r="A1185">
        <v>11184</v>
      </c>
      <c r="B1185" s="2">
        <v>45380</v>
      </c>
      <c r="C1185" s="2">
        <v>45382</v>
      </c>
      <c r="D1185" s="2">
        <v>45386</v>
      </c>
      <c r="E1185" t="s">
        <v>19</v>
      </c>
      <c r="F1185" t="s">
        <v>22</v>
      </c>
      <c r="G1185" t="s">
        <v>23</v>
      </c>
      <c r="H1185" t="s">
        <v>29</v>
      </c>
      <c r="I1185" t="s">
        <v>36</v>
      </c>
      <c r="J1185" t="s">
        <v>38</v>
      </c>
      <c r="K1185" t="s">
        <v>45</v>
      </c>
      <c r="L1185" t="s">
        <v>52</v>
      </c>
      <c r="M1185">
        <v>61060</v>
      </c>
      <c r="N1185">
        <v>0.17</v>
      </c>
      <c r="O1185">
        <v>5698</v>
      </c>
      <c r="P1185">
        <v>3</v>
      </c>
      <c r="Q1185" t="s">
        <v>55</v>
      </c>
      <c r="R1185" t="s">
        <v>59</v>
      </c>
    </row>
    <row r="1186" spans="1:18">
      <c r="A1186">
        <v>11185</v>
      </c>
      <c r="B1186" s="2">
        <v>45381</v>
      </c>
      <c r="C1186" s="2">
        <v>45383</v>
      </c>
      <c r="D1186" s="2">
        <v>45387</v>
      </c>
      <c r="E1186" t="s">
        <v>19</v>
      </c>
      <c r="F1186" t="s">
        <v>22</v>
      </c>
      <c r="G1186" t="s">
        <v>25</v>
      </c>
      <c r="H1186" t="s">
        <v>33</v>
      </c>
      <c r="I1186" t="s">
        <v>36</v>
      </c>
      <c r="J1186" t="s">
        <v>42</v>
      </c>
      <c r="K1186" t="s">
        <v>46</v>
      </c>
      <c r="L1186" t="s">
        <v>51</v>
      </c>
      <c r="M1186">
        <v>63525</v>
      </c>
      <c r="N1186">
        <v>0.3</v>
      </c>
      <c r="O1186">
        <v>999</v>
      </c>
      <c r="P1186">
        <v>23</v>
      </c>
      <c r="Q1186" t="s">
        <v>55</v>
      </c>
      <c r="R1186" t="s">
        <v>62</v>
      </c>
    </row>
    <row r="1187" spans="1:18">
      <c r="A1187">
        <v>11186</v>
      </c>
      <c r="B1187" s="2">
        <v>45382</v>
      </c>
      <c r="C1187" s="2">
        <v>45384</v>
      </c>
      <c r="D1187" s="2">
        <v>45388</v>
      </c>
      <c r="E1187" t="s">
        <v>18</v>
      </c>
      <c r="F1187" t="s">
        <v>22</v>
      </c>
      <c r="G1187" t="s">
        <v>28</v>
      </c>
      <c r="H1187" t="s">
        <v>30</v>
      </c>
      <c r="I1187" t="s">
        <v>36</v>
      </c>
      <c r="J1187" t="s">
        <v>38</v>
      </c>
      <c r="K1187" t="s">
        <v>44</v>
      </c>
      <c r="L1187" t="s">
        <v>51</v>
      </c>
      <c r="M1187">
        <v>43978</v>
      </c>
      <c r="N1187">
        <v>0.12</v>
      </c>
      <c r="O1187">
        <v>5109</v>
      </c>
      <c r="P1187">
        <v>23</v>
      </c>
      <c r="Q1187" t="s">
        <v>58</v>
      </c>
      <c r="R1187" t="s">
        <v>60</v>
      </c>
    </row>
    <row r="1188" spans="1:18">
      <c r="A1188">
        <v>11187</v>
      </c>
      <c r="B1188" s="2">
        <v>45383</v>
      </c>
      <c r="C1188" s="2">
        <v>45385</v>
      </c>
      <c r="D1188" s="2">
        <v>45389</v>
      </c>
      <c r="E1188" t="s">
        <v>19</v>
      </c>
      <c r="F1188" t="s">
        <v>22</v>
      </c>
      <c r="G1188" t="s">
        <v>26</v>
      </c>
      <c r="H1188" t="s">
        <v>29</v>
      </c>
      <c r="I1188" t="s">
        <v>35</v>
      </c>
      <c r="J1188" t="s">
        <v>43</v>
      </c>
      <c r="K1188" t="s">
        <v>48</v>
      </c>
      <c r="L1188" t="s">
        <v>52</v>
      </c>
      <c r="M1188">
        <v>48910</v>
      </c>
      <c r="N1188">
        <v>0.05</v>
      </c>
      <c r="O1188">
        <v>12294</v>
      </c>
      <c r="P1188">
        <v>23</v>
      </c>
      <c r="Q1188" t="s">
        <v>58</v>
      </c>
      <c r="R1188" t="s">
        <v>60</v>
      </c>
    </row>
    <row r="1189" spans="1:18">
      <c r="A1189">
        <v>11188</v>
      </c>
      <c r="B1189" s="2">
        <v>45384</v>
      </c>
      <c r="C1189" s="2">
        <v>45386</v>
      </c>
      <c r="D1189" s="2">
        <v>45390</v>
      </c>
      <c r="E1189" t="s">
        <v>21</v>
      </c>
      <c r="F1189" t="s">
        <v>22</v>
      </c>
      <c r="G1189" t="s">
        <v>24</v>
      </c>
      <c r="H1189" t="s">
        <v>25</v>
      </c>
      <c r="I1189" t="s">
        <v>35</v>
      </c>
      <c r="J1189" t="s">
        <v>43</v>
      </c>
      <c r="K1189" t="s">
        <v>49</v>
      </c>
      <c r="L1189" t="s">
        <v>51</v>
      </c>
      <c r="M1189">
        <v>8046</v>
      </c>
      <c r="N1189">
        <v>0.21</v>
      </c>
      <c r="O1189">
        <v>5086</v>
      </c>
      <c r="P1189">
        <v>19</v>
      </c>
      <c r="Q1189" t="s">
        <v>55</v>
      </c>
      <c r="R1189" t="s">
        <v>62</v>
      </c>
    </row>
    <row r="1190" spans="1:18">
      <c r="A1190">
        <v>11189</v>
      </c>
      <c r="B1190" s="2">
        <v>45385</v>
      </c>
      <c r="C1190" s="2">
        <v>45387</v>
      </c>
      <c r="D1190" s="2">
        <v>45391</v>
      </c>
      <c r="E1190" t="s">
        <v>21</v>
      </c>
      <c r="F1190" t="s">
        <v>22</v>
      </c>
      <c r="G1190" t="s">
        <v>25</v>
      </c>
      <c r="H1190" t="s">
        <v>29</v>
      </c>
      <c r="I1190" t="s">
        <v>35</v>
      </c>
      <c r="J1190" t="s">
        <v>41</v>
      </c>
      <c r="K1190" t="s">
        <v>44</v>
      </c>
      <c r="L1190" t="s">
        <v>52</v>
      </c>
      <c r="M1190">
        <v>74698</v>
      </c>
      <c r="N1190">
        <v>0.28000000000000003</v>
      </c>
      <c r="O1190">
        <v>681</v>
      </c>
      <c r="P1190">
        <v>10</v>
      </c>
      <c r="Q1190" t="s">
        <v>58</v>
      </c>
      <c r="R1190" t="s">
        <v>60</v>
      </c>
    </row>
    <row r="1191" spans="1:18">
      <c r="A1191">
        <v>11190</v>
      </c>
      <c r="B1191" s="2">
        <v>45386</v>
      </c>
      <c r="C1191" s="2">
        <v>45388</v>
      </c>
      <c r="D1191" s="2">
        <v>45392</v>
      </c>
      <c r="E1191" t="s">
        <v>21</v>
      </c>
      <c r="F1191" t="s">
        <v>22</v>
      </c>
      <c r="G1191" t="s">
        <v>26</v>
      </c>
      <c r="H1191" t="s">
        <v>29</v>
      </c>
      <c r="I1191" t="s">
        <v>34</v>
      </c>
      <c r="J1191" t="s">
        <v>41</v>
      </c>
      <c r="K1191" t="s">
        <v>50</v>
      </c>
      <c r="L1191" t="s">
        <v>52</v>
      </c>
      <c r="M1191">
        <v>12782</v>
      </c>
      <c r="N1191">
        <v>0.18</v>
      </c>
      <c r="O1191">
        <v>4884</v>
      </c>
      <c r="P1191">
        <v>9</v>
      </c>
      <c r="Q1191" t="s">
        <v>55</v>
      </c>
      <c r="R1191" t="s">
        <v>59</v>
      </c>
    </row>
    <row r="1192" spans="1:18">
      <c r="A1192">
        <v>11191</v>
      </c>
      <c r="B1192" s="2">
        <v>45387</v>
      </c>
      <c r="C1192" s="2">
        <v>45389</v>
      </c>
      <c r="D1192" s="2">
        <v>45393</v>
      </c>
      <c r="E1192" t="s">
        <v>21</v>
      </c>
      <c r="F1192" t="s">
        <v>22</v>
      </c>
      <c r="G1192" t="s">
        <v>28</v>
      </c>
      <c r="H1192" t="s">
        <v>25</v>
      </c>
      <c r="I1192" t="s">
        <v>34</v>
      </c>
      <c r="J1192" t="s">
        <v>41</v>
      </c>
      <c r="K1192" t="s">
        <v>49</v>
      </c>
      <c r="L1192" t="s">
        <v>52</v>
      </c>
      <c r="M1192">
        <v>11112</v>
      </c>
      <c r="N1192">
        <v>0.08</v>
      </c>
      <c r="O1192">
        <v>17880</v>
      </c>
      <c r="P1192">
        <v>14</v>
      </c>
      <c r="Q1192" t="s">
        <v>57</v>
      </c>
      <c r="R1192" t="s">
        <v>60</v>
      </c>
    </row>
    <row r="1193" spans="1:18">
      <c r="A1193">
        <v>11192</v>
      </c>
      <c r="B1193" s="2">
        <v>45388</v>
      </c>
      <c r="C1193" s="2">
        <v>45390</v>
      </c>
      <c r="D1193" s="2">
        <v>45394</v>
      </c>
      <c r="E1193" t="s">
        <v>19</v>
      </c>
      <c r="F1193" t="s">
        <v>22</v>
      </c>
      <c r="G1193" t="s">
        <v>24</v>
      </c>
      <c r="H1193" t="s">
        <v>29</v>
      </c>
      <c r="I1193" t="s">
        <v>35</v>
      </c>
      <c r="J1193" t="s">
        <v>42</v>
      </c>
      <c r="K1193" t="s">
        <v>48</v>
      </c>
      <c r="L1193" t="s">
        <v>53</v>
      </c>
      <c r="M1193">
        <v>73538</v>
      </c>
      <c r="N1193">
        <v>0.01</v>
      </c>
      <c r="O1193">
        <v>-276</v>
      </c>
      <c r="P1193">
        <v>1</v>
      </c>
      <c r="Q1193" t="s">
        <v>56</v>
      </c>
      <c r="R1193" t="s">
        <v>60</v>
      </c>
    </row>
    <row r="1194" spans="1:18">
      <c r="A1194">
        <v>11193</v>
      </c>
      <c r="B1194" s="2">
        <v>45389</v>
      </c>
      <c r="C1194" s="2">
        <v>45391</v>
      </c>
      <c r="D1194" s="2">
        <v>45395</v>
      </c>
      <c r="E1194" t="s">
        <v>20</v>
      </c>
      <c r="F1194" t="s">
        <v>22</v>
      </c>
      <c r="G1194" t="s">
        <v>26</v>
      </c>
      <c r="H1194" t="s">
        <v>30</v>
      </c>
      <c r="I1194" t="s">
        <v>34</v>
      </c>
      <c r="J1194" t="s">
        <v>39</v>
      </c>
      <c r="K1194" t="s">
        <v>48</v>
      </c>
      <c r="L1194" t="s">
        <v>53</v>
      </c>
      <c r="M1194">
        <v>15527</v>
      </c>
      <c r="N1194">
        <v>0.38</v>
      </c>
      <c r="O1194">
        <v>8060</v>
      </c>
      <c r="P1194">
        <v>24</v>
      </c>
      <c r="Q1194" t="s">
        <v>54</v>
      </c>
      <c r="R1194" t="s">
        <v>59</v>
      </c>
    </row>
    <row r="1195" spans="1:18">
      <c r="A1195">
        <v>11194</v>
      </c>
      <c r="B1195" s="2">
        <v>45390</v>
      </c>
      <c r="C1195" s="2">
        <v>45392</v>
      </c>
      <c r="D1195" s="2">
        <v>45396</v>
      </c>
      <c r="E1195" t="s">
        <v>20</v>
      </c>
      <c r="F1195" t="s">
        <v>22</v>
      </c>
      <c r="G1195" t="s">
        <v>28</v>
      </c>
      <c r="H1195" t="s">
        <v>25</v>
      </c>
      <c r="I1195" t="s">
        <v>34</v>
      </c>
      <c r="J1195" t="s">
        <v>39</v>
      </c>
      <c r="K1195" t="s">
        <v>50</v>
      </c>
      <c r="L1195" t="s">
        <v>53</v>
      </c>
      <c r="M1195">
        <v>29336</v>
      </c>
      <c r="N1195">
        <v>0.23</v>
      </c>
      <c r="O1195">
        <v>5768</v>
      </c>
      <c r="P1195">
        <v>9</v>
      </c>
      <c r="Q1195" t="s">
        <v>56</v>
      </c>
      <c r="R1195" t="s">
        <v>59</v>
      </c>
    </row>
    <row r="1196" spans="1:18">
      <c r="A1196">
        <v>11195</v>
      </c>
      <c r="B1196" s="2">
        <v>45391</v>
      </c>
      <c r="C1196" s="2">
        <v>45393</v>
      </c>
      <c r="D1196" s="2">
        <v>45397</v>
      </c>
      <c r="E1196" t="s">
        <v>20</v>
      </c>
      <c r="F1196" t="s">
        <v>22</v>
      </c>
      <c r="G1196" t="s">
        <v>23</v>
      </c>
      <c r="H1196" t="s">
        <v>31</v>
      </c>
      <c r="I1196" t="s">
        <v>35</v>
      </c>
      <c r="J1196" t="s">
        <v>41</v>
      </c>
      <c r="K1196" t="s">
        <v>49</v>
      </c>
      <c r="L1196" t="s">
        <v>52</v>
      </c>
      <c r="M1196">
        <v>67138</v>
      </c>
      <c r="N1196">
        <v>0.1</v>
      </c>
      <c r="O1196">
        <v>13939</v>
      </c>
      <c r="P1196">
        <v>19</v>
      </c>
      <c r="Q1196" t="s">
        <v>58</v>
      </c>
      <c r="R1196" t="s">
        <v>59</v>
      </c>
    </row>
    <row r="1197" spans="1:18">
      <c r="A1197">
        <v>11196</v>
      </c>
      <c r="B1197" s="2">
        <v>45392</v>
      </c>
      <c r="C1197" s="2">
        <v>45394</v>
      </c>
      <c r="D1197" s="2">
        <v>45398</v>
      </c>
      <c r="E1197" t="s">
        <v>21</v>
      </c>
      <c r="F1197" t="s">
        <v>22</v>
      </c>
      <c r="G1197" t="s">
        <v>26</v>
      </c>
      <c r="H1197" t="s">
        <v>29</v>
      </c>
      <c r="I1197" t="s">
        <v>36</v>
      </c>
      <c r="J1197" t="s">
        <v>42</v>
      </c>
      <c r="K1197" t="s">
        <v>50</v>
      </c>
      <c r="L1197" t="s">
        <v>53</v>
      </c>
      <c r="M1197">
        <v>15045</v>
      </c>
      <c r="N1197">
        <v>0.13</v>
      </c>
      <c r="O1197">
        <v>7710</v>
      </c>
      <c r="P1197">
        <v>1</v>
      </c>
      <c r="Q1197" t="s">
        <v>55</v>
      </c>
      <c r="R1197" t="s">
        <v>61</v>
      </c>
    </row>
    <row r="1198" spans="1:18">
      <c r="A1198">
        <v>11197</v>
      </c>
      <c r="B1198" s="2">
        <v>45393</v>
      </c>
      <c r="C1198" s="2">
        <v>45395</v>
      </c>
      <c r="D1198" s="2">
        <v>45399</v>
      </c>
      <c r="E1198" t="s">
        <v>19</v>
      </c>
      <c r="F1198" t="s">
        <v>22</v>
      </c>
      <c r="G1198" t="s">
        <v>24</v>
      </c>
      <c r="H1198" t="s">
        <v>33</v>
      </c>
      <c r="I1198" t="s">
        <v>36</v>
      </c>
      <c r="J1198" t="s">
        <v>37</v>
      </c>
      <c r="K1198" t="s">
        <v>46</v>
      </c>
      <c r="L1198" t="s">
        <v>52</v>
      </c>
      <c r="M1198">
        <v>39412</v>
      </c>
      <c r="N1198">
        <v>0.34</v>
      </c>
      <c r="O1198">
        <v>16600</v>
      </c>
      <c r="P1198">
        <v>24</v>
      </c>
      <c r="Q1198" t="s">
        <v>55</v>
      </c>
      <c r="R1198" t="s">
        <v>60</v>
      </c>
    </row>
    <row r="1199" spans="1:18">
      <c r="A1199">
        <v>11198</v>
      </c>
      <c r="B1199" s="2">
        <v>45394</v>
      </c>
      <c r="C1199" s="2">
        <v>45396</v>
      </c>
      <c r="D1199" s="2">
        <v>45400</v>
      </c>
      <c r="E1199" t="s">
        <v>19</v>
      </c>
      <c r="F1199" t="s">
        <v>22</v>
      </c>
      <c r="G1199" t="s">
        <v>24</v>
      </c>
      <c r="H1199" t="s">
        <v>25</v>
      </c>
      <c r="I1199" t="s">
        <v>34</v>
      </c>
      <c r="J1199" t="s">
        <v>43</v>
      </c>
      <c r="K1199" t="s">
        <v>48</v>
      </c>
      <c r="L1199" t="s">
        <v>52</v>
      </c>
      <c r="M1199">
        <v>20065</v>
      </c>
      <c r="N1199">
        <v>0.33</v>
      </c>
      <c r="O1199">
        <v>5078</v>
      </c>
      <c r="P1199">
        <v>22</v>
      </c>
      <c r="Q1199" t="s">
        <v>54</v>
      </c>
      <c r="R1199" t="s">
        <v>60</v>
      </c>
    </row>
    <row r="1200" spans="1:18">
      <c r="A1200">
        <v>11199</v>
      </c>
      <c r="B1200" s="2">
        <v>45395</v>
      </c>
      <c r="C1200" s="2">
        <v>45397</v>
      </c>
      <c r="D1200" s="2">
        <v>45401</v>
      </c>
      <c r="E1200" t="s">
        <v>20</v>
      </c>
      <c r="F1200" t="s">
        <v>22</v>
      </c>
      <c r="G1200" t="s">
        <v>26</v>
      </c>
      <c r="H1200" t="s">
        <v>31</v>
      </c>
      <c r="I1200" t="s">
        <v>35</v>
      </c>
      <c r="J1200" t="s">
        <v>37</v>
      </c>
      <c r="K1200" t="s">
        <v>46</v>
      </c>
      <c r="L1200" t="s">
        <v>52</v>
      </c>
      <c r="M1200">
        <v>8864</v>
      </c>
      <c r="N1200">
        <v>7.0000000000000007E-2</v>
      </c>
      <c r="O1200">
        <v>-99</v>
      </c>
      <c r="P1200">
        <v>15</v>
      </c>
      <c r="Q1200" t="s">
        <v>58</v>
      </c>
      <c r="R1200" t="s">
        <v>62</v>
      </c>
    </row>
    <row r="1201" spans="1:18">
      <c r="A1201">
        <v>11200</v>
      </c>
      <c r="B1201" s="2">
        <v>45396</v>
      </c>
      <c r="C1201" s="2">
        <v>45398</v>
      </c>
      <c r="D1201" s="2">
        <v>45402</v>
      </c>
      <c r="E1201" t="s">
        <v>21</v>
      </c>
      <c r="F1201" t="s">
        <v>22</v>
      </c>
      <c r="G1201" t="s">
        <v>24</v>
      </c>
      <c r="H1201" t="s">
        <v>30</v>
      </c>
      <c r="I1201" t="s">
        <v>35</v>
      </c>
      <c r="J1201" t="s">
        <v>37</v>
      </c>
      <c r="K1201" t="s">
        <v>47</v>
      </c>
      <c r="L1201" t="s">
        <v>51</v>
      </c>
      <c r="M1201">
        <v>64581</v>
      </c>
      <c r="N1201">
        <v>0.27</v>
      </c>
      <c r="O1201">
        <v>18450</v>
      </c>
      <c r="P1201">
        <v>22</v>
      </c>
      <c r="Q1201" t="s">
        <v>56</v>
      </c>
      <c r="R1201" t="s">
        <v>61</v>
      </c>
    </row>
    <row r="1202" spans="1:18">
      <c r="A1202">
        <v>11201</v>
      </c>
      <c r="B1202" s="2">
        <v>45397</v>
      </c>
      <c r="C1202" s="2">
        <v>45399</v>
      </c>
      <c r="D1202" s="2">
        <v>45403</v>
      </c>
      <c r="E1202" t="s">
        <v>18</v>
      </c>
      <c r="F1202" t="s">
        <v>22</v>
      </c>
      <c r="G1202" t="s">
        <v>27</v>
      </c>
      <c r="H1202" t="s">
        <v>25</v>
      </c>
      <c r="I1202" t="s">
        <v>35</v>
      </c>
      <c r="J1202" t="s">
        <v>40</v>
      </c>
      <c r="K1202" t="s">
        <v>46</v>
      </c>
      <c r="L1202" t="s">
        <v>52</v>
      </c>
      <c r="M1202">
        <v>74776</v>
      </c>
      <c r="N1202">
        <v>0.08</v>
      </c>
      <c r="O1202">
        <v>964</v>
      </c>
      <c r="P1202">
        <v>9</v>
      </c>
      <c r="Q1202" t="s">
        <v>57</v>
      </c>
      <c r="R1202" t="s">
        <v>61</v>
      </c>
    </row>
    <row r="1203" spans="1:18">
      <c r="A1203">
        <v>11202</v>
      </c>
      <c r="B1203" s="2">
        <v>45398</v>
      </c>
      <c r="C1203" s="2">
        <v>45400</v>
      </c>
      <c r="D1203" s="2">
        <v>45404</v>
      </c>
      <c r="E1203" t="s">
        <v>19</v>
      </c>
      <c r="F1203" t="s">
        <v>22</v>
      </c>
      <c r="G1203" t="s">
        <v>26</v>
      </c>
      <c r="H1203" t="s">
        <v>25</v>
      </c>
      <c r="I1203" t="s">
        <v>35</v>
      </c>
      <c r="J1203" t="s">
        <v>38</v>
      </c>
      <c r="K1203" t="s">
        <v>44</v>
      </c>
      <c r="L1203" t="s">
        <v>51</v>
      </c>
      <c r="M1203">
        <v>53157</v>
      </c>
      <c r="N1203">
        <v>0.17</v>
      </c>
      <c r="O1203">
        <v>165</v>
      </c>
      <c r="P1203">
        <v>24</v>
      </c>
      <c r="Q1203" t="s">
        <v>58</v>
      </c>
      <c r="R1203" t="s">
        <v>59</v>
      </c>
    </row>
    <row r="1204" spans="1:18">
      <c r="A1204">
        <v>11203</v>
      </c>
      <c r="B1204" s="2">
        <v>45399</v>
      </c>
      <c r="C1204" s="2">
        <v>45401</v>
      </c>
      <c r="D1204" s="2">
        <v>45405</v>
      </c>
      <c r="E1204" t="s">
        <v>20</v>
      </c>
      <c r="F1204" t="s">
        <v>22</v>
      </c>
      <c r="G1204" t="s">
        <v>26</v>
      </c>
      <c r="H1204" t="s">
        <v>32</v>
      </c>
      <c r="I1204" t="s">
        <v>34</v>
      </c>
      <c r="J1204" t="s">
        <v>42</v>
      </c>
      <c r="K1204" t="s">
        <v>45</v>
      </c>
      <c r="L1204" t="s">
        <v>51</v>
      </c>
      <c r="M1204">
        <v>20532</v>
      </c>
      <c r="N1204">
        <v>0.19</v>
      </c>
      <c r="O1204">
        <v>13255</v>
      </c>
      <c r="P1204">
        <v>1</v>
      </c>
      <c r="Q1204" t="s">
        <v>54</v>
      </c>
      <c r="R1204" t="s">
        <v>61</v>
      </c>
    </row>
    <row r="1205" spans="1:18">
      <c r="A1205">
        <v>11204</v>
      </c>
      <c r="B1205" s="2">
        <v>45400</v>
      </c>
      <c r="C1205" s="2">
        <v>45402</v>
      </c>
      <c r="D1205" s="2">
        <v>45406</v>
      </c>
      <c r="E1205" t="s">
        <v>18</v>
      </c>
      <c r="F1205" t="s">
        <v>22</v>
      </c>
      <c r="G1205" t="s">
        <v>25</v>
      </c>
      <c r="H1205" t="s">
        <v>32</v>
      </c>
      <c r="I1205" t="s">
        <v>34</v>
      </c>
      <c r="J1205" t="s">
        <v>42</v>
      </c>
      <c r="K1205" t="s">
        <v>44</v>
      </c>
      <c r="L1205" t="s">
        <v>52</v>
      </c>
      <c r="M1205">
        <v>61693</v>
      </c>
      <c r="N1205">
        <v>0.18</v>
      </c>
      <c r="O1205">
        <v>7219</v>
      </c>
      <c r="P1205">
        <v>4</v>
      </c>
      <c r="Q1205" t="s">
        <v>57</v>
      </c>
      <c r="R1205" t="s">
        <v>59</v>
      </c>
    </row>
    <row r="1206" spans="1:18">
      <c r="A1206">
        <v>11205</v>
      </c>
      <c r="B1206" s="2">
        <v>45401</v>
      </c>
      <c r="C1206" s="2">
        <v>45403</v>
      </c>
      <c r="D1206" s="2">
        <v>45407</v>
      </c>
      <c r="E1206" t="s">
        <v>21</v>
      </c>
      <c r="F1206" t="s">
        <v>22</v>
      </c>
      <c r="G1206" t="s">
        <v>28</v>
      </c>
      <c r="H1206" t="s">
        <v>29</v>
      </c>
      <c r="I1206" t="s">
        <v>35</v>
      </c>
      <c r="J1206" t="s">
        <v>38</v>
      </c>
      <c r="K1206" t="s">
        <v>50</v>
      </c>
      <c r="L1206" t="s">
        <v>51</v>
      </c>
      <c r="M1206">
        <v>23240</v>
      </c>
      <c r="N1206">
        <v>0.17</v>
      </c>
      <c r="O1206">
        <v>11794</v>
      </c>
      <c r="P1206">
        <v>4</v>
      </c>
      <c r="Q1206" t="s">
        <v>55</v>
      </c>
      <c r="R1206" t="s">
        <v>59</v>
      </c>
    </row>
    <row r="1207" spans="1:18">
      <c r="A1207">
        <v>11206</v>
      </c>
      <c r="B1207" s="2">
        <v>45402</v>
      </c>
      <c r="C1207" s="2">
        <v>45404</v>
      </c>
      <c r="D1207" s="2">
        <v>45408</v>
      </c>
      <c r="E1207" t="s">
        <v>21</v>
      </c>
      <c r="F1207" t="s">
        <v>22</v>
      </c>
      <c r="G1207" t="s">
        <v>25</v>
      </c>
      <c r="H1207" t="s">
        <v>33</v>
      </c>
      <c r="I1207" t="s">
        <v>35</v>
      </c>
      <c r="J1207" t="s">
        <v>37</v>
      </c>
      <c r="K1207" t="s">
        <v>44</v>
      </c>
      <c r="L1207" t="s">
        <v>52</v>
      </c>
      <c r="M1207">
        <v>51122</v>
      </c>
      <c r="N1207">
        <v>0.37</v>
      </c>
      <c r="O1207">
        <v>17618</v>
      </c>
      <c r="P1207">
        <v>20</v>
      </c>
      <c r="Q1207" t="s">
        <v>55</v>
      </c>
      <c r="R1207" t="s">
        <v>62</v>
      </c>
    </row>
    <row r="1208" spans="1:18">
      <c r="A1208">
        <v>11207</v>
      </c>
      <c r="B1208" s="2">
        <v>45403</v>
      </c>
      <c r="C1208" s="2">
        <v>45405</v>
      </c>
      <c r="D1208" s="2">
        <v>45409</v>
      </c>
      <c r="E1208" t="s">
        <v>18</v>
      </c>
      <c r="F1208" t="s">
        <v>22</v>
      </c>
      <c r="G1208" t="s">
        <v>23</v>
      </c>
      <c r="H1208" t="s">
        <v>30</v>
      </c>
      <c r="I1208" t="s">
        <v>34</v>
      </c>
      <c r="J1208" t="s">
        <v>43</v>
      </c>
      <c r="K1208" t="s">
        <v>46</v>
      </c>
      <c r="L1208" t="s">
        <v>53</v>
      </c>
      <c r="M1208">
        <v>65504</v>
      </c>
      <c r="N1208">
        <v>0.17</v>
      </c>
      <c r="O1208">
        <v>967</v>
      </c>
      <c r="P1208">
        <v>19</v>
      </c>
      <c r="Q1208" t="s">
        <v>58</v>
      </c>
      <c r="R1208" t="s">
        <v>61</v>
      </c>
    </row>
    <row r="1209" spans="1:18">
      <c r="A1209">
        <v>11208</v>
      </c>
      <c r="B1209" s="2">
        <v>45404</v>
      </c>
      <c r="C1209" s="2">
        <v>45406</v>
      </c>
      <c r="D1209" s="2">
        <v>45410</v>
      </c>
      <c r="E1209" t="s">
        <v>18</v>
      </c>
      <c r="F1209" t="s">
        <v>22</v>
      </c>
      <c r="G1209" t="s">
        <v>28</v>
      </c>
      <c r="H1209" t="s">
        <v>25</v>
      </c>
      <c r="I1209" t="s">
        <v>34</v>
      </c>
      <c r="J1209" t="s">
        <v>41</v>
      </c>
      <c r="K1209" t="s">
        <v>47</v>
      </c>
      <c r="L1209" t="s">
        <v>53</v>
      </c>
      <c r="M1209">
        <v>23104</v>
      </c>
      <c r="N1209">
        <v>0.21</v>
      </c>
      <c r="O1209">
        <v>1244</v>
      </c>
      <c r="P1209">
        <v>14</v>
      </c>
      <c r="Q1209" t="s">
        <v>57</v>
      </c>
      <c r="R1209" t="s">
        <v>60</v>
      </c>
    </row>
    <row r="1210" spans="1:18">
      <c r="A1210">
        <v>11209</v>
      </c>
      <c r="B1210" s="2">
        <v>45405</v>
      </c>
      <c r="C1210" s="2">
        <v>45407</v>
      </c>
      <c r="D1210" s="2">
        <v>45411</v>
      </c>
      <c r="E1210" t="s">
        <v>21</v>
      </c>
      <c r="F1210" t="s">
        <v>22</v>
      </c>
      <c r="G1210" t="s">
        <v>25</v>
      </c>
      <c r="H1210" t="s">
        <v>30</v>
      </c>
      <c r="I1210" t="s">
        <v>34</v>
      </c>
      <c r="J1210" t="s">
        <v>39</v>
      </c>
      <c r="K1210" t="s">
        <v>48</v>
      </c>
      <c r="L1210" t="s">
        <v>51</v>
      </c>
      <c r="M1210">
        <v>54972</v>
      </c>
      <c r="N1210">
        <v>0.21</v>
      </c>
      <c r="O1210">
        <v>2273</v>
      </c>
      <c r="P1210">
        <v>20</v>
      </c>
      <c r="Q1210" t="s">
        <v>54</v>
      </c>
      <c r="R1210" t="s">
        <v>62</v>
      </c>
    </row>
    <row r="1211" spans="1:18">
      <c r="A1211">
        <v>11210</v>
      </c>
      <c r="B1211" s="2">
        <v>45406</v>
      </c>
      <c r="C1211" s="2">
        <v>45408</v>
      </c>
      <c r="D1211" s="2">
        <v>45412</v>
      </c>
      <c r="E1211" t="s">
        <v>19</v>
      </c>
      <c r="F1211" t="s">
        <v>22</v>
      </c>
      <c r="G1211" t="s">
        <v>26</v>
      </c>
      <c r="H1211" t="s">
        <v>29</v>
      </c>
      <c r="I1211" t="s">
        <v>35</v>
      </c>
      <c r="J1211" t="s">
        <v>37</v>
      </c>
      <c r="K1211" t="s">
        <v>44</v>
      </c>
      <c r="L1211" t="s">
        <v>52</v>
      </c>
      <c r="M1211">
        <v>26884</v>
      </c>
      <c r="N1211">
        <v>0.28000000000000003</v>
      </c>
      <c r="O1211">
        <v>4694</v>
      </c>
      <c r="P1211">
        <v>10</v>
      </c>
      <c r="Q1211" t="s">
        <v>56</v>
      </c>
      <c r="R1211" t="s">
        <v>59</v>
      </c>
    </row>
    <row r="1212" spans="1:18">
      <c r="A1212">
        <v>11211</v>
      </c>
      <c r="B1212" s="2">
        <v>45407</v>
      </c>
      <c r="C1212" s="2">
        <v>45409</v>
      </c>
      <c r="D1212" s="2">
        <v>45413</v>
      </c>
      <c r="E1212" t="s">
        <v>20</v>
      </c>
      <c r="F1212" t="s">
        <v>22</v>
      </c>
      <c r="G1212" t="s">
        <v>25</v>
      </c>
      <c r="H1212" t="s">
        <v>25</v>
      </c>
      <c r="I1212" t="s">
        <v>36</v>
      </c>
      <c r="J1212" t="s">
        <v>41</v>
      </c>
      <c r="K1212" t="s">
        <v>47</v>
      </c>
      <c r="L1212" t="s">
        <v>53</v>
      </c>
      <c r="M1212">
        <v>38143</v>
      </c>
      <c r="N1212">
        <v>0.31</v>
      </c>
      <c r="O1212">
        <v>12744</v>
      </c>
      <c r="P1212">
        <v>10</v>
      </c>
      <c r="Q1212" t="s">
        <v>57</v>
      </c>
      <c r="R1212" t="s">
        <v>60</v>
      </c>
    </row>
    <row r="1213" spans="1:18">
      <c r="A1213">
        <v>11212</v>
      </c>
      <c r="B1213" s="2">
        <v>45408</v>
      </c>
      <c r="C1213" s="2">
        <v>45410</v>
      </c>
      <c r="D1213" s="2">
        <v>45414</v>
      </c>
      <c r="E1213" t="s">
        <v>18</v>
      </c>
      <c r="F1213" t="s">
        <v>22</v>
      </c>
      <c r="G1213" t="s">
        <v>24</v>
      </c>
      <c r="H1213" t="s">
        <v>33</v>
      </c>
      <c r="I1213" t="s">
        <v>35</v>
      </c>
      <c r="J1213" t="s">
        <v>39</v>
      </c>
      <c r="K1213" t="s">
        <v>45</v>
      </c>
      <c r="L1213" t="s">
        <v>52</v>
      </c>
      <c r="M1213">
        <v>50385</v>
      </c>
      <c r="N1213">
        <v>0.3</v>
      </c>
      <c r="O1213">
        <v>15123</v>
      </c>
      <c r="P1213">
        <v>11</v>
      </c>
      <c r="Q1213" t="s">
        <v>55</v>
      </c>
      <c r="R1213" t="s">
        <v>61</v>
      </c>
    </row>
    <row r="1214" spans="1:18">
      <c r="A1214">
        <v>11213</v>
      </c>
      <c r="B1214" s="2">
        <v>45409</v>
      </c>
      <c r="C1214" s="2">
        <v>45411</v>
      </c>
      <c r="D1214" s="2">
        <v>45415</v>
      </c>
      <c r="E1214" t="s">
        <v>20</v>
      </c>
      <c r="F1214" t="s">
        <v>22</v>
      </c>
      <c r="G1214" t="s">
        <v>24</v>
      </c>
      <c r="H1214" t="s">
        <v>30</v>
      </c>
      <c r="I1214" t="s">
        <v>36</v>
      </c>
      <c r="J1214" t="s">
        <v>38</v>
      </c>
      <c r="K1214" t="s">
        <v>45</v>
      </c>
      <c r="L1214" t="s">
        <v>53</v>
      </c>
      <c r="M1214">
        <v>43776</v>
      </c>
      <c r="N1214">
        <v>0.16</v>
      </c>
      <c r="O1214">
        <v>19826</v>
      </c>
      <c r="P1214">
        <v>10</v>
      </c>
      <c r="Q1214" t="s">
        <v>57</v>
      </c>
      <c r="R1214" t="s">
        <v>62</v>
      </c>
    </row>
    <row r="1215" spans="1:18">
      <c r="A1215">
        <v>11214</v>
      </c>
      <c r="B1215" s="2">
        <v>45410</v>
      </c>
      <c r="C1215" s="2">
        <v>45412</v>
      </c>
      <c r="D1215" s="2">
        <v>45416</v>
      </c>
      <c r="E1215" t="s">
        <v>18</v>
      </c>
      <c r="F1215" t="s">
        <v>22</v>
      </c>
      <c r="G1215" t="s">
        <v>25</v>
      </c>
      <c r="H1215" t="s">
        <v>32</v>
      </c>
      <c r="I1215" t="s">
        <v>35</v>
      </c>
      <c r="J1215" t="s">
        <v>40</v>
      </c>
      <c r="K1215" t="s">
        <v>47</v>
      </c>
      <c r="L1215" t="s">
        <v>53</v>
      </c>
      <c r="M1215">
        <v>52405</v>
      </c>
      <c r="N1215">
        <v>0.18</v>
      </c>
      <c r="O1215">
        <v>-1175</v>
      </c>
      <c r="P1215">
        <v>10</v>
      </c>
      <c r="Q1215" t="s">
        <v>55</v>
      </c>
      <c r="R1215" t="s">
        <v>60</v>
      </c>
    </row>
    <row r="1216" spans="1:18">
      <c r="A1216">
        <v>11215</v>
      </c>
      <c r="B1216" s="2">
        <v>45411</v>
      </c>
      <c r="C1216" s="2">
        <v>45413</v>
      </c>
      <c r="D1216" s="2">
        <v>45417</v>
      </c>
      <c r="E1216" t="s">
        <v>21</v>
      </c>
      <c r="F1216" t="s">
        <v>22</v>
      </c>
      <c r="G1216" t="s">
        <v>25</v>
      </c>
      <c r="H1216" t="s">
        <v>25</v>
      </c>
      <c r="I1216" t="s">
        <v>36</v>
      </c>
      <c r="J1216" t="s">
        <v>40</v>
      </c>
      <c r="K1216" t="s">
        <v>44</v>
      </c>
      <c r="L1216" t="s">
        <v>52</v>
      </c>
      <c r="M1216">
        <v>8835</v>
      </c>
      <c r="N1216">
        <v>0.03</v>
      </c>
      <c r="O1216">
        <v>-525</v>
      </c>
      <c r="P1216">
        <v>18</v>
      </c>
      <c r="Q1216" t="s">
        <v>58</v>
      </c>
      <c r="R1216" t="s">
        <v>61</v>
      </c>
    </row>
    <row r="1217" spans="1:18">
      <c r="A1217">
        <v>11216</v>
      </c>
      <c r="B1217" s="2">
        <v>45412</v>
      </c>
      <c r="C1217" s="2">
        <v>45414</v>
      </c>
      <c r="D1217" s="2">
        <v>45418</v>
      </c>
      <c r="E1217" t="s">
        <v>18</v>
      </c>
      <c r="F1217" t="s">
        <v>22</v>
      </c>
      <c r="G1217" t="s">
        <v>25</v>
      </c>
      <c r="H1217" t="s">
        <v>29</v>
      </c>
      <c r="I1217" t="s">
        <v>34</v>
      </c>
      <c r="J1217" t="s">
        <v>38</v>
      </c>
      <c r="K1217" t="s">
        <v>49</v>
      </c>
      <c r="L1217" t="s">
        <v>51</v>
      </c>
      <c r="M1217">
        <v>10925</v>
      </c>
      <c r="N1217">
        <v>0.28999999999999998</v>
      </c>
      <c r="O1217">
        <v>-1027</v>
      </c>
      <c r="P1217">
        <v>14</v>
      </c>
      <c r="Q1217" t="s">
        <v>54</v>
      </c>
      <c r="R1217" t="s">
        <v>60</v>
      </c>
    </row>
    <row r="1218" spans="1:18">
      <c r="A1218">
        <v>11217</v>
      </c>
      <c r="B1218" s="2">
        <v>45413</v>
      </c>
      <c r="C1218" s="2">
        <v>45415</v>
      </c>
      <c r="D1218" s="2">
        <v>45419</v>
      </c>
      <c r="E1218" t="s">
        <v>19</v>
      </c>
      <c r="F1218" t="s">
        <v>22</v>
      </c>
      <c r="G1218" t="s">
        <v>28</v>
      </c>
      <c r="H1218" t="s">
        <v>30</v>
      </c>
      <c r="I1218" t="s">
        <v>35</v>
      </c>
      <c r="J1218" t="s">
        <v>37</v>
      </c>
      <c r="K1218" t="s">
        <v>47</v>
      </c>
      <c r="L1218" t="s">
        <v>53</v>
      </c>
      <c r="M1218">
        <v>51575</v>
      </c>
      <c r="N1218">
        <v>7.0000000000000007E-2</v>
      </c>
      <c r="O1218">
        <v>1405</v>
      </c>
      <c r="P1218">
        <v>19</v>
      </c>
      <c r="Q1218" t="s">
        <v>54</v>
      </c>
      <c r="R1218" t="s">
        <v>61</v>
      </c>
    </row>
    <row r="1219" spans="1:18">
      <c r="A1219">
        <v>11218</v>
      </c>
      <c r="B1219" s="2">
        <v>45414</v>
      </c>
      <c r="C1219" s="2">
        <v>45416</v>
      </c>
      <c r="D1219" s="2">
        <v>45420</v>
      </c>
      <c r="E1219" t="s">
        <v>19</v>
      </c>
      <c r="F1219" t="s">
        <v>22</v>
      </c>
      <c r="G1219" t="s">
        <v>27</v>
      </c>
      <c r="H1219" t="s">
        <v>30</v>
      </c>
      <c r="I1219" t="s">
        <v>36</v>
      </c>
      <c r="J1219" t="s">
        <v>39</v>
      </c>
      <c r="K1219" t="s">
        <v>44</v>
      </c>
      <c r="L1219" t="s">
        <v>52</v>
      </c>
      <c r="M1219">
        <v>33885</v>
      </c>
      <c r="N1219">
        <v>0.12</v>
      </c>
      <c r="O1219">
        <v>2739</v>
      </c>
      <c r="P1219">
        <v>13</v>
      </c>
      <c r="Q1219" t="s">
        <v>55</v>
      </c>
      <c r="R1219" t="s">
        <v>62</v>
      </c>
    </row>
    <row r="1220" spans="1:18">
      <c r="A1220">
        <v>11219</v>
      </c>
      <c r="B1220" s="2">
        <v>45415</v>
      </c>
      <c r="C1220" s="2">
        <v>45417</v>
      </c>
      <c r="D1220" s="2">
        <v>45421</v>
      </c>
      <c r="E1220" t="s">
        <v>20</v>
      </c>
      <c r="F1220" t="s">
        <v>22</v>
      </c>
      <c r="G1220" t="s">
        <v>28</v>
      </c>
      <c r="H1220" t="s">
        <v>32</v>
      </c>
      <c r="I1220" t="s">
        <v>35</v>
      </c>
      <c r="J1220" t="s">
        <v>38</v>
      </c>
      <c r="K1220" t="s">
        <v>50</v>
      </c>
      <c r="L1220" t="s">
        <v>53</v>
      </c>
      <c r="M1220">
        <v>17409</v>
      </c>
      <c r="N1220">
        <v>0.01</v>
      </c>
      <c r="O1220">
        <v>7111</v>
      </c>
      <c r="P1220">
        <v>23</v>
      </c>
      <c r="Q1220" t="s">
        <v>55</v>
      </c>
      <c r="R1220" t="s">
        <v>61</v>
      </c>
    </row>
    <row r="1221" spans="1:18">
      <c r="A1221">
        <v>11220</v>
      </c>
      <c r="B1221" s="2">
        <v>45416</v>
      </c>
      <c r="C1221" s="2">
        <v>45418</v>
      </c>
      <c r="D1221" s="2">
        <v>45422</v>
      </c>
      <c r="E1221" t="s">
        <v>20</v>
      </c>
      <c r="F1221" t="s">
        <v>22</v>
      </c>
      <c r="G1221" t="s">
        <v>23</v>
      </c>
      <c r="H1221" t="s">
        <v>25</v>
      </c>
      <c r="I1221" t="s">
        <v>36</v>
      </c>
      <c r="J1221" t="s">
        <v>38</v>
      </c>
      <c r="K1221" t="s">
        <v>48</v>
      </c>
      <c r="L1221" t="s">
        <v>51</v>
      </c>
      <c r="M1221">
        <v>59416</v>
      </c>
      <c r="N1221">
        <v>0.33</v>
      </c>
      <c r="O1221">
        <v>1366</v>
      </c>
      <c r="P1221">
        <v>12</v>
      </c>
      <c r="Q1221" t="s">
        <v>56</v>
      </c>
      <c r="R1221" t="s">
        <v>62</v>
      </c>
    </row>
    <row r="1222" spans="1:18">
      <c r="A1222">
        <v>11221</v>
      </c>
      <c r="B1222" s="2">
        <v>45417</v>
      </c>
      <c r="C1222" s="2">
        <v>45419</v>
      </c>
      <c r="D1222" s="2">
        <v>45423</v>
      </c>
      <c r="E1222" t="s">
        <v>21</v>
      </c>
      <c r="F1222" t="s">
        <v>22</v>
      </c>
      <c r="G1222" t="s">
        <v>26</v>
      </c>
      <c r="H1222" t="s">
        <v>30</v>
      </c>
      <c r="I1222" t="s">
        <v>36</v>
      </c>
      <c r="J1222" t="s">
        <v>38</v>
      </c>
      <c r="K1222" t="s">
        <v>50</v>
      </c>
      <c r="L1222" t="s">
        <v>52</v>
      </c>
      <c r="M1222">
        <v>46972</v>
      </c>
      <c r="N1222">
        <v>0.01</v>
      </c>
      <c r="O1222">
        <v>14312</v>
      </c>
      <c r="P1222">
        <v>10</v>
      </c>
      <c r="Q1222" t="s">
        <v>55</v>
      </c>
      <c r="R1222" t="s">
        <v>59</v>
      </c>
    </row>
    <row r="1223" spans="1:18">
      <c r="A1223">
        <v>11222</v>
      </c>
      <c r="B1223" s="2">
        <v>45418</v>
      </c>
      <c r="C1223" s="2">
        <v>45420</v>
      </c>
      <c r="D1223" s="2">
        <v>45424</v>
      </c>
      <c r="E1223" t="s">
        <v>20</v>
      </c>
      <c r="F1223" t="s">
        <v>22</v>
      </c>
      <c r="G1223" t="s">
        <v>27</v>
      </c>
      <c r="H1223" t="s">
        <v>25</v>
      </c>
      <c r="I1223" t="s">
        <v>36</v>
      </c>
      <c r="J1223" t="s">
        <v>41</v>
      </c>
      <c r="K1223" t="s">
        <v>49</v>
      </c>
      <c r="L1223" t="s">
        <v>51</v>
      </c>
      <c r="M1223">
        <v>70425</v>
      </c>
      <c r="N1223">
        <v>0.28999999999999998</v>
      </c>
      <c r="O1223">
        <v>19417</v>
      </c>
      <c r="P1223">
        <v>20</v>
      </c>
      <c r="Q1223" t="s">
        <v>58</v>
      </c>
      <c r="R1223" t="s">
        <v>62</v>
      </c>
    </row>
    <row r="1224" spans="1:18">
      <c r="A1224">
        <v>11223</v>
      </c>
      <c r="B1224" s="2">
        <v>45419</v>
      </c>
      <c r="C1224" s="2">
        <v>45421</v>
      </c>
      <c r="D1224" s="2">
        <v>45425</v>
      </c>
      <c r="E1224" t="s">
        <v>20</v>
      </c>
      <c r="F1224" t="s">
        <v>22</v>
      </c>
      <c r="G1224" t="s">
        <v>25</v>
      </c>
      <c r="H1224" t="s">
        <v>32</v>
      </c>
      <c r="I1224" t="s">
        <v>36</v>
      </c>
      <c r="J1224" t="s">
        <v>37</v>
      </c>
      <c r="K1224" t="s">
        <v>44</v>
      </c>
      <c r="L1224" t="s">
        <v>52</v>
      </c>
      <c r="M1224">
        <v>41913</v>
      </c>
      <c r="N1224">
        <v>0.12</v>
      </c>
      <c r="O1224">
        <v>-157</v>
      </c>
      <c r="P1224">
        <v>23</v>
      </c>
      <c r="Q1224" t="s">
        <v>55</v>
      </c>
      <c r="R1224" t="s">
        <v>59</v>
      </c>
    </row>
    <row r="1225" spans="1:18">
      <c r="A1225">
        <v>11224</v>
      </c>
      <c r="B1225" s="2">
        <v>45420</v>
      </c>
      <c r="C1225" s="2">
        <v>45422</v>
      </c>
      <c r="D1225" s="2">
        <v>45426</v>
      </c>
      <c r="E1225" t="s">
        <v>20</v>
      </c>
      <c r="F1225" t="s">
        <v>22</v>
      </c>
      <c r="G1225" t="s">
        <v>27</v>
      </c>
      <c r="H1225" t="s">
        <v>25</v>
      </c>
      <c r="I1225" t="s">
        <v>36</v>
      </c>
      <c r="J1225" t="s">
        <v>40</v>
      </c>
      <c r="K1225" t="s">
        <v>46</v>
      </c>
      <c r="L1225" t="s">
        <v>53</v>
      </c>
      <c r="M1225">
        <v>14019</v>
      </c>
      <c r="N1225">
        <v>0.38</v>
      </c>
      <c r="O1225">
        <v>13015</v>
      </c>
      <c r="P1225">
        <v>14</v>
      </c>
      <c r="Q1225" t="s">
        <v>57</v>
      </c>
      <c r="R1225" t="s">
        <v>61</v>
      </c>
    </row>
    <row r="1226" spans="1:18">
      <c r="A1226">
        <v>11225</v>
      </c>
      <c r="B1226" s="2">
        <v>45421</v>
      </c>
      <c r="C1226" s="2">
        <v>45423</v>
      </c>
      <c r="D1226" s="2">
        <v>45427</v>
      </c>
      <c r="E1226" t="s">
        <v>19</v>
      </c>
      <c r="F1226" t="s">
        <v>22</v>
      </c>
      <c r="G1226" t="s">
        <v>24</v>
      </c>
      <c r="H1226" t="s">
        <v>31</v>
      </c>
      <c r="I1226" t="s">
        <v>36</v>
      </c>
      <c r="J1226" t="s">
        <v>43</v>
      </c>
      <c r="K1226" t="s">
        <v>49</v>
      </c>
      <c r="L1226" t="s">
        <v>53</v>
      </c>
      <c r="M1226">
        <v>10008</v>
      </c>
      <c r="N1226">
        <v>0.31</v>
      </c>
      <c r="O1226">
        <v>14831</v>
      </c>
      <c r="P1226">
        <v>8</v>
      </c>
      <c r="Q1226" t="s">
        <v>58</v>
      </c>
      <c r="R1226" t="s">
        <v>62</v>
      </c>
    </row>
    <row r="1227" spans="1:18">
      <c r="A1227">
        <v>11226</v>
      </c>
      <c r="B1227" s="2">
        <v>45422</v>
      </c>
      <c r="C1227" s="2">
        <v>45424</v>
      </c>
      <c r="D1227" s="2">
        <v>45428</v>
      </c>
      <c r="E1227" t="s">
        <v>19</v>
      </c>
      <c r="F1227" t="s">
        <v>22</v>
      </c>
      <c r="G1227" t="s">
        <v>24</v>
      </c>
      <c r="H1227" t="s">
        <v>31</v>
      </c>
      <c r="I1227" t="s">
        <v>36</v>
      </c>
      <c r="J1227" t="s">
        <v>38</v>
      </c>
      <c r="K1227" t="s">
        <v>44</v>
      </c>
      <c r="L1227" t="s">
        <v>53</v>
      </c>
      <c r="M1227">
        <v>53992</v>
      </c>
      <c r="N1227">
        <v>0.06</v>
      </c>
      <c r="O1227">
        <v>4666</v>
      </c>
      <c r="P1227">
        <v>10</v>
      </c>
      <c r="Q1227" t="s">
        <v>54</v>
      </c>
      <c r="R1227" t="s">
        <v>62</v>
      </c>
    </row>
    <row r="1228" spans="1:18">
      <c r="A1228">
        <v>11227</v>
      </c>
      <c r="B1228" s="2">
        <v>45423</v>
      </c>
      <c r="C1228" s="2">
        <v>45425</v>
      </c>
      <c r="D1228" s="2">
        <v>45429</v>
      </c>
      <c r="E1228" t="s">
        <v>20</v>
      </c>
      <c r="F1228" t="s">
        <v>22</v>
      </c>
      <c r="G1228" t="s">
        <v>27</v>
      </c>
      <c r="H1228" t="s">
        <v>31</v>
      </c>
      <c r="I1228" t="s">
        <v>34</v>
      </c>
      <c r="J1228" t="s">
        <v>40</v>
      </c>
      <c r="K1228" t="s">
        <v>50</v>
      </c>
      <c r="L1228" t="s">
        <v>52</v>
      </c>
      <c r="M1228">
        <v>63559</v>
      </c>
      <c r="N1228">
        <v>0.28999999999999998</v>
      </c>
      <c r="O1228">
        <v>3228</v>
      </c>
      <c r="P1228">
        <v>22</v>
      </c>
      <c r="Q1228" t="s">
        <v>54</v>
      </c>
      <c r="R1228" t="s">
        <v>60</v>
      </c>
    </row>
    <row r="1229" spans="1:18">
      <c r="A1229">
        <v>11228</v>
      </c>
      <c r="B1229" s="2">
        <v>45424</v>
      </c>
      <c r="C1229" s="2">
        <v>45426</v>
      </c>
      <c r="D1229" s="2">
        <v>45430</v>
      </c>
      <c r="E1229" t="s">
        <v>20</v>
      </c>
      <c r="F1229" t="s">
        <v>22</v>
      </c>
      <c r="G1229" t="s">
        <v>23</v>
      </c>
      <c r="H1229" t="s">
        <v>32</v>
      </c>
      <c r="I1229" t="s">
        <v>36</v>
      </c>
      <c r="J1229" t="s">
        <v>39</v>
      </c>
      <c r="K1229" t="s">
        <v>46</v>
      </c>
      <c r="L1229" t="s">
        <v>53</v>
      </c>
      <c r="M1229">
        <v>12204</v>
      </c>
      <c r="N1229">
        <v>0.18</v>
      </c>
      <c r="O1229">
        <v>16098</v>
      </c>
      <c r="P1229">
        <v>4</v>
      </c>
      <c r="Q1229" t="s">
        <v>58</v>
      </c>
      <c r="R1229" t="s">
        <v>62</v>
      </c>
    </row>
    <row r="1230" spans="1:18">
      <c r="A1230">
        <v>11229</v>
      </c>
      <c r="B1230" s="2">
        <v>45425</v>
      </c>
      <c r="C1230" s="2">
        <v>45427</v>
      </c>
      <c r="D1230" s="2">
        <v>45431</v>
      </c>
      <c r="E1230" t="s">
        <v>19</v>
      </c>
      <c r="F1230" t="s">
        <v>22</v>
      </c>
      <c r="G1230" t="s">
        <v>27</v>
      </c>
      <c r="H1230" t="s">
        <v>31</v>
      </c>
      <c r="I1230" t="s">
        <v>34</v>
      </c>
      <c r="J1230" t="s">
        <v>40</v>
      </c>
      <c r="K1230" t="s">
        <v>44</v>
      </c>
      <c r="L1230" t="s">
        <v>51</v>
      </c>
      <c r="M1230">
        <v>29143</v>
      </c>
      <c r="N1230">
        <v>0.26</v>
      </c>
      <c r="O1230">
        <v>17814</v>
      </c>
      <c r="P1230">
        <v>10</v>
      </c>
      <c r="Q1230" t="s">
        <v>56</v>
      </c>
      <c r="R1230" t="s">
        <v>60</v>
      </c>
    </row>
    <row r="1231" spans="1:18">
      <c r="A1231">
        <v>11230</v>
      </c>
      <c r="B1231" s="2">
        <v>45426</v>
      </c>
      <c r="C1231" s="2">
        <v>45428</v>
      </c>
      <c r="D1231" s="2">
        <v>45432</v>
      </c>
      <c r="E1231" t="s">
        <v>19</v>
      </c>
      <c r="F1231" t="s">
        <v>22</v>
      </c>
      <c r="G1231" t="s">
        <v>28</v>
      </c>
      <c r="H1231" t="s">
        <v>25</v>
      </c>
      <c r="I1231" t="s">
        <v>34</v>
      </c>
      <c r="J1231" t="s">
        <v>40</v>
      </c>
      <c r="K1231" t="s">
        <v>47</v>
      </c>
      <c r="L1231" t="s">
        <v>52</v>
      </c>
      <c r="M1231">
        <v>10838</v>
      </c>
      <c r="N1231">
        <v>0.16</v>
      </c>
      <c r="O1231">
        <v>-40</v>
      </c>
      <c r="P1231">
        <v>7</v>
      </c>
      <c r="Q1231" t="s">
        <v>57</v>
      </c>
      <c r="R1231" t="s">
        <v>61</v>
      </c>
    </row>
    <row r="1232" spans="1:18">
      <c r="A1232">
        <v>11231</v>
      </c>
      <c r="B1232" s="2">
        <v>45427</v>
      </c>
      <c r="C1232" s="2">
        <v>45429</v>
      </c>
      <c r="D1232" s="2">
        <v>45433</v>
      </c>
      <c r="E1232" t="s">
        <v>18</v>
      </c>
      <c r="F1232" t="s">
        <v>22</v>
      </c>
      <c r="G1232" t="s">
        <v>25</v>
      </c>
      <c r="H1232" t="s">
        <v>25</v>
      </c>
      <c r="I1232" t="s">
        <v>35</v>
      </c>
      <c r="J1232" t="s">
        <v>41</v>
      </c>
      <c r="K1232" t="s">
        <v>47</v>
      </c>
      <c r="L1232" t="s">
        <v>53</v>
      </c>
      <c r="M1232">
        <v>38407</v>
      </c>
      <c r="N1232">
        <v>0.13</v>
      </c>
      <c r="O1232">
        <v>5942</v>
      </c>
      <c r="P1232">
        <v>11</v>
      </c>
      <c r="Q1232" t="s">
        <v>58</v>
      </c>
      <c r="R1232" t="s">
        <v>59</v>
      </c>
    </row>
    <row r="1233" spans="1:18">
      <c r="A1233">
        <v>11232</v>
      </c>
      <c r="B1233" s="2">
        <v>45428</v>
      </c>
      <c r="C1233" s="2">
        <v>45430</v>
      </c>
      <c r="D1233" s="2">
        <v>45434</v>
      </c>
      <c r="E1233" t="s">
        <v>21</v>
      </c>
      <c r="F1233" t="s">
        <v>22</v>
      </c>
      <c r="G1233" t="s">
        <v>26</v>
      </c>
      <c r="H1233" t="s">
        <v>25</v>
      </c>
      <c r="I1233" t="s">
        <v>34</v>
      </c>
      <c r="J1233" t="s">
        <v>39</v>
      </c>
      <c r="K1233" t="s">
        <v>46</v>
      </c>
      <c r="L1233" t="s">
        <v>53</v>
      </c>
      <c r="M1233">
        <v>15095</v>
      </c>
      <c r="N1233">
        <v>0.37</v>
      </c>
      <c r="O1233">
        <v>5662</v>
      </c>
      <c r="P1233">
        <v>10</v>
      </c>
      <c r="Q1233" t="s">
        <v>56</v>
      </c>
      <c r="R1233" t="s">
        <v>59</v>
      </c>
    </row>
    <row r="1234" spans="1:18">
      <c r="A1234">
        <v>11233</v>
      </c>
      <c r="B1234" s="2">
        <v>45429</v>
      </c>
      <c r="C1234" s="2">
        <v>45431</v>
      </c>
      <c r="D1234" s="2">
        <v>45435</v>
      </c>
      <c r="E1234" t="s">
        <v>21</v>
      </c>
      <c r="F1234" t="s">
        <v>22</v>
      </c>
      <c r="G1234" t="s">
        <v>27</v>
      </c>
      <c r="H1234" t="s">
        <v>31</v>
      </c>
      <c r="I1234" t="s">
        <v>34</v>
      </c>
      <c r="J1234" t="s">
        <v>37</v>
      </c>
      <c r="K1234" t="s">
        <v>49</v>
      </c>
      <c r="L1234" t="s">
        <v>51</v>
      </c>
      <c r="M1234">
        <v>52689</v>
      </c>
      <c r="N1234">
        <v>0.18</v>
      </c>
      <c r="O1234">
        <v>3748</v>
      </c>
      <c r="P1234">
        <v>3</v>
      </c>
      <c r="Q1234" t="s">
        <v>55</v>
      </c>
      <c r="R1234" t="s">
        <v>59</v>
      </c>
    </row>
    <row r="1235" spans="1:18">
      <c r="A1235">
        <v>11234</v>
      </c>
      <c r="B1235" s="2">
        <v>45430</v>
      </c>
      <c r="C1235" s="2">
        <v>45432</v>
      </c>
      <c r="D1235" s="2">
        <v>45436</v>
      </c>
      <c r="E1235" t="s">
        <v>21</v>
      </c>
      <c r="F1235" t="s">
        <v>22</v>
      </c>
      <c r="G1235" t="s">
        <v>26</v>
      </c>
      <c r="H1235" t="s">
        <v>30</v>
      </c>
      <c r="I1235" t="s">
        <v>35</v>
      </c>
      <c r="J1235" t="s">
        <v>38</v>
      </c>
      <c r="K1235" t="s">
        <v>45</v>
      </c>
      <c r="L1235" t="s">
        <v>53</v>
      </c>
      <c r="M1235">
        <v>1125</v>
      </c>
      <c r="N1235">
        <v>0.12</v>
      </c>
      <c r="O1235">
        <v>17836</v>
      </c>
      <c r="P1235">
        <v>23</v>
      </c>
      <c r="Q1235" t="s">
        <v>55</v>
      </c>
      <c r="R1235" t="s">
        <v>60</v>
      </c>
    </row>
    <row r="1236" spans="1:18">
      <c r="A1236">
        <v>11235</v>
      </c>
      <c r="B1236" s="2">
        <v>45431</v>
      </c>
      <c r="C1236" s="2">
        <v>45433</v>
      </c>
      <c r="D1236" s="2">
        <v>45437</v>
      </c>
      <c r="E1236" t="s">
        <v>20</v>
      </c>
      <c r="F1236" t="s">
        <v>22</v>
      </c>
      <c r="G1236" t="s">
        <v>24</v>
      </c>
      <c r="H1236" t="s">
        <v>25</v>
      </c>
      <c r="I1236" t="s">
        <v>35</v>
      </c>
      <c r="J1236" t="s">
        <v>43</v>
      </c>
      <c r="K1236" t="s">
        <v>45</v>
      </c>
      <c r="L1236" t="s">
        <v>53</v>
      </c>
      <c r="M1236">
        <v>57279</v>
      </c>
      <c r="N1236">
        <v>0.02</v>
      </c>
      <c r="O1236">
        <v>14305</v>
      </c>
      <c r="P1236">
        <v>17</v>
      </c>
      <c r="Q1236" t="s">
        <v>55</v>
      </c>
      <c r="R1236" t="s">
        <v>59</v>
      </c>
    </row>
    <row r="1237" spans="1:18">
      <c r="A1237">
        <v>11236</v>
      </c>
      <c r="B1237" s="2">
        <v>45432</v>
      </c>
      <c r="C1237" s="2">
        <v>45434</v>
      </c>
      <c r="D1237" s="2">
        <v>45438</v>
      </c>
      <c r="E1237" t="s">
        <v>18</v>
      </c>
      <c r="F1237" t="s">
        <v>22</v>
      </c>
      <c r="G1237" t="s">
        <v>27</v>
      </c>
      <c r="H1237" t="s">
        <v>31</v>
      </c>
      <c r="I1237" t="s">
        <v>34</v>
      </c>
      <c r="J1237" t="s">
        <v>40</v>
      </c>
      <c r="K1237" t="s">
        <v>47</v>
      </c>
      <c r="L1237" t="s">
        <v>51</v>
      </c>
      <c r="M1237">
        <v>20206</v>
      </c>
      <c r="N1237">
        <v>7.0000000000000007E-2</v>
      </c>
      <c r="O1237">
        <v>13523</v>
      </c>
      <c r="P1237">
        <v>1</v>
      </c>
      <c r="Q1237" t="s">
        <v>56</v>
      </c>
      <c r="R1237" t="s">
        <v>59</v>
      </c>
    </row>
    <row r="1238" spans="1:18">
      <c r="A1238">
        <v>11237</v>
      </c>
      <c r="B1238" s="2">
        <v>45433</v>
      </c>
      <c r="C1238" s="2">
        <v>45435</v>
      </c>
      <c r="D1238" s="2">
        <v>45439</v>
      </c>
      <c r="E1238" t="s">
        <v>21</v>
      </c>
      <c r="F1238" t="s">
        <v>22</v>
      </c>
      <c r="G1238" t="s">
        <v>24</v>
      </c>
      <c r="H1238" t="s">
        <v>25</v>
      </c>
      <c r="I1238" t="s">
        <v>35</v>
      </c>
      <c r="J1238" t="s">
        <v>40</v>
      </c>
      <c r="K1238" t="s">
        <v>46</v>
      </c>
      <c r="L1238" t="s">
        <v>51</v>
      </c>
      <c r="M1238">
        <v>61064</v>
      </c>
      <c r="N1238">
        <v>0.26</v>
      </c>
      <c r="O1238">
        <v>3140</v>
      </c>
      <c r="P1238">
        <v>24</v>
      </c>
      <c r="Q1238" t="s">
        <v>57</v>
      </c>
      <c r="R1238" t="s">
        <v>59</v>
      </c>
    </row>
    <row r="1239" spans="1:18">
      <c r="A1239">
        <v>11238</v>
      </c>
      <c r="B1239" s="2">
        <v>45434</v>
      </c>
      <c r="C1239" s="2">
        <v>45436</v>
      </c>
      <c r="D1239" s="2">
        <v>45440</v>
      </c>
      <c r="E1239" t="s">
        <v>18</v>
      </c>
      <c r="F1239" t="s">
        <v>22</v>
      </c>
      <c r="G1239" t="s">
        <v>24</v>
      </c>
      <c r="H1239" t="s">
        <v>29</v>
      </c>
      <c r="I1239" t="s">
        <v>34</v>
      </c>
      <c r="J1239" t="s">
        <v>42</v>
      </c>
      <c r="K1239" t="s">
        <v>46</v>
      </c>
      <c r="L1239" t="s">
        <v>53</v>
      </c>
      <c r="M1239">
        <v>34633</v>
      </c>
      <c r="N1239">
        <v>0.17</v>
      </c>
      <c r="O1239">
        <v>13469</v>
      </c>
      <c r="P1239">
        <v>10</v>
      </c>
      <c r="Q1239" t="s">
        <v>56</v>
      </c>
      <c r="R1239" t="s">
        <v>61</v>
      </c>
    </row>
    <row r="1240" spans="1:18">
      <c r="A1240">
        <v>11239</v>
      </c>
      <c r="B1240" s="2">
        <v>45435</v>
      </c>
      <c r="C1240" s="2">
        <v>45437</v>
      </c>
      <c r="D1240" s="2">
        <v>45441</v>
      </c>
      <c r="E1240" t="s">
        <v>20</v>
      </c>
      <c r="F1240" t="s">
        <v>22</v>
      </c>
      <c r="G1240" t="s">
        <v>27</v>
      </c>
      <c r="H1240" t="s">
        <v>33</v>
      </c>
      <c r="I1240" t="s">
        <v>35</v>
      </c>
      <c r="J1240" t="s">
        <v>43</v>
      </c>
      <c r="K1240" t="s">
        <v>45</v>
      </c>
      <c r="L1240" t="s">
        <v>53</v>
      </c>
      <c r="M1240">
        <v>34307</v>
      </c>
      <c r="N1240">
        <v>0.21</v>
      </c>
      <c r="O1240">
        <v>16016</v>
      </c>
      <c r="P1240">
        <v>10</v>
      </c>
      <c r="Q1240" t="s">
        <v>58</v>
      </c>
      <c r="R1240" t="s">
        <v>62</v>
      </c>
    </row>
    <row r="1241" spans="1:18">
      <c r="A1241">
        <v>11240</v>
      </c>
      <c r="B1241" s="2">
        <v>45436</v>
      </c>
      <c r="C1241" s="2">
        <v>45438</v>
      </c>
      <c r="D1241" s="2">
        <v>45442</v>
      </c>
      <c r="E1241" t="s">
        <v>20</v>
      </c>
      <c r="F1241" t="s">
        <v>22</v>
      </c>
      <c r="G1241" t="s">
        <v>26</v>
      </c>
      <c r="H1241" t="s">
        <v>30</v>
      </c>
      <c r="I1241" t="s">
        <v>36</v>
      </c>
      <c r="J1241" t="s">
        <v>41</v>
      </c>
      <c r="K1241" t="s">
        <v>44</v>
      </c>
      <c r="L1241" t="s">
        <v>51</v>
      </c>
      <c r="M1241">
        <v>8510</v>
      </c>
      <c r="N1241">
        <v>0.23</v>
      </c>
      <c r="O1241">
        <v>5653</v>
      </c>
      <c r="P1241">
        <v>10</v>
      </c>
      <c r="Q1241" t="s">
        <v>54</v>
      </c>
      <c r="R1241" t="s">
        <v>61</v>
      </c>
    </row>
    <row r="1242" spans="1:18">
      <c r="A1242">
        <v>11241</v>
      </c>
      <c r="B1242" s="2">
        <v>45437</v>
      </c>
      <c r="C1242" s="2">
        <v>45439</v>
      </c>
      <c r="D1242" s="2">
        <v>45443</v>
      </c>
      <c r="E1242" t="s">
        <v>21</v>
      </c>
      <c r="F1242" t="s">
        <v>22</v>
      </c>
      <c r="G1242" t="s">
        <v>28</v>
      </c>
      <c r="H1242" t="s">
        <v>25</v>
      </c>
      <c r="I1242" t="s">
        <v>36</v>
      </c>
      <c r="J1242" t="s">
        <v>38</v>
      </c>
      <c r="K1242" t="s">
        <v>48</v>
      </c>
      <c r="L1242" t="s">
        <v>52</v>
      </c>
      <c r="M1242">
        <v>67889</v>
      </c>
      <c r="N1242">
        <v>0.04</v>
      </c>
      <c r="O1242">
        <v>14731</v>
      </c>
      <c r="P1242">
        <v>4</v>
      </c>
      <c r="Q1242" t="s">
        <v>57</v>
      </c>
      <c r="R1242" t="s">
        <v>59</v>
      </c>
    </row>
    <row r="1243" spans="1:18">
      <c r="A1243">
        <v>11242</v>
      </c>
      <c r="B1243" s="2">
        <v>45438</v>
      </c>
      <c r="C1243" s="2">
        <v>45440</v>
      </c>
      <c r="D1243" s="2">
        <v>45444</v>
      </c>
      <c r="E1243" t="s">
        <v>19</v>
      </c>
      <c r="F1243" t="s">
        <v>22</v>
      </c>
      <c r="G1243" t="s">
        <v>26</v>
      </c>
      <c r="H1243" t="s">
        <v>32</v>
      </c>
      <c r="I1243" t="s">
        <v>35</v>
      </c>
      <c r="J1243" t="s">
        <v>39</v>
      </c>
      <c r="K1243" t="s">
        <v>44</v>
      </c>
      <c r="L1243" t="s">
        <v>53</v>
      </c>
      <c r="M1243">
        <v>64850</v>
      </c>
      <c r="N1243">
        <v>0.23</v>
      </c>
      <c r="O1243">
        <v>6557</v>
      </c>
      <c r="P1243">
        <v>1</v>
      </c>
      <c r="Q1243" t="s">
        <v>54</v>
      </c>
      <c r="R1243" t="s">
        <v>61</v>
      </c>
    </row>
    <row r="1244" spans="1:18">
      <c r="A1244">
        <v>11243</v>
      </c>
      <c r="B1244" s="2">
        <v>45439</v>
      </c>
      <c r="C1244" s="2">
        <v>45441</v>
      </c>
      <c r="D1244" s="2">
        <v>45445</v>
      </c>
      <c r="E1244" t="s">
        <v>19</v>
      </c>
      <c r="F1244" t="s">
        <v>22</v>
      </c>
      <c r="G1244" t="s">
        <v>24</v>
      </c>
      <c r="H1244" t="s">
        <v>30</v>
      </c>
      <c r="I1244" t="s">
        <v>35</v>
      </c>
      <c r="J1244" t="s">
        <v>38</v>
      </c>
      <c r="K1244" t="s">
        <v>50</v>
      </c>
      <c r="L1244" t="s">
        <v>52</v>
      </c>
      <c r="M1244">
        <v>45947</v>
      </c>
      <c r="N1244">
        <v>0.06</v>
      </c>
      <c r="O1244">
        <v>17816</v>
      </c>
      <c r="P1244">
        <v>8</v>
      </c>
      <c r="Q1244" t="s">
        <v>58</v>
      </c>
      <c r="R1244" t="s">
        <v>60</v>
      </c>
    </row>
    <row r="1245" spans="1:18">
      <c r="A1245">
        <v>11244</v>
      </c>
      <c r="B1245" s="2">
        <v>45440</v>
      </c>
      <c r="C1245" s="2">
        <v>45442</v>
      </c>
      <c r="D1245" s="2">
        <v>45446</v>
      </c>
      <c r="E1245" t="s">
        <v>21</v>
      </c>
      <c r="F1245" t="s">
        <v>22</v>
      </c>
      <c r="G1245" t="s">
        <v>27</v>
      </c>
      <c r="H1245" t="s">
        <v>32</v>
      </c>
      <c r="I1245" t="s">
        <v>34</v>
      </c>
      <c r="J1245" t="s">
        <v>42</v>
      </c>
      <c r="K1245" t="s">
        <v>50</v>
      </c>
      <c r="L1245" t="s">
        <v>52</v>
      </c>
      <c r="M1245">
        <v>66074</v>
      </c>
      <c r="N1245">
        <v>0.28999999999999998</v>
      </c>
      <c r="O1245">
        <v>16847</v>
      </c>
      <c r="P1245">
        <v>20</v>
      </c>
      <c r="Q1245" t="s">
        <v>54</v>
      </c>
      <c r="R1245" t="s">
        <v>61</v>
      </c>
    </row>
    <row r="1246" spans="1:18">
      <c r="A1246">
        <v>11245</v>
      </c>
      <c r="B1246" s="2">
        <v>45441</v>
      </c>
      <c r="C1246" s="2">
        <v>45443</v>
      </c>
      <c r="D1246" s="2">
        <v>45447</v>
      </c>
      <c r="E1246" t="s">
        <v>18</v>
      </c>
      <c r="F1246" t="s">
        <v>22</v>
      </c>
      <c r="G1246" t="s">
        <v>25</v>
      </c>
      <c r="H1246" t="s">
        <v>32</v>
      </c>
      <c r="I1246" t="s">
        <v>36</v>
      </c>
      <c r="J1246" t="s">
        <v>38</v>
      </c>
      <c r="K1246" t="s">
        <v>49</v>
      </c>
      <c r="L1246" t="s">
        <v>52</v>
      </c>
      <c r="M1246">
        <v>43599</v>
      </c>
      <c r="N1246">
        <v>0.2</v>
      </c>
      <c r="O1246">
        <v>16249</v>
      </c>
      <c r="P1246">
        <v>9</v>
      </c>
      <c r="Q1246" t="s">
        <v>55</v>
      </c>
      <c r="R1246" t="s">
        <v>61</v>
      </c>
    </row>
    <row r="1247" spans="1:18">
      <c r="A1247">
        <v>11246</v>
      </c>
      <c r="B1247" s="2">
        <v>45442</v>
      </c>
      <c r="C1247" s="2">
        <v>45444</v>
      </c>
      <c r="D1247" s="2">
        <v>45448</v>
      </c>
      <c r="E1247" t="s">
        <v>18</v>
      </c>
      <c r="F1247" t="s">
        <v>22</v>
      </c>
      <c r="G1247" t="s">
        <v>23</v>
      </c>
      <c r="H1247" t="s">
        <v>33</v>
      </c>
      <c r="I1247" t="s">
        <v>34</v>
      </c>
      <c r="J1247" t="s">
        <v>40</v>
      </c>
      <c r="K1247" t="s">
        <v>46</v>
      </c>
      <c r="L1247" t="s">
        <v>51</v>
      </c>
      <c r="M1247">
        <v>21914</v>
      </c>
      <c r="N1247">
        <v>0.32</v>
      </c>
      <c r="O1247">
        <v>3450</v>
      </c>
      <c r="P1247">
        <v>5</v>
      </c>
      <c r="Q1247" t="s">
        <v>56</v>
      </c>
      <c r="R1247" t="s">
        <v>59</v>
      </c>
    </row>
    <row r="1248" spans="1:18">
      <c r="A1248">
        <v>11247</v>
      </c>
      <c r="B1248" s="2">
        <v>45443</v>
      </c>
      <c r="C1248" s="2">
        <v>45445</v>
      </c>
      <c r="D1248" s="2">
        <v>45449</v>
      </c>
      <c r="E1248" t="s">
        <v>21</v>
      </c>
      <c r="F1248" t="s">
        <v>22</v>
      </c>
      <c r="G1248" t="s">
        <v>25</v>
      </c>
      <c r="H1248" t="s">
        <v>32</v>
      </c>
      <c r="I1248" t="s">
        <v>36</v>
      </c>
      <c r="J1248" t="s">
        <v>42</v>
      </c>
      <c r="K1248" t="s">
        <v>46</v>
      </c>
      <c r="L1248" t="s">
        <v>53</v>
      </c>
      <c r="M1248">
        <v>69146</v>
      </c>
      <c r="N1248">
        <v>0.06</v>
      </c>
      <c r="O1248">
        <v>8417</v>
      </c>
      <c r="P1248">
        <v>10</v>
      </c>
      <c r="Q1248" t="s">
        <v>56</v>
      </c>
      <c r="R1248" t="s">
        <v>59</v>
      </c>
    </row>
    <row r="1249" spans="1:18">
      <c r="A1249">
        <v>11248</v>
      </c>
      <c r="B1249" s="2">
        <v>45444</v>
      </c>
      <c r="C1249" s="2">
        <v>45446</v>
      </c>
      <c r="D1249" s="2">
        <v>45450</v>
      </c>
      <c r="E1249" t="s">
        <v>18</v>
      </c>
      <c r="F1249" t="s">
        <v>22</v>
      </c>
      <c r="G1249" t="s">
        <v>26</v>
      </c>
      <c r="H1249" t="s">
        <v>33</v>
      </c>
      <c r="I1249" t="s">
        <v>35</v>
      </c>
      <c r="J1249" t="s">
        <v>39</v>
      </c>
      <c r="K1249" t="s">
        <v>50</v>
      </c>
      <c r="L1249" t="s">
        <v>51</v>
      </c>
      <c r="M1249">
        <v>20057</v>
      </c>
      <c r="N1249">
        <v>0.18</v>
      </c>
      <c r="O1249">
        <v>8418</v>
      </c>
      <c r="P1249">
        <v>2</v>
      </c>
      <c r="Q1249" t="s">
        <v>57</v>
      </c>
      <c r="R1249" t="s">
        <v>61</v>
      </c>
    </row>
    <row r="1250" spans="1:18">
      <c r="A1250">
        <v>11249</v>
      </c>
      <c r="B1250" s="2">
        <v>45445</v>
      </c>
      <c r="C1250" s="2">
        <v>45447</v>
      </c>
      <c r="D1250" s="2">
        <v>45451</v>
      </c>
      <c r="E1250" t="s">
        <v>19</v>
      </c>
      <c r="F1250" t="s">
        <v>22</v>
      </c>
      <c r="G1250" t="s">
        <v>26</v>
      </c>
      <c r="H1250" t="s">
        <v>29</v>
      </c>
      <c r="I1250" t="s">
        <v>36</v>
      </c>
      <c r="J1250" t="s">
        <v>40</v>
      </c>
      <c r="K1250" t="s">
        <v>48</v>
      </c>
      <c r="L1250" t="s">
        <v>53</v>
      </c>
      <c r="M1250">
        <v>72629</v>
      </c>
      <c r="N1250">
        <v>7.0000000000000007E-2</v>
      </c>
      <c r="O1250">
        <v>888</v>
      </c>
      <c r="P1250">
        <v>5</v>
      </c>
      <c r="Q1250" t="s">
        <v>54</v>
      </c>
      <c r="R1250" t="s">
        <v>62</v>
      </c>
    </row>
    <row r="1251" spans="1:18">
      <c r="A1251">
        <v>11250</v>
      </c>
      <c r="B1251" s="2">
        <v>45446</v>
      </c>
      <c r="C1251" s="2">
        <v>45448</v>
      </c>
      <c r="D1251" s="2">
        <v>45452</v>
      </c>
      <c r="E1251" t="s">
        <v>20</v>
      </c>
      <c r="F1251" t="s">
        <v>22</v>
      </c>
      <c r="G1251" t="s">
        <v>28</v>
      </c>
      <c r="H1251" t="s">
        <v>25</v>
      </c>
      <c r="I1251" t="s">
        <v>34</v>
      </c>
      <c r="J1251" t="s">
        <v>41</v>
      </c>
      <c r="K1251" t="s">
        <v>48</v>
      </c>
      <c r="L1251" t="s">
        <v>51</v>
      </c>
      <c r="M1251">
        <v>50415</v>
      </c>
      <c r="N1251">
        <v>0.24</v>
      </c>
      <c r="O1251">
        <v>13130</v>
      </c>
      <c r="P1251">
        <v>14</v>
      </c>
      <c r="Q1251" t="s">
        <v>56</v>
      </c>
      <c r="R1251" t="s">
        <v>61</v>
      </c>
    </row>
    <row r="1252" spans="1:18">
      <c r="A1252">
        <v>11251</v>
      </c>
      <c r="B1252" s="2">
        <v>45447</v>
      </c>
      <c r="C1252" s="2">
        <v>45449</v>
      </c>
      <c r="D1252" s="2">
        <v>45453</v>
      </c>
      <c r="E1252" t="s">
        <v>18</v>
      </c>
      <c r="F1252" t="s">
        <v>22</v>
      </c>
      <c r="G1252" t="s">
        <v>24</v>
      </c>
      <c r="H1252" t="s">
        <v>29</v>
      </c>
      <c r="I1252" t="s">
        <v>35</v>
      </c>
      <c r="J1252" t="s">
        <v>37</v>
      </c>
      <c r="K1252" t="s">
        <v>45</v>
      </c>
      <c r="L1252" t="s">
        <v>51</v>
      </c>
      <c r="M1252">
        <v>18684</v>
      </c>
      <c r="N1252">
        <v>0.03</v>
      </c>
      <c r="O1252">
        <v>3107</v>
      </c>
      <c r="P1252">
        <v>15</v>
      </c>
      <c r="Q1252" t="s">
        <v>56</v>
      </c>
      <c r="R1252" t="s">
        <v>59</v>
      </c>
    </row>
    <row r="1253" spans="1:18">
      <c r="A1253">
        <v>11252</v>
      </c>
      <c r="B1253" s="2">
        <v>45448</v>
      </c>
      <c r="C1253" s="2">
        <v>45450</v>
      </c>
      <c r="D1253" s="2">
        <v>45454</v>
      </c>
      <c r="E1253" t="s">
        <v>18</v>
      </c>
      <c r="F1253" t="s">
        <v>22</v>
      </c>
      <c r="G1253" t="s">
        <v>28</v>
      </c>
      <c r="H1253" t="s">
        <v>32</v>
      </c>
      <c r="I1253" t="s">
        <v>35</v>
      </c>
      <c r="J1253" t="s">
        <v>37</v>
      </c>
      <c r="K1253" t="s">
        <v>49</v>
      </c>
      <c r="L1253" t="s">
        <v>52</v>
      </c>
      <c r="M1253">
        <v>56668</v>
      </c>
      <c r="N1253">
        <v>0.16</v>
      </c>
      <c r="O1253">
        <v>11962</v>
      </c>
      <c r="P1253">
        <v>24</v>
      </c>
      <c r="Q1253" t="s">
        <v>56</v>
      </c>
      <c r="R1253" t="s">
        <v>59</v>
      </c>
    </row>
    <row r="1254" spans="1:18">
      <c r="A1254">
        <v>11253</v>
      </c>
      <c r="B1254" s="2">
        <v>45449</v>
      </c>
      <c r="C1254" s="2">
        <v>45451</v>
      </c>
      <c r="D1254" s="2">
        <v>45455</v>
      </c>
      <c r="E1254" t="s">
        <v>20</v>
      </c>
      <c r="F1254" t="s">
        <v>22</v>
      </c>
      <c r="G1254" t="s">
        <v>25</v>
      </c>
      <c r="H1254" t="s">
        <v>30</v>
      </c>
      <c r="I1254" t="s">
        <v>34</v>
      </c>
      <c r="J1254" t="s">
        <v>43</v>
      </c>
      <c r="K1254" t="s">
        <v>48</v>
      </c>
      <c r="L1254" t="s">
        <v>52</v>
      </c>
      <c r="M1254">
        <v>47284</v>
      </c>
      <c r="N1254">
        <v>0.21</v>
      </c>
      <c r="O1254">
        <v>10499</v>
      </c>
      <c r="P1254">
        <v>19</v>
      </c>
      <c r="Q1254" t="s">
        <v>57</v>
      </c>
      <c r="R1254" t="s">
        <v>61</v>
      </c>
    </row>
    <row r="1255" spans="1:18">
      <c r="A1255">
        <v>11254</v>
      </c>
      <c r="B1255" s="2">
        <v>45450</v>
      </c>
      <c r="C1255" s="2">
        <v>45452</v>
      </c>
      <c r="D1255" s="2">
        <v>45456</v>
      </c>
      <c r="E1255" t="s">
        <v>21</v>
      </c>
      <c r="F1255" t="s">
        <v>22</v>
      </c>
      <c r="G1255" t="s">
        <v>25</v>
      </c>
      <c r="H1255" t="s">
        <v>31</v>
      </c>
      <c r="I1255" t="s">
        <v>34</v>
      </c>
      <c r="J1255" t="s">
        <v>37</v>
      </c>
      <c r="K1255" t="s">
        <v>47</v>
      </c>
      <c r="L1255" t="s">
        <v>52</v>
      </c>
      <c r="M1255">
        <v>64457</v>
      </c>
      <c r="N1255">
        <v>0.4</v>
      </c>
      <c r="O1255">
        <v>5788</v>
      </c>
      <c r="P1255">
        <v>15</v>
      </c>
      <c r="Q1255" t="s">
        <v>55</v>
      </c>
      <c r="R1255" t="s">
        <v>61</v>
      </c>
    </row>
    <row r="1256" spans="1:18">
      <c r="A1256">
        <v>11255</v>
      </c>
      <c r="B1256" s="2">
        <v>45451</v>
      </c>
      <c r="C1256" s="2">
        <v>45453</v>
      </c>
      <c r="D1256" s="2">
        <v>45457</v>
      </c>
      <c r="E1256" t="s">
        <v>21</v>
      </c>
      <c r="F1256" t="s">
        <v>22</v>
      </c>
      <c r="G1256" t="s">
        <v>25</v>
      </c>
      <c r="H1256" t="s">
        <v>31</v>
      </c>
      <c r="I1256" t="s">
        <v>35</v>
      </c>
      <c r="J1256" t="s">
        <v>41</v>
      </c>
      <c r="K1256" t="s">
        <v>48</v>
      </c>
      <c r="L1256" t="s">
        <v>53</v>
      </c>
      <c r="M1256">
        <v>14345</v>
      </c>
      <c r="N1256">
        <v>0.15</v>
      </c>
      <c r="O1256">
        <v>5078</v>
      </c>
      <c r="P1256">
        <v>21</v>
      </c>
      <c r="Q1256" t="s">
        <v>56</v>
      </c>
      <c r="R1256" t="s">
        <v>59</v>
      </c>
    </row>
    <row r="1257" spans="1:18">
      <c r="A1257">
        <v>11256</v>
      </c>
      <c r="B1257" s="2">
        <v>45452</v>
      </c>
      <c r="C1257" s="2">
        <v>45454</v>
      </c>
      <c r="D1257" s="2">
        <v>45458</v>
      </c>
      <c r="E1257" t="s">
        <v>18</v>
      </c>
      <c r="F1257" t="s">
        <v>22</v>
      </c>
      <c r="G1257" t="s">
        <v>24</v>
      </c>
      <c r="H1257" t="s">
        <v>30</v>
      </c>
      <c r="I1257" t="s">
        <v>35</v>
      </c>
      <c r="J1257" t="s">
        <v>38</v>
      </c>
      <c r="K1257" t="s">
        <v>49</v>
      </c>
      <c r="L1257" t="s">
        <v>53</v>
      </c>
      <c r="M1257">
        <v>12176</v>
      </c>
      <c r="N1257">
        <v>0.21</v>
      </c>
      <c r="O1257">
        <v>7240</v>
      </c>
      <c r="P1257">
        <v>16</v>
      </c>
      <c r="Q1257" t="s">
        <v>55</v>
      </c>
      <c r="R1257" t="s">
        <v>62</v>
      </c>
    </row>
    <row r="1258" spans="1:18">
      <c r="A1258">
        <v>11257</v>
      </c>
      <c r="B1258" s="2">
        <v>45453</v>
      </c>
      <c r="C1258" s="2">
        <v>45455</v>
      </c>
      <c r="D1258" s="2">
        <v>45459</v>
      </c>
      <c r="E1258" t="s">
        <v>18</v>
      </c>
      <c r="F1258" t="s">
        <v>22</v>
      </c>
      <c r="G1258" t="s">
        <v>27</v>
      </c>
      <c r="H1258" t="s">
        <v>33</v>
      </c>
      <c r="I1258" t="s">
        <v>35</v>
      </c>
      <c r="J1258" t="s">
        <v>40</v>
      </c>
      <c r="K1258" t="s">
        <v>44</v>
      </c>
      <c r="L1258" t="s">
        <v>53</v>
      </c>
      <c r="M1258">
        <v>30496</v>
      </c>
      <c r="N1258">
        <v>0.06</v>
      </c>
      <c r="O1258">
        <v>-1672</v>
      </c>
      <c r="P1258">
        <v>17</v>
      </c>
      <c r="Q1258" t="s">
        <v>55</v>
      </c>
      <c r="R1258" t="s">
        <v>61</v>
      </c>
    </row>
    <row r="1259" spans="1:18">
      <c r="A1259">
        <v>11258</v>
      </c>
      <c r="B1259" s="2">
        <v>45454</v>
      </c>
      <c r="C1259" s="2">
        <v>45456</v>
      </c>
      <c r="D1259" s="2">
        <v>45460</v>
      </c>
      <c r="E1259" t="s">
        <v>21</v>
      </c>
      <c r="F1259" t="s">
        <v>22</v>
      </c>
      <c r="G1259" t="s">
        <v>25</v>
      </c>
      <c r="H1259" t="s">
        <v>31</v>
      </c>
      <c r="I1259" t="s">
        <v>35</v>
      </c>
      <c r="J1259" t="s">
        <v>40</v>
      </c>
      <c r="K1259" t="s">
        <v>44</v>
      </c>
      <c r="L1259" t="s">
        <v>53</v>
      </c>
      <c r="M1259">
        <v>12696</v>
      </c>
      <c r="N1259">
        <v>0.08</v>
      </c>
      <c r="O1259">
        <v>15488</v>
      </c>
      <c r="P1259">
        <v>14</v>
      </c>
      <c r="Q1259" t="s">
        <v>54</v>
      </c>
      <c r="R1259" t="s">
        <v>62</v>
      </c>
    </row>
    <row r="1260" spans="1:18">
      <c r="A1260">
        <v>11259</v>
      </c>
      <c r="B1260" s="2">
        <v>45455</v>
      </c>
      <c r="C1260" s="2">
        <v>45457</v>
      </c>
      <c r="D1260" s="2">
        <v>45461</v>
      </c>
      <c r="E1260" t="s">
        <v>21</v>
      </c>
      <c r="F1260" t="s">
        <v>22</v>
      </c>
      <c r="G1260" t="s">
        <v>28</v>
      </c>
      <c r="H1260" t="s">
        <v>30</v>
      </c>
      <c r="I1260" t="s">
        <v>35</v>
      </c>
      <c r="J1260" t="s">
        <v>37</v>
      </c>
      <c r="K1260" t="s">
        <v>44</v>
      </c>
      <c r="L1260" t="s">
        <v>51</v>
      </c>
      <c r="M1260">
        <v>8972</v>
      </c>
      <c r="N1260">
        <v>0.1</v>
      </c>
      <c r="O1260">
        <v>1601</v>
      </c>
      <c r="P1260">
        <v>1</v>
      </c>
      <c r="Q1260" t="s">
        <v>54</v>
      </c>
      <c r="R1260" t="s">
        <v>61</v>
      </c>
    </row>
    <row r="1261" spans="1:18">
      <c r="A1261">
        <v>11260</v>
      </c>
      <c r="B1261" s="2">
        <v>45456</v>
      </c>
      <c r="C1261" s="2">
        <v>45458</v>
      </c>
      <c r="D1261" s="2">
        <v>45462</v>
      </c>
      <c r="E1261" t="s">
        <v>21</v>
      </c>
      <c r="F1261" t="s">
        <v>22</v>
      </c>
      <c r="G1261" t="s">
        <v>24</v>
      </c>
      <c r="H1261" t="s">
        <v>25</v>
      </c>
      <c r="I1261" t="s">
        <v>36</v>
      </c>
      <c r="J1261" t="s">
        <v>38</v>
      </c>
      <c r="K1261" t="s">
        <v>50</v>
      </c>
      <c r="L1261" t="s">
        <v>52</v>
      </c>
      <c r="M1261">
        <v>24929</v>
      </c>
      <c r="N1261">
        <v>0.37</v>
      </c>
      <c r="O1261">
        <v>13726</v>
      </c>
      <c r="P1261">
        <v>21</v>
      </c>
      <c r="Q1261" t="s">
        <v>55</v>
      </c>
      <c r="R1261" t="s">
        <v>61</v>
      </c>
    </row>
    <row r="1262" spans="1:18">
      <c r="A1262">
        <v>11261</v>
      </c>
      <c r="B1262" s="2">
        <v>45457</v>
      </c>
      <c r="C1262" s="2">
        <v>45459</v>
      </c>
      <c r="D1262" s="2">
        <v>45463</v>
      </c>
      <c r="E1262" t="s">
        <v>20</v>
      </c>
      <c r="F1262" t="s">
        <v>22</v>
      </c>
      <c r="G1262" t="s">
        <v>24</v>
      </c>
      <c r="H1262" t="s">
        <v>25</v>
      </c>
      <c r="I1262" t="s">
        <v>35</v>
      </c>
      <c r="J1262" t="s">
        <v>37</v>
      </c>
      <c r="K1262" t="s">
        <v>47</v>
      </c>
      <c r="L1262" t="s">
        <v>51</v>
      </c>
      <c r="M1262">
        <v>60043</v>
      </c>
      <c r="N1262">
        <v>0.38</v>
      </c>
      <c r="O1262">
        <v>13137</v>
      </c>
      <c r="P1262">
        <v>11</v>
      </c>
      <c r="Q1262" t="s">
        <v>54</v>
      </c>
      <c r="R1262" t="s">
        <v>62</v>
      </c>
    </row>
    <row r="1263" spans="1:18">
      <c r="A1263">
        <v>11262</v>
      </c>
      <c r="B1263" s="2">
        <v>45458</v>
      </c>
      <c r="C1263" s="2">
        <v>45460</v>
      </c>
      <c r="D1263" s="2">
        <v>45464</v>
      </c>
      <c r="E1263" t="s">
        <v>21</v>
      </c>
      <c r="F1263" t="s">
        <v>22</v>
      </c>
      <c r="G1263" t="s">
        <v>27</v>
      </c>
      <c r="H1263" t="s">
        <v>29</v>
      </c>
      <c r="I1263" t="s">
        <v>36</v>
      </c>
      <c r="J1263" t="s">
        <v>40</v>
      </c>
      <c r="K1263" t="s">
        <v>45</v>
      </c>
      <c r="L1263" t="s">
        <v>52</v>
      </c>
      <c r="M1263">
        <v>53826</v>
      </c>
      <c r="N1263">
        <v>0.28999999999999998</v>
      </c>
      <c r="O1263">
        <v>5939</v>
      </c>
      <c r="P1263">
        <v>8</v>
      </c>
      <c r="Q1263" t="s">
        <v>57</v>
      </c>
      <c r="R1263" t="s">
        <v>62</v>
      </c>
    </row>
    <row r="1264" spans="1:18">
      <c r="A1264">
        <v>11263</v>
      </c>
      <c r="B1264" s="2">
        <v>45459</v>
      </c>
      <c r="C1264" s="2">
        <v>45461</v>
      </c>
      <c r="D1264" s="2">
        <v>45465</v>
      </c>
      <c r="E1264" t="s">
        <v>21</v>
      </c>
      <c r="F1264" t="s">
        <v>22</v>
      </c>
      <c r="G1264" t="s">
        <v>28</v>
      </c>
      <c r="H1264" t="s">
        <v>25</v>
      </c>
      <c r="I1264" t="s">
        <v>34</v>
      </c>
      <c r="J1264" t="s">
        <v>40</v>
      </c>
      <c r="K1264" t="s">
        <v>49</v>
      </c>
      <c r="L1264" t="s">
        <v>52</v>
      </c>
      <c r="M1264">
        <v>24174</v>
      </c>
      <c r="N1264">
        <v>0.38</v>
      </c>
      <c r="O1264">
        <v>-1567</v>
      </c>
      <c r="P1264">
        <v>23</v>
      </c>
      <c r="Q1264" t="s">
        <v>54</v>
      </c>
      <c r="R1264" t="s">
        <v>61</v>
      </c>
    </row>
    <row r="1265" spans="1:18">
      <c r="A1265">
        <v>11264</v>
      </c>
      <c r="B1265" s="2">
        <v>45460</v>
      </c>
      <c r="C1265" s="2">
        <v>45462</v>
      </c>
      <c r="D1265" s="2">
        <v>45466</v>
      </c>
      <c r="E1265" t="s">
        <v>21</v>
      </c>
      <c r="F1265" t="s">
        <v>22</v>
      </c>
      <c r="G1265" t="s">
        <v>24</v>
      </c>
      <c r="H1265" t="s">
        <v>30</v>
      </c>
      <c r="I1265" t="s">
        <v>36</v>
      </c>
      <c r="J1265" t="s">
        <v>39</v>
      </c>
      <c r="K1265" t="s">
        <v>48</v>
      </c>
      <c r="L1265" t="s">
        <v>52</v>
      </c>
      <c r="M1265">
        <v>68086</v>
      </c>
      <c r="N1265">
        <v>0.35</v>
      </c>
      <c r="O1265">
        <v>19510</v>
      </c>
      <c r="P1265">
        <v>18</v>
      </c>
      <c r="Q1265" t="s">
        <v>55</v>
      </c>
      <c r="R1265" t="s">
        <v>59</v>
      </c>
    </row>
    <row r="1266" spans="1:18">
      <c r="A1266">
        <v>11265</v>
      </c>
      <c r="B1266" s="2">
        <v>45461</v>
      </c>
      <c r="C1266" s="2">
        <v>45463</v>
      </c>
      <c r="D1266" s="2">
        <v>45467</v>
      </c>
      <c r="E1266" t="s">
        <v>20</v>
      </c>
      <c r="F1266" t="s">
        <v>22</v>
      </c>
      <c r="G1266" t="s">
        <v>26</v>
      </c>
      <c r="H1266" t="s">
        <v>33</v>
      </c>
      <c r="I1266" t="s">
        <v>35</v>
      </c>
      <c r="J1266" t="s">
        <v>39</v>
      </c>
      <c r="K1266" t="s">
        <v>46</v>
      </c>
      <c r="L1266" t="s">
        <v>51</v>
      </c>
      <c r="M1266">
        <v>15624</v>
      </c>
      <c r="N1266">
        <v>0.35</v>
      </c>
      <c r="O1266">
        <v>17401</v>
      </c>
      <c r="P1266">
        <v>19</v>
      </c>
      <c r="Q1266" t="s">
        <v>57</v>
      </c>
      <c r="R1266" t="s">
        <v>60</v>
      </c>
    </row>
    <row r="1267" spans="1:18">
      <c r="A1267">
        <v>11266</v>
      </c>
      <c r="B1267" s="2">
        <v>45462</v>
      </c>
      <c r="C1267" s="2">
        <v>45464</v>
      </c>
      <c r="D1267" s="2">
        <v>45468</v>
      </c>
      <c r="E1267" t="s">
        <v>21</v>
      </c>
      <c r="F1267" t="s">
        <v>22</v>
      </c>
      <c r="G1267" t="s">
        <v>24</v>
      </c>
      <c r="H1267" t="s">
        <v>29</v>
      </c>
      <c r="I1267" t="s">
        <v>36</v>
      </c>
      <c r="J1267" t="s">
        <v>40</v>
      </c>
      <c r="K1267" t="s">
        <v>48</v>
      </c>
      <c r="L1267" t="s">
        <v>53</v>
      </c>
      <c r="M1267">
        <v>59230</v>
      </c>
      <c r="N1267">
        <v>0.02</v>
      </c>
      <c r="O1267">
        <v>17128</v>
      </c>
      <c r="P1267">
        <v>16</v>
      </c>
      <c r="Q1267" t="s">
        <v>58</v>
      </c>
      <c r="R1267" t="s">
        <v>62</v>
      </c>
    </row>
    <row r="1268" spans="1:18">
      <c r="A1268">
        <v>11267</v>
      </c>
      <c r="B1268" s="2">
        <v>45463</v>
      </c>
      <c r="C1268" s="2">
        <v>45465</v>
      </c>
      <c r="D1268" s="2">
        <v>45469</v>
      </c>
      <c r="E1268" t="s">
        <v>20</v>
      </c>
      <c r="F1268" t="s">
        <v>22</v>
      </c>
      <c r="G1268" t="s">
        <v>28</v>
      </c>
      <c r="H1268" t="s">
        <v>29</v>
      </c>
      <c r="I1268" t="s">
        <v>36</v>
      </c>
      <c r="J1268" t="s">
        <v>40</v>
      </c>
      <c r="K1268" t="s">
        <v>44</v>
      </c>
      <c r="L1268" t="s">
        <v>52</v>
      </c>
      <c r="M1268">
        <v>29740</v>
      </c>
      <c r="N1268">
        <v>0.17</v>
      </c>
      <c r="O1268">
        <v>16992</v>
      </c>
      <c r="P1268">
        <v>18</v>
      </c>
      <c r="Q1268" t="s">
        <v>56</v>
      </c>
      <c r="R1268" t="s">
        <v>59</v>
      </c>
    </row>
    <row r="1269" spans="1:18">
      <c r="A1269">
        <v>11268</v>
      </c>
      <c r="B1269" s="2">
        <v>45464</v>
      </c>
      <c r="C1269" s="2">
        <v>45466</v>
      </c>
      <c r="D1269" s="2">
        <v>45470</v>
      </c>
      <c r="E1269" t="s">
        <v>21</v>
      </c>
      <c r="F1269" t="s">
        <v>22</v>
      </c>
      <c r="G1269" t="s">
        <v>23</v>
      </c>
      <c r="H1269" t="s">
        <v>31</v>
      </c>
      <c r="I1269" t="s">
        <v>34</v>
      </c>
      <c r="J1269" t="s">
        <v>42</v>
      </c>
      <c r="K1269" t="s">
        <v>48</v>
      </c>
      <c r="L1269" t="s">
        <v>53</v>
      </c>
      <c r="M1269">
        <v>62510</v>
      </c>
      <c r="N1269">
        <v>0.16</v>
      </c>
      <c r="O1269">
        <v>1978</v>
      </c>
      <c r="P1269">
        <v>8</v>
      </c>
      <c r="Q1269" t="s">
        <v>57</v>
      </c>
      <c r="R1269" t="s">
        <v>62</v>
      </c>
    </row>
    <row r="1270" spans="1:18">
      <c r="A1270">
        <v>11269</v>
      </c>
      <c r="B1270" s="2">
        <v>45465</v>
      </c>
      <c r="C1270" s="2">
        <v>45467</v>
      </c>
      <c r="D1270" s="2">
        <v>45471</v>
      </c>
      <c r="E1270" t="s">
        <v>21</v>
      </c>
      <c r="F1270" t="s">
        <v>22</v>
      </c>
      <c r="G1270" t="s">
        <v>24</v>
      </c>
      <c r="H1270" t="s">
        <v>33</v>
      </c>
      <c r="I1270" t="s">
        <v>35</v>
      </c>
      <c r="J1270" t="s">
        <v>42</v>
      </c>
      <c r="K1270" t="s">
        <v>50</v>
      </c>
      <c r="L1270" t="s">
        <v>53</v>
      </c>
      <c r="M1270">
        <v>30395</v>
      </c>
      <c r="N1270">
        <v>0.35</v>
      </c>
      <c r="O1270">
        <v>11028</v>
      </c>
      <c r="P1270">
        <v>22</v>
      </c>
      <c r="Q1270" t="s">
        <v>54</v>
      </c>
      <c r="R1270" t="s">
        <v>62</v>
      </c>
    </row>
    <row r="1271" spans="1:18">
      <c r="A1271">
        <v>11270</v>
      </c>
      <c r="B1271" s="2">
        <v>45466</v>
      </c>
      <c r="C1271" s="2">
        <v>45468</v>
      </c>
      <c r="D1271" s="2">
        <v>45472</v>
      </c>
      <c r="E1271" t="s">
        <v>18</v>
      </c>
      <c r="F1271" t="s">
        <v>22</v>
      </c>
      <c r="G1271" t="s">
        <v>27</v>
      </c>
      <c r="H1271" t="s">
        <v>33</v>
      </c>
      <c r="I1271" t="s">
        <v>34</v>
      </c>
      <c r="J1271" t="s">
        <v>41</v>
      </c>
      <c r="K1271" t="s">
        <v>49</v>
      </c>
      <c r="L1271" t="s">
        <v>52</v>
      </c>
      <c r="M1271">
        <v>58088</v>
      </c>
      <c r="N1271">
        <v>0.18</v>
      </c>
      <c r="O1271">
        <v>17874</v>
      </c>
      <c r="P1271">
        <v>18</v>
      </c>
      <c r="Q1271" t="s">
        <v>56</v>
      </c>
      <c r="R1271" t="s">
        <v>60</v>
      </c>
    </row>
    <row r="1272" spans="1:18">
      <c r="A1272">
        <v>11271</v>
      </c>
      <c r="B1272" s="2">
        <v>45467</v>
      </c>
      <c r="C1272" s="2">
        <v>45469</v>
      </c>
      <c r="D1272" s="2">
        <v>45473</v>
      </c>
      <c r="E1272" t="s">
        <v>18</v>
      </c>
      <c r="F1272" t="s">
        <v>22</v>
      </c>
      <c r="G1272" t="s">
        <v>27</v>
      </c>
      <c r="H1272" t="s">
        <v>33</v>
      </c>
      <c r="I1272" t="s">
        <v>36</v>
      </c>
      <c r="J1272" t="s">
        <v>41</v>
      </c>
      <c r="K1272" t="s">
        <v>47</v>
      </c>
      <c r="L1272" t="s">
        <v>52</v>
      </c>
      <c r="M1272">
        <v>48812</v>
      </c>
      <c r="N1272">
        <v>0.38</v>
      </c>
      <c r="O1272">
        <v>10405</v>
      </c>
      <c r="P1272">
        <v>12</v>
      </c>
      <c r="Q1272" t="s">
        <v>56</v>
      </c>
      <c r="R1272" t="s">
        <v>62</v>
      </c>
    </row>
    <row r="1273" spans="1:18">
      <c r="A1273">
        <v>11272</v>
      </c>
      <c r="B1273" s="2">
        <v>45468</v>
      </c>
      <c r="C1273" s="2">
        <v>45470</v>
      </c>
      <c r="D1273" s="2">
        <v>45474</v>
      </c>
      <c r="E1273" t="s">
        <v>20</v>
      </c>
      <c r="F1273" t="s">
        <v>22</v>
      </c>
      <c r="G1273" t="s">
        <v>25</v>
      </c>
      <c r="H1273" t="s">
        <v>29</v>
      </c>
      <c r="I1273" t="s">
        <v>35</v>
      </c>
      <c r="J1273" t="s">
        <v>43</v>
      </c>
      <c r="K1273" t="s">
        <v>46</v>
      </c>
      <c r="L1273" t="s">
        <v>53</v>
      </c>
      <c r="M1273">
        <v>72246</v>
      </c>
      <c r="N1273">
        <v>0.12</v>
      </c>
      <c r="O1273">
        <v>11644</v>
      </c>
      <c r="P1273">
        <v>5</v>
      </c>
      <c r="Q1273" t="s">
        <v>58</v>
      </c>
      <c r="R1273" t="s">
        <v>61</v>
      </c>
    </row>
    <row r="1274" spans="1:18">
      <c r="A1274">
        <v>11273</v>
      </c>
      <c r="B1274" s="2">
        <v>45469</v>
      </c>
      <c r="C1274" s="2">
        <v>45471</v>
      </c>
      <c r="D1274" s="2">
        <v>45475</v>
      </c>
      <c r="E1274" t="s">
        <v>21</v>
      </c>
      <c r="F1274" t="s">
        <v>22</v>
      </c>
      <c r="G1274" t="s">
        <v>28</v>
      </c>
      <c r="H1274" t="s">
        <v>29</v>
      </c>
      <c r="I1274" t="s">
        <v>36</v>
      </c>
      <c r="J1274" t="s">
        <v>41</v>
      </c>
      <c r="K1274" t="s">
        <v>47</v>
      </c>
      <c r="L1274" t="s">
        <v>51</v>
      </c>
      <c r="M1274">
        <v>3180</v>
      </c>
      <c r="N1274">
        <v>0.22</v>
      </c>
      <c r="O1274">
        <v>11583</v>
      </c>
      <c r="P1274">
        <v>13</v>
      </c>
      <c r="Q1274" t="s">
        <v>58</v>
      </c>
      <c r="R1274" t="s">
        <v>61</v>
      </c>
    </row>
    <row r="1275" spans="1:18">
      <c r="A1275">
        <v>11274</v>
      </c>
      <c r="B1275" s="2">
        <v>45470</v>
      </c>
      <c r="C1275" s="2">
        <v>45472</v>
      </c>
      <c r="D1275" s="2">
        <v>45476</v>
      </c>
      <c r="E1275" t="s">
        <v>21</v>
      </c>
      <c r="F1275" t="s">
        <v>22</v>
      </c>
      <c r="G1275" t="s">
        <v>27</v>
      </c>
      <c r="H1275" t="s">
        <v>32</v>
      </c>
      <c r="I1275" t="s">
        <v>35</v>
      </c>
      <c r="J1275" t="s">
        <v>40</v>
      </c>
      <c r="K1275" t="s">
        <v>45</v>
      </c>
      <c r="L1275" t="s">
        <v>51</v>
      </c>
      <c r="M1275">
        <v>28319</v>
      </c>
      <c r="N1275">
        <v>0.25</v>
      </c>
      <c r="O1275">
        <v>17700</v>
      </c>
      <c r="P1275">
        <v>23</v>
      </c>
      <c r="Q1275" t="s">
        <v>55</v>
      </c>
      <c r="R1275" t="s">
        <v>61</v>
      </c>
    </row>
    <row r="1276" spans="1:18">
      <c r="A1276">
        <v>11275</v>
      </c>
      <c r="B1276" s="2">
        <v>45471</v>
      </c>
      <c r="C1276" s="2">
        <v>45473</v>
      </c>
      <c r="D1276" s="2">
        <v>45477</v>
      </c>
      <c r="E1276" t="s">
        <v>20</v>
      </c>
      <c r="F1276" t="s">
        <v>22</v>
      </c>
      <c r="G1276" t="s">
        <v>24</v>
      </c>
      <c r="H1276" t="s">
        <v>29</v>
      </c>
      <c r="I1276" t="s">
        <v>36</v>
      </c>
      <c r="J1276" t="s">
        <v>38</v>
      </c>
      <c r="K1276" t="s">
        <v>44</v>
      </c>
      <c r="L1276" t="s">
        <v>51</v>
      </c>
      <c r="M1276">
        <v>39941</v>
      </c>
      <c r="N1276">
        <v>0.22</v>
      </c>
      <c r="O1276">
        <v>-324</v>
      </c>
      <c r="P1276">
        <v>13</v>
      </c>
      <c r="Q1276" t="s">
        <v>57</v>
      </c>
      <c r="R1276" t="s">
        <v>61</v>
      </c>
    </row>
    <row r="1277" spans="1:18">
      <c r="A1277">
        <v>11276</v>
      </c>
      <c r="B1277" s="2">
        <v>45472</v>
      </c>
      <c r="C1277" s="2">
        <v>45474</v>
      </c>
      <c r="D1277" s="2">
        <v>45478</v>
      </c>
      <c r="E1277" t="s">
        <v>19</v>
      </c>
      <c r="F1277" t="s">
        <v>22</v>
      </c>
      <c r="G1277" t="s">
        <v>27</v>
      </c>
      <c r="H1277" t="s">
        <v>25</v>
      </c>
      <c r="I1277" t="s">
        <v>35</v>
      </c>
      <c r="J1277" t="s">
        <v>38</v>
      </c>
      <c r="K1277" t="s">
        <v>48</v>
      </c>
      <c r="L1277" t="s">
        <v>52</v>
      </c>
      <c r="M1277">
        <v>29601</v>
      </c>
      <c r="N1277">
        <v>0.13</v>
      </c>
      <c r="O1277">
        <v>8946</v>
      </c>
      <c r="P1277">
        <v>13</v>
      </c>
      <c r="Q1277" t="s">
        <v>57</v>
      </c>
      <c r="R1277" t="s">
        <v>60</v>
      </c>
    </row>
    <row r="1278" spans="1:18">
      <c r="A1278">
        <v>11277</v>
      </c>
      <c r="B1278" s="2">
        <v>45473</v>
      </c>
      <c r="C1278" s="2">
        <v>45475</v>
      </c>
      <c r="D1278" s="2">
        <v>45479</v>
      </c>
      <c r="E1278" t="s">
        <v>19</v>
      </c>
      <c r="F1278" t="s">
        <v>22</v>
      </c>
      <c r="G1278" t="s">
        <v>27</v>
      </c>
      <c r="H1278" t="s">
        <v>29</v>
      </c>
      <c r="I1278" t="s">
        <v>34</v>
      </c>
      <c r="J1278" t="s">
        <v>39</v>
      </c>
      <c r="K1278" t="s">
        <v>49</v>
      </c>
      <c r="L1278" t="s">
        <v>51</v>
      </c>
      <c r="M1278">
        <v>69490</v>
      </c>
      <c r="N1278">
        <v>0.01</v>
      </c>
      <c r="O1278">
        <v>10206</v>
      </c>
      <c r="P1278">
        <v>21</v>
      </c>
      <c r="Q1278" t="s">
        <v>56</v>
      </c>
      <c r="R1278" t="s">
        <v>60</v>
      </c>
    </row>
    <row r="1279" spans="1:18">
      <c r="A1279">
        <v>11278</v>
      </c>
      <c r="B1279" s="2">
        <v>45474</v>
      </c>
      <c r="C1279" s="2">
        <v>45476</v>
      </c>
      <c r="D1279" s="2">
        <v>45480</v>
      </c>
      <c r="E1279" t="s">
        <v>19</v>
      </c>
      <c r="F1279" t="s">
        <v>22</v>
      </c>
      <c r="G1279" t="s">
        <v>24</v>
      </c>
      <c r="H1279" t="s">
        <v>25</v>
      </c>
      <c r="I1279" t="s">
        <v>35</v>
      </c>
      <c r="J1279" t="s">
        <v>38</v>
      </c>
      <c r="K1279" t="s">
        <v>49</v>
      </c>
      <c r="L1279" t="s">
        <v>53</v>
      </c>
      <c r="M1279">
        <v>57013</v>
      </c>
      <c r="N1279">
        <v>0.2</v>
      </c>
      <c r="O1279">
        <v>11206</v>
      </c>
      <c r="P1279">
        <v>5</v>
      </c>
      <c r="Q1279" t="s">
        <v>57</v>
      </c>
      <c r="R1279" t="s">
        <v>62</v>
      </c>
    </row>
    <row r="1280" spans="1:18">
      <c r="A1280">
        <v>11279</v>
      </c>
      <c r="B1280" s="2">
        <v>45475</v>
      </c>
      <c r="C1280" s="2">
        <v>45477</v>
      </c>
      <c r="D1280" s="2">
        <v>45481</v>
      </c>
      <c r="E1280" t="s">
        <v>19</v>
      </c>
      <c r="F1280" t="s">
        <v>22</v>
      </c>
      <c r="G1280" t="s">
        <v>26</v>
      </c>
      <c r="H1280" t="s">
        <v>33</v>
      </c>
      <c r="I1280" t="s">
        <v>35</v>
      </c>
      <c r="J1280" t="s">
        <v>38</v>
      </c>
      <c r="K1280" t="s">
        <v>47</v>
      </c>
      <c r="L1280" t="s">
        <v>51</v>
      </c>
      <c r="M1280">
        <v>54877</v>
      </c>
      <c r="N1280">
        <v>0.39</v>
      </c>
      <c r="O1280">
        <v>12297</v>
      </c>
      <c r="P1280">
        <v>13</v>
      </c>
      <c r="Q1280" t="s">
        <v>56</v>
      </c>
      <c r="R1280" t="s">
        <v>61</v>
      </c>
    </row>
    <row r="1281" spans="1:18">
      <c r="A1281">
        <v>11280</v>
      </c>
      <c r="B1281" s="2">
        <v>45476</v>
      </c>
      <c r="C1281" s="2">
        <v>45478</v>
      </c>
      <c r="D1281" s="2">
        <v>45482</v>
      </c>
      <c r="E1281" t="s">
        <v>19</v>
      </c>
      <c r="F1281" t="s">
        <v>22</v>
      </c>
      <c r="G1281" t="s">
        <v>27</v>
      </c>
      <c r="H1281" t="s">
        <v>30</v>
      </c>
      <c r="I1281" t="s">
        <v>35</v>
      </c>
      <c r="J1281" t="s">
        <v>39</v>
      </c>
      <c r="K1281" t="s">
        <v>44</v>
      </c>
      <c r="L1281" t="s">
        <v>51</v>
      </c>
      <c r="M1281">
        <v>51530</v>
      </c>
      <c r="N1281">
        <v>0.02</v>
      </c>
      <c r="O1281">
        <v>18263</v>
      </c>
      <c r="P1281">
        <v>3</v>
      </c>
      <c r="Q1281" t="s">
        <v>58</v>
      </c>
      <c r="R1281" t="s">
        <v>60</v>
      </c>
    </row>
    <row r="1282" spans="1:18">
      <c r="A1282">
        <v>11281</v>
      </c>
      <c r="B1282" s="2">
        <v>45477</v>
      </c>
      <c r="C1282" s="2">
        <v>45479</v>
      </c>
      <c r="D1282" s="2">
        <v>45483</v>
      </c>
      <c r="E1282" t="s">
        <v>20</v>
      </c>
      <c r="F1282" t="s">
        <v>22</v>
      </c>
      <c r="G1282" t="s">
        <v>24</v>
      </c>
      <c r="H1282" t="s">
        <v>25</v>
      </c>
      <c r="I1282" t="s">
        <v>34</v>
      </c>
      <c r="J1282" t="s">
        <v>39</v>
      </c>
      <c r="K1282" t="s">
        <v>44</v>
      </c>
      <c r="L1282" t="s">
        <v>52</v>
      </c>
      <c r="M1282">
        <v>24859</v>
      </c>
      <c r="N1282">
        <v>0.33</v>
      </c>
      <c r="O1282">
        <v>5770</v>
      </c>
      <c r="P1282">
        <v>10</v>
      </c>
      <c r="Q1282" t="s">
        <v>55</v>
      </c>
      <c r="R1282" t="s">
        <v>62</v>
      </c>
    </row>
    <row r="1283" spans="1:18">
      <c r="A1283">
        <v>11282</v>
      </c>
      <c r="B1283" s="2">
        <v>45478</v>
      </c>
      <c r="C1283" s="2">
        <v>45480</v>
      </c>
      <c r="D1283" s="2">
        <v>45484</v>
      </c>
      <c r="E1283" t="s">
        <v>18</v>
      </c>
      <c r="F1283" t="s">
        <v>22</v>
      </c>
      <c r="G1283" t="s">
        <v>27</v>
      </c>
      <c r="H1283" t="s">
        <v>32</v>
      </c>
      <c r="I1283" t="s">
        <v>34</v>
      </c>
      <c r="J1283" t="s">
        <v>37</v>
      </c>
      <c r="K1283" t="s">
        <v>48</v>
      </c>
      <c r="L1283" t="s">
        <v>51</v>
      </c>
      <c r="M1283">
        <v>30267</v>
      </c>
      <c r="N1283">
        <v>0.17</v>
      </c>
      <c r="O1283">
        <v>13216</v>
      </c>
      <c r="P1283">
        <v>22</v>
      </c>
      <c r="Q1283" t="s">
        <v>56</v>
      </c>
      <c r="R1283" t="s">
        <v>62</v>
      </c>
    </row>
    <row r="1284" spans="1:18">
      <c r="A1284">
        <v>11283</v>
      </c>
      <c r="B1284" s="2">
        <v>45479</v>
      </c>
      <c r="C1284" s="2">
        <v>45481</v>
      </c>
      <c r="D1284" s="2">
        <v>45485</v>
      </c>
      <c r="E1284" t="s">
        <v>20</v>
      </c>
      <c r="F1284" t="s">
        <v>22</v>
      </c>
      <c r="G1284" t="s">
        <v>28</v>
      </c>
      <c r="H1284" t="s">
        <v>33</v>
      </c>
      <c r="I1284" t="s">
        <v>35</v>
      </c>
      <c r="J1284" t="s">
        <v>40</v>
      </c>
      <c r="K1284" t="s">
        <v>48</v>
      </c>
      <c r="L1284" t="s">
        <v>51</v>
      </c>
      <c r="M1284">
        <v>23935</v>
      </c>
      <c r="N1284">
        <v>0.36</v>
      </c>
      <c r="O1284">
        <v>5119</v>
      </c>
      <c r="P1284">
        <v>6</v>
      </c>
      <c r="Q1284" t="s">
        <v>56</v>
      </c>
      <c r="R1284" t="s">
        <v>62</v>
      </c>
    </row>
    <row r="1285" spans="1:18">
      <c r="A1285">
        <v>11284</v>
      </c>
      <c r="B1285" s="2">
        <v>45480</v>
      </c>
      <c r="C1285" s="2">
        <v>45482</v>
      </c>
      <c r="D1285" s="2">
        <v>45486</v>
      </c>
      <c r="E1285" t="s">
        <v>21</v>
      </c>
      <c r="F1285" t="s">
        <v>22</v>
      </c>
      <c r="G1285" t="s">
        <v>26</v>
      </c>
      <c r="H1285" t="s">
        <v>31</v>
      </c>
      <c r="I1285" t="s">
        <v>35</v>
      </c>
      <c r="J1285" t="s">
        <v>38</v>
      </c>
      <c r="K1285" t="s">
        <v>49</v>
      </c>
      <c r="L1285" t="s">
        <v>51</v>
      </c>
      <c r="M1285">
        <v>74201</v>
      </c>
      <c r="N1285">
        <v>0.2</v>
      </c>
      <c r="O1285">
        <v>-263</v>
      </c>
      <c r="P1285">
        <v>2</v>
      </c>
      <c r="Q1285" t="s">
        <v>54</v>
      </c>
      <c r="R1285" t="s">
        <v>59</v>
      </c>
    </row>
    <row r="1286" spans="1:18">
      <c r="A1286">
        <v>11285</v>
      </c>
      <c r="B1286" s="2">
        <v>45481</v>
      </c>
      <c r="C1286" s="2">
        <v>45483</v>
      </c>
      <c r="D1286" s="2">
        <v>45487</v>
      </c>
      <c r="E1286" t="s">
        <v>19</v>
      </c>
      <c r="F1286" t="s">
        <v>22</v>
      </c>
      <c r="G1286" t="s">
        <v>28</v>
      </c>
      <c r="H1286" t="s">
        <v>33</v>
      </c>
      <c r="I1286" t="s">
        <v>35</v>
      </c>
      <c r="J1286" t="s">
        <v>40</v>
      </c>
      <c r="K1286" t="s">
        <v>48</v>
      </c>
      <c r="L1286" t="s">
        <v>51</v>
      </c>
      <c r="M1286">
        <v>43733</v>
      </c>
      <c r="N1286">
        <v>0.36</v>
      </c>
      <c r="O1286">
        <v>2290</v>
      </c>
      <c r="P1286">
        <v>14</v>
      </c>
      <c r="Q1286" t="s">
        <v>58</v>
      </c>
      <c r="R1286" t="s">
        <v>60</v>
      </c>
    </row>
    <row r="1287" spans="1:18">
      <c r="A1287">
        <v>11286</v>
      </c>
      <c r="B1287" s="2">
        <v>45482</v>
      </c>
      <c r="C1287" s="2">
        <v>45484</v>
      </c>
      <c r="D1287" s="2">
        <v>45488</v>
      </c>
      <c r="E1287" t="s">
        <v>21</v>
      </c>
      <c r="F1287" t="s">
        <v>22</v>
      </c>
      <c r="G1287" t="s">
        <v>25</v>
      </c>
      <c r="H1287" t="s">
        <v>33</v>
      </c>
      <c r="I1287" t="s">
        <v>34</v>
      </c>
      <c r="J1287" t="s">
        <v>39</v>
      </c>
      <c r="K1287" t="s">
        <v>50</v>
      </c>
      <c r="L1287" t="s">
        <v>52</v>
      </c>
      <c r="M1287">
        <v>9895</v>
      </c>
      <c r="N1287">
        <v>0.25</v>
      </c>
      <c r="O1287">
        <v>4433</v>
      </c>
      <c r="P1287">
        <v>1</v>
      </c>
      <c r="Q1287" t="s">
        <v>54</v>
      </c>
      <c r="R1287" t="s">
        <v>62</v>
      </c>
    </row>
    <row r="1288" spans="1:18">
      <c r="A1288">
        <v>11287</v>
      </c>
      <c r="B1288" s="2">
        <v>45483</v>
      </c>
      <c r="C1288" s="2">
        <v>45485</v>
      </c>
      <c r="D1288" s="2">
        <v>45489</v>
      </c>
      <c r="E1288" t="s">
        <v>20</v>
      </c>
      <c r="F1288" t="s">
        <v>22</v>
      </c>
      <c r="G1288" t="s">
        <v>23</v>
      </c>
      <c r="H1288" t="s">
        <v>30</v>
      </c>
      <c r="I1288" t="s">
        <v>34</v>
      </c>
      <c r="J1288" t="s">
        <v>41</v>
      </c>
      <c r="K1288" t="s">
        <v>45</v>
      </c>
      <c r="L1288" t="s">
        <v>52</v>
      </c>
      <c r="M1288">
        <v>27567</v>
      </c>
      <c r="N1288">
        <v>0.1</v>
      </c>
      <c r="O1288">
        <v>14802</v>
      </c>
      <c r="P1288">
        <v>5</v>
      </c>
      <c r="Q1288" t="s">
        <v>55</v>
      </c>
      <c r="R1288" t="s">
        <v>60</v>
      </c>
    </row>
    <row r="1289" spans="1:18">
      <c r="A1289">
        <v>11288</v>
      </c>
      <c r="B1289" s="2">
        <v>45484</v>
      </c>
      <c r="C1289" s="2">
        <v>45486</v>
      </c>
      <c r="D1289" s="2">
        <v>45490</v>
      </c>
      <c r="E1289" t="s">
        <v>18</v>
      </c>
      <c r="F1289" t="s">
        <v>22</v>
      </c>
      <c r="G1289" t="s">
        <v>28</v>
      </c>
      <c r="H1289" t="s">
        <v>31</v>
      </c>
      <c r="I1289" t="s">
        <v>34</v>
      </c>
      <c r="J1289" t="s">
        <v>41</v>
      </c>
      <c r="K1289" t="s">
        <v>44</v>
      </c>
      <c r="L1289" t="s">
        <v>53</v>
      </c>
      <c r="M1289">
        <v>59773</v>
      </c>
      <c r="N1289">
        <v>0.01</v>
      </c>
      <c r="O1289">
        <v>8707</v>
      </c>
      <c r="P1289">
        <v>19</v>
      </c>
      <c r="Q1289" t="s">
        <v>57</v>
      </c>
      <c r="R1289" t="s">
        <v>60</v>
      </c>
    </row>
    <row r="1290" spans="1:18">
      <c r="A1290">
        <v>11289</v>
      </c>
      <c r="B1290" s="2">
        <v>45485</v>
      </c>
      <c r="C1290" s="2">
        <v>45487</v>
      </c>
      <c r="D1290" s="2">
        <v>45491</v>
      </c>
      <c r="E1290" t="s">
        <v>18</v>
      </c>
      <c r="F1290" t="s">
        <v>22</v>
      </c>
      <c r="G1290" t="s">
        <v>28</v>
      </c>
      <c r="H1290" t="s">
        <v>33</v>
      </c>
      <c r="I1290" t="s">
        <v>34</v>
      </c>
      <c r="J1290" t="s">
        <v>37</v>
      </c>
      <c r="K1290" t="s">
        <v>45</v>
      </c>
      <c r="L1290" t="s">
        <v>51</v>
      </c>
      <c r="M1290">
        <v>9185</v>
      </c>
      <c r="N1290">
        <v>0.27</v>
      </c>
      <c r="O1290">
        <v>3909</v>
      </c>
      <c r="P1290">
        <v>1</v>
      </c>
      <c r="Q1290" t="s">
        <v>54</v>
      </c>
      <c r="R1290" t="s">
        <v>61</v>
      </c>
    </row>
    <row r="1291" spans="1:18">
      <c r="A1291">
        <v>11290</v>
      </c>
      <c r="B1291" s="2">
        <v>45486</v>
      </c>
      <c r="C1291" s="2">
        <v>45488</v>
      </c>
      <c r="D1291" s="2">
        <v>45492</v>
      </c>
      <c r="E1291" t="s">
        <v>21</v>
      </c>
      <c r="F1291" t="s">
        <v>22</v>
      </c>
      <c r="G1291" t="s">
        <v>23</v>
      </c>
      <c r="H1291" t="s">
        <v>31</v>
      </c>
      <c r="I1291" t="s">
        <v>34</v>
      </c>
      <c r="J1291" t="s">
        <v>40</v>
      </c>
      <c r="K1291" t="s">
        <v>50</v>
      </c>
      <c r="L1291" t="s">
        <v>51</v>
      </c>
      <c r="M1291">
        <v>10943</v>
      </c>
      <c r="N1291">
        <v>0.22</v>
      </c>
      <c r="O1291">
        <v>-1353</v>
      </c>
      <c r="P1291">
        <v>16</v>
      </c>
      <c r="Q1291" t="s">
        <v>54</v>
      </c>
      <c r="R1291" t="s">
        <v>61</v>
      </c>
    </row>
    <row r="1292" spans="1:18">
      <c r="A1292">
        <v>11291</v>
      </c>
      <c r="B1292" s="2">
        <v>45487</v>
      </c>
      <c r="C1292" s="2">
        <v>45489</v>
      </c>
      <c r="D1292" s="2">
        <v>45493</v>
      </c>
      <c r="E1292" t="s">
        <v>20</v>
      </c>
      <c r="F1292" t="s">
        <v>22</v>
      </c>
      <c r="G1292" t="s">
        <v>28</v>
      </c>
      <c r="H1292" t="s">
        <v>32</v>
      </c>
      <c r="I1292" t="s">
        <v>36</v>
      </c>
      <c r="J1292" t="s">
        <v>37</v>
      </c>
      <c r="K1292" t="s">
        <v>48</v>
      </c>
      <c r="L1292" t="s">
        <v>53</v>
      </c>
      <c r="M1292">
        <v>26431</v>
      </c>
      <c r="N1292">
        <v>0.38</v>
      </c>
      <c r="O1292">
        <v>13870</v>
      </c>
      <c r="P1292">
        <v>1</v>
      </c>
      <c r="Q1292" t="s">
        <v>56</v>
      </c>
      <c r="R1292" t="s">
        <v>60</v>
      </c>
    </row>
    <row r="1293" spans="1:18">
      <c r="A1293">
        <v>11292</v>
      </c>
      <c r="B1293" s="2">
        <v>45488</v>
      </c>
      <c r="C1293" s="2">
        <v>45490</v>
      </c>
      <c r="D1293" s="2">
        <v>45494</v>
      </c>
      <c r="E1293" t="s">
        <v>21</v>
      </c>
      <c r="F1293" t="s">
        <v>22</v>
      </c>
      <c r="G1293" t="s">
        <v>28</v>
      </c>
      <c r="H1293" t="s">
        <v>31</v>
      </c>
      <c r="I1293" t="s">
        <v>36</v>
      </c>
      <c r="J1293" t="s">
        <v>37</v>
      </c>
      <c r="K1293" t="s">
        <v>44</v>
      </c>
      <c r="L1293" t="s">
        <v>52</v>
      </c>
      <c r="M1293">
        <v>10541</v>
      </c>
      <c r="N1293">
        <v>0.05</v>
      </c>
      <c r="O1293">
        <v>-395</v>
      </c>
      <c r="P1293">
        <v>3</v>
      </c>
      <c r="Q1293" t="s">
        <v>56</v>
      </c>
      <c r="R1293" t="s">
        <v>62</v>
      </c>
    </row>
    <row r="1294" spans="1:18">
      <c r="A1294">
        <v>11293</v>
      </c>
      <c r="B1294" s="2">
        <v>45489</v>
      </c>
      <c r="C1294" s="2">
        <v>45491</v>
      </c>
      <c r="D1294" s="2">
        <v>45495</v>
      </c>
      <c r="E1294" t="s">
        <v>18</v>
      </c>
      <c r="F1294" t="s">
        <v>22</v>
      </c>
      <c r="G1294" t="s">
        <v>27</v>
      </c>
      <c r="H1294" t="s">
        <v>29</v>
      </c>
      <c r="I1294" t="s">
        <v>36</v>
      </c>
      <c r="J1294" t="s">
        <v>41</v>
      </c>
      <c r="K1294" t="s">
        <v>44</v>
      </c>
      <c r="L1294" t="s">
        <v>53</v>
      </c>
      <c r="M1294">
        <v>14807</v>
      </c>
      <c r="N1294">
        <v>0.09</v>
      </c>
      <c r="O1294">
        <v>-1787</v>
      </c>
      <c r="P1294">
        <v>1</v>
      </c>
      <c r="Q1294" t="s">
        <v>57</v>
      </c>
      <c r="R1294" t="s">
        <v>59</v>
      </c>
    </row>
    <row r="1295" spans="1:18">
      <c r="A1295">
        <v>11294</v>
      </c>
      <c r="B1295" s="2">
        <v>45490</v>
      </c>
      <c r="C1295" s="2">
        <v>45492</v>
      </c>
      <c r="D1295" s="2">
        <v>45496</v>
      </c>
      <c r="E1295" t="s">
        <v>21</v>
      </c>
      <c r="F1295" t="s">
        <v>22</v>
      </c>
      <c r="G1295" t="s">
        <v>27</v>
      </c>
      <c r="H1295" t="s">
        <v>25</v>
      </c>
      <c r="I1295" t="s">
        <v>36</v>
      </c>
      <c r="J1295" t="s">
        <v>39</v>
      </c>
      <c r="K1295" t="s">
        <v>50</v>
      </c>
      <c r="L1295" t="s">
        <v>53</v>
      </c>
      <c r="M1295">
        <v>63819</v>
      </c>
      <c r="N1295">
        <v>0.11</v>
      </c>
      <c r="O1295">
        <v>5982</v>
      </c>
      <c r="P1295">
        <v>11</v>
      </c>
      <c r="Q1295" t="s">
        <v>54</v>
      </c>
      <c r="R1295" t="s">
        <v>62</v>
      </c>
    </row>
    <row r="1296" spans="1:18">
      <c r="A1296">
        <v>11295</v>
      </c>
      <c r="B1296" s="2">
        <v>45491</v>
      </c>
      <c r="C1296" s="2">
        <v>45493</v>
      </c>
      <c r="D1296" s="2">
        <v>45497</v>
      </c>
      <c r="E1296" t="s">
        <v>19</v>
      </c>
      <c r="F1296" t="s">
        <v>22</v>
      </c>
      <c r="G1296" t="s">
        <v>25</v>
      </c>
      <c r="H1296" t="s">
        <v>29</v>
      </c>
      <c r="I1296" t="s">
        <v>36</v>
      </c>
      <c r="J1296" t="s">
        <v>42</v>
      </c>
      <c r="K1296" t="s">
        <v>47</v>
      </c>
      <c r="L1296" t="s">
        <v>53</v>
      </c>
      <c r="M1296">
        <v>12916</v>
      </c>
      <c r="N1296">
        <v>0.25</v>
      </c>
      <c r="O1296">
        <v>15586</v>
      </c>
      <c r="P1296">
        <v>21</v>
      </c>
      <c r="Q1296" t="s">
        <v>56</v>
      </c>
      <c r="R1296" t="s">
        <v>61</v>
      </c>
    </row>
    <row r="1297" spans="1:18">
      <c r="A1297">
        <v>11296</v>
      </c>
      <c r="B1297" s="2">
        <v>45492</v>
      </c>
      <c r="C1297" s="2">
        <v>45494</v>
      </c>
      <c r="D1297" s="2">
        <v>45498</v>
      </c>
      <c r="E1297" t="s">
        <v>18</v>
      </c>
      <c r="F1297" t="s">
        <v>22</v>
      </c>
      <c r="G1297" t="s">
        <v>24</v>
      </c>
      <c r="H1297" t="s">
        <v>25</v>
      </c>
      <c r="I1297" t="s">
        <v>36</v>
      </c>
      <c r="J1297" t="s">
        <v>42</v>
      </c>
      <c r="K1297" t="s">
        <v>50</v>
      </c>
      <c r="L1297" t="s">
        <v>51</v>
      </c>
      <c r="M1297">
        <v>64605</v>
      </c>
      <c r="N1297">
        <v>0.2</v>
      </c>
      <c r="O1297">
        <v>-1567</v>
      </c>
      <c r="P1297">
        <v>16</v>
      </c>
      <c r="Q1297" t="s">
        <v>58</v>
      </c>
      <c r="R1297" t="s">
        <v>59</v>
      </c>
    </row>
    <row r="1298" spans="1:18">
      <c r="A1298">
        <v>11297</v>
      </c>
      <c r="B1298" s="2">
        <v>45493</v>
      </c>
      <c r="C1298" s="2">
        <v>45495</v>
      </c>
      <c r="D1298" s="2">
        <v>45499</v>
      </c>
      <c r="E1298" t="s">
        <v>19</v>
      </c>
      <c r="F1298" t="s">
        <v>22</v>
      </c>
      <c r="G1298" t="s">
        <v>25</v>
      </c>
      <c r="H1298" t="s">
        <v>29</v>
      </c>
      <c r="I1298" t="s">
        <v>34</v>
      </c>
      <c r="J1298" t="s">
        <v>39</v>
      </c>
      <c r="K1298" t="s">
        <v>49</v>
      </c>
      <c r="L1298" t="s">
        <v>51</v>
      </c>
      <c r="M1298">
        <v>58220</v>
      </c>
      <c r="N1298">
        <v>0.09</v>
      </c>
      <c r="O1298">
        <v>5740</v>
      </c>
      <c r="P1298">
        <v>1</v>
      </c>
      <c r="Q1298" t="s">
        <v>58</v>
      </c>
      <c r="R1298" t="s">
        <v>61</v>
      </c>
    </row>
    <row r="1299" spans="1:18">
      <c r="A1299">
        <v>11298</v>
      </c>
      <c r="B1299" s="2">
        <v>45494</v>
      </c>
      <c r="C1299" s="2">
        <v>45496</v>
      </c>
      <c r="D1299" s="2">
        <v>45500</v>
      </c>
      <c r="E1299" t="s">
        <v>20</v>
      </c>
      <c r="F1299" t="s">
        <v>22</v>
      </c>
      <c r="G1299" t="s">
        <v>28</v>
      </c>
      <c r="H1299" t="s">
        <v>30</v>
      </c>
      <c r="I1299" t="s">
        <v>34</v>
      </c>
      <c r="J1299" t="s">
        <v>40</v>
      </c>
      <c r="K1299" t="s">
        <v>46</v>
      </c>
      <c r="L1299" t="s">
        <v>52</v>
      </c>
      <c r="M1299">
        <v>72258</v>
      </c>
      <c r="N1299">
        <v>0.02</v>
      </c>
      <c r="O1299">
        <v>12378</v>
      </c>
      <c r="P1299">
        <v>15</v>
      </c>
      <c r="Q1299" t="s">
        <v>54</v>
      </c>
      <c r="R1299" t="s">
        <v>59</v>
      </c>
    </row>
    <row r="1300" spans="1:18">
      <c r="A1300">
        <v>11299</v>
      </c>
      <c r="B1300" s="2">
        <v>45495</v>
      </c>
      <c r="C1300" s="2">
        <v>45497</v>
      </c>
      <c r="D1300" s="2">
        <v>45501</v>
      </c>
      <c r="E1300" t="s">
        <v>20</v>
      </c>
      <c r="F1300" t="s">
        <v>22</v>
      </c>
      <c r="G1300" t="s">
        <v>26</v>
      </c>
      <c r="H1300" t="s">
        <v>33</v>
      </c>
      <c r="I1300" t="s">
        <v>35</v>
      </c>
      <c r="J1300" t="s">
        <v>41</v>
      </c>
      <c r="K1300" t="s">
        <v>44</v>
      </c>
      <c r="L1300" t="s">
        <v>53</v>
      </c>
      <c r="M1300">
        <v>68408</v>
      </c>
      <c r="N1300">
        <v>0.1</v>
      </c>
      <c r="O1300">
        <v>11175</v>
      </c>
      <c r="P1300">
        <v>11</v>
      </c>
      <c r="Q1300" t="s">
        <v>57</v>
      </c>
      <c r="R1300" t="s">
        <v>62</v>
      </c>
    </row>
    <row r="1301" spans="1:18">
      <c r="A1301">
        <v>11300</v>
      </c>
      <c r="B1301" s="2">
        <v>45496</v>
      </c>
      <c r="C1301" s="2">
        <v>45498</v>
      </c>
      <c r="D1301" s="2">
        <v>45502</v>
      </c>
      <c r="E1301" t="s">
        <v>18</v>
      </c>
      <c r="F1301" t="s">
        <v>22</v>
      </c>
      <c r="G1301" t="s">
        <v>27</v>
      </c>
      <c r="H1301" t="s">
        <v>30</v>
      </c>
      <c r="I1301" t="s">
        <v>35</v>
      </c>
      <c r="J1301" t="s">
        <v>40</v>
      </c>
      <c r="K1301" t="s">
        <v>45</v>
      </c>
      <c r="L1301" t="s">
        <v>52</v>
      </c>
      <c r="M1301">
        <v>60168</v>
      </c>
      <c r="N1301">
        <v>0.24</v>
      </c>
      <c r="O1301">
        <v>18204</v>
      </c>
      <c r="P1301">
        <v>8</v>
      </c>
      <c r="Q1301" t="s">
        <v>58</v>
      </c>
      <c r="R1301" t="s">
        <v>59</v>
      </c>
    </row>
    <row r="1302" spans="1:18">
      <c r="A1302">
        <v>11301</v>
      </c>
      <c r="B1302" s="2">
        <v>45497</v>
      </c>
      <c r="C1302" s="2">
        <v>45499</v>
      </c>
      <c r="D1302" s="2">
        <v>45503</v>
      </c>
      <c r="E1302" t="s">
        <v>19</v>
      </c>
      <c r="F1302" t="s">
        <v>22</v>
      </c>
      <c r="G1302" t="s">
        <v>25</v>
      </c>
      <c r="H1302" t="s">
        <v>33</v>
      </c>
      <c r="I1302" t="s">
        <v>35</v>
      </c>
      <c r="J1302" t="s">
        <v>38</v>
      </c>
      <c r="K1302" t="s">
        <v>49</v>
      </c>
      <c r="L1302" t="s">
        <v>51</v>
      </c>
      <c r="M1302">
        <v>14923</v>
      </c>
      <c r="N1302">
        <v>0.3</v>
      </c>
      <c r="O1302">
        <v>1510</v>
      </c>
      <c r="P1302">
        <v>15</v>
      </c>
      <c r="Q1302" t="s">
        <v>57</v>
      </c>
      <c r="R1302" t="s">
        <v>60</v>
      </c>
    </row>
    <row r="1303" spans="1:18">
      <c r="A1303">
        <v>11302</v>
      </c>
      <c r="B1303" s="2">
        <v>45498</v>
      </c>
      <c r="C1303" s="2">
        <v>45500</v>
      </c>
      <c r="D1303" s="2">
        <v>45504</v>
      </c>
      <c r="E1303" t="s">
        <v>21</v>
      </c>
      <c r="F1303" t="s">
        <v>22</v>
      </c>
      <c r="G1303" t="s">
        <v>23</v>
      </c>
      <c r="H1303" t="s">
        <v>33</v>
      </c>
      <c r="I1303" t="s">
        <v>36</v>
      </c>
      <c r="J1303" t="s">
        <v>38</v>
      </c>
      <c r="K1303" t="s">
        <v>47</v>
      </c>
      <c r="L1303" t="s">
        <v>52</v>
      </c>
      <c r="M1303">
        <v>36156</v>
      </c>
      <c r="N1303">
        <v>0.3</v>
      </c>
      <c r="O1303">
        <v>9371</v>
      </c>
      <c r="P1303">
        <v>2</v>
      </c>
      <c r="Q1303" t="s">
        <v>58</v>
      </c>
      <c r="R1303" t="s">
        <v>59</v>
      </c>
    </row>
    <row r="1304" spans="1:18">
      <c r="A1304">
        <v>11303</v>
      </c>
      <c r="B1304" s="2">
        <v>45499</v>
      </c>
      <c r="C1304" s="2">
        <v>45501</v>
      </c>
      <c r="D1304" s="2">
        <v>45505</v>
      </c>
      <c r="E1304" t="s">
        <v>18</v>
      </c>
      <c r="F1304" t="s">
        <v>22</v>
      </c>
      <c r="G1304" t="s">
        <v>27</v>
      </c>
      <c r="H1304" t="s">
        <v>32</v>
      </c>
      <c r="I1304" t="s">
        <v>36</v>
      </c>
      <c r="J1304" t="s">
        <v>38</v>
      </c>
      <c r="K1304" t="s">
        <v>48</v>
      </c>
      <c r="L1304" t="s">
        <v>53</v>
      </c>
      <c r="M1304">
        <v>3347</v>
      </c>
      <c r="N1304">
        <v>7.0000000000000007E-2</v>
      </c>
      <c r="O1304">
        <v>4597</v>
      </c>
      <c r="P1304">
        <v>18</v>
      </c>
      <c r="Q1304" t="s">
        <v>57</v>
      </c>
      <c r="R1304" t="s">
        <v>62</v>
      </c>
    </row>
    <row r="1305" spans="1:18">
      <c r="A1305">
        <v>11304</v>
      </c>
      <c r="B1305" s="2">
        <v>45500</v>
      </c>
      <c r="C1305" s="2">
        <v>45502</v>
      </c>
      <c r="D1305" s="2">
        <v>45506</v>
      </c>
      <c r="E1305" t="s">
        <v>19</v>
      </c>
      <c r="F1305" t="s">
        <v>22</v>
      </c>
      <c r="G1305" t="s">
        <v>28</v>
      </c>
      <c r="H1305" t="s">
        <v>31</v>
      </c>
      <c r="I1305" t="s">
        <v>35</v>
      </c>
      <c r="J1305" t="s">
        <v>40</v>
      </c>
      <c r="K1305" t="s">
        <v>48</v>
      </c>
      <c r="L1305" t="s">
        <v>51</v>
      </c>
      <c r="M1305">
        <v>47400</v>
      </c>
      <c r="N1305">
        <v>0.1</v>
      </c>
      <c r="O1305">
        <v>12135</v>
      </c>
      <c r="P1305">
        <v>24</v>
      </c>
      <c r="Q1305" t="s">
        <v>54</v>
      </c>
      <c r="R1305" t="s">
        <v>60</v>
      </c>
    </row>
    <row r="1306" spans="1:18">
      <c r="A1306">
        <v>11305</v>
      </c>
      <c r="B1306" s="2">
        <v>45501</v>
      </c>
      <c r="C1306" s="2">
        <v>45503</v>
      </c>
      <c r="D1306" s="2">
        <v>45507</v>
      </c>
      <c r="E1306" t="s">
        <v>20</v>
      </c>
      <c r="F1306" t="s">
        <v>22</v>
      </c>
      <c r="G1306" t="s">
        <v>23</v>
      </c>
      <c r="H1306" t="s">
        <v>32</v>
      </c>
      <c r="I1306" t="s">
        <v>35</v>
      </c>
      <c r="J1306" t="s">
        <v>42</v>
      </c>
      <c r="K1306" t="s">
        <v>48</v>
      </c>
      <c r="L1306" t="s">
        <v>52</v>
      </c>
      <c r="M1306">
        <v>30837</v>
      </c>
      <c r="N1306">
        <v>0.13</v>
      </c>
      <c r="O1306">
        <v>16626</v>
      </c>
      <c r="P1306">
        <v>14</v>
      </c>
      <c r="Q1306" t="s">
        <v>56</v>
      </c>
      <c r="R1306" t="s">
        <v>59</v>
      </c>
    </row>
    <row r="1307" spans="1:18">
      <c r="A1307">
        <v>11306</v>
      </c>
      <c r="B1307" s="2">
        <v>45502</v>
      </c>
      <c r="C1307" s="2">
        <v>45504</v>
      </c>
      <c r="D1307" s="2">
        <v>45508</v>
      </c>
      <c r="E1307" t="s">
        <v>19</v>
      </c>
      <c r="F1307" t="s">
        <v>22</v>
      </c>
      <c r="G1307" t="s">
        <v>27</v>
      </c>
      <c r="H1307" t="s">
        <v>30</v>
      </c>
      <c r="I1307" t="s">
        <v>35</v>
      </c>
      <c r="J1307" t="s">
        <v>42</v>
      </c>
      <c r="K1307" t="s">
        <v>44</v>
      </c>
      <c r="L1307" t="s">
        <v>51</v>
      </c>
      <c r="M1307">
        <v>36798</v>
      </c>
      <c r="N1307">
        <v>0.17</v>
      </c>
      <c r="O1307">
        <v>14949</v>
      </c>
      <c r="P1307">
        <v>18</v>
      </c>
      <c r="Q1307" t="s">
        <v>55</v>
      </c>
      <c r="R1307" t="s">
        <v>61</v>
      </c>
    </row>
    <row r="1308" spans="1:18">
      <c r="A1308">
        <v>11307</v>
      </c>
      <c r="B1308" s="2">
        <v>45503</v>
      </c>
      <c r="C1308" s="2">
        <v>45505</v>
      </c>
      <c r="D1308" s="2">
        <v>45509</v>
      </c>
      <c r="E1308" t="s">
        <v>18</v>
      </c>
      <c r="F1308" t="s">
        <v>22</v>
      </c>
      <c r="G1308" t="s">
        <v>25</v>
      </c>
      <c r="H1308" t="s">
        <v>25</v>
      </c>
      <c r="I1308" t="s">
        <v>35</v>
      </c>
      <c r="J1308" t="s">
        <v>42</v>
      </c>
      <c r="K1308" t="s">
        <v>45</v>
      </c>
      <c r="L1308" t="s">
        <v>52</v>
      </c>
      <c r="M1308">
        <v>11837</v>
      </c>
      <c r="N1308">
        <v>0.08</v>
      </c>
      <c r="O1308">
        <v>7398</v>
      </c>
      <c r="P1308">
        <v>8</v>
      </c>
      <c r="Q1308" t="s">
        <v>54</v>
      </c>
      <c r="R1308" t="s">
        <v>62</v>
      </c>
    </row>
    <row r="1309" spans="1:18">
      <c r="A1309">
        <v>11308</v>
      </c>
      <c r="B1309" s="2">
        <v>45504</v>
      </c>
      <c r="C1309" s="2">
        <v>45506</v>
      </c>
      <c r="D1309" s="2">
        <v>45510</v>
      </c>
      <c r="E1309" t="s">
        <v>18</v>
      </c>
      <c r="F1309" t="s">
        <v>22</v>
      </c>
      <c r="G1309" t="s">
        <v>28</v>
      </c>
      <c r="H1309" t="s">
        <v>29</v>
      </c>
      <c r="I1309" t="s">
        <v>36</v>
      </c>
      <c r="J1309" t="s">
        <v>39</v>
      </c>
      <c r="K1309" t="s">
        <v>46</v>
      </c>
      <c r="L1309" t="s">
        <v>51</v>
      </c>
      <c r="M1309">
        <v>35642</v>
      </c>
      <c r="N1309">
        <v>0.36</v>
      </c>
      <c r="O1309">
        <v>-915</v>
      </c>
      <c r="P1309">
        <v>10</v>
      </c>
      <c r="Q1309" t="s">
        <v>57</v>
      </c>
      <c r="R1309" t="s">
        <v>61</v>
      </c>
    </row>
    <row r="1310" spans="1:18">
      <c r="A1310">
        <v>11309</v>
      </c>
      <c r="B1310" s="2">
        <v>45505</v>
      </c>
      <c r="C1310" s="2">
        <v>45507</v>
      </c>
      <c r="D1310" s="2">
        <v>45511</v>
      </c>
      <c r="E1310" t="s">
        <v>19</v>
      </c>
      <c r="F1310" t="s">
        <v>22</v>
      </c>
      <c r="G1310" t="s">
        <v>26</v>
      </c>
      <c r="H1310" t="s">
        <v>25</v>
      </c>
      <c r="I1310" t="s">
        <v>35</v>
      </c>
      <c r="J1310" t="s">
        <v>43</v>
      </c>
      <c r="K1310" t="s">
        <v>49</v>
      </c>
      <c r="L1310" t="s">
        <v>51</v>
      </c>
      <c r="M1310">
        <v>56423</v>
      </c>
      <c r="N1310">
        <v>0.26</v>
      </c>
      <c r="O1310">
        <v>15968</v>
      </c>
      <c r="P1310">
        <v>9</v>
      </c>
      <c r="Q1310" t="s">
        <v>54</v>
      </c>
      <c r="R1310" t="s">
        <v>60</v>
      </c>
    </row>
    <row r="1311" spans="1:18">
      <c r="A1311">
        <v>11310</v>
      </c>
      <c r="B1311" s="2">
        <v>45506</v>
      </c>
      <c r="C1311" s="2">
        <v>45508</v>
      </c>
      <c r="D1311" s="2">
        <v>45512</v>
      </c>
      <c r="E1311" t="s">
        <v>19</v>
      </c>
      <c r="F1311" t="s">
        <v>22</v>
      </c>
      <c r="G1311" t="s">
        <v>23</v>
      </c>
      <c r="H1311" t="s">
        <v>31</v>
      </c>
      <c r="I1311" t="s">
        <v>36</v>
      </c>
      <c r="J1311" t="s">
        <v>38</v>
      </c>
      <c r="K1311" t="s">
        <v>49</v>
      </c>
      <c r="L1311" t="s">
        <v>52</v>
      </c>
      <c r="M1311">
        <v>73769</v>
      </c>
      <c r="N1311">
        <v>0.28999999999999998</v>
      </c>
      <c r="O1311">
        <v>2962</v>
      </c>
      <c r="P1311">
        <v>22</v>
      </c>
      <c r="Q1311" t="s">
        <v>57</v>
      </c>
      <c r="R1311" t="s">
        <v>61</v>
      </c>
    </row>
    <row r="1312" spans="1:18">
      <c r="A1312">
        <v>11311</v>
      </c>
      <c r="B1312" s="2">
        <v>45507</v>
      </c>
      <c r="C1312" s="2">
        <v>45509</v>
      </c>
      <c r="D1312" s="2">
        <v>45513</v>
      </c>
      <c r="E1312" t="s">
        <v>21</v>
      </c>
      <c r="F1312" t="s">
        <v>22</v>
      </c>
      <c r="G1312" t="s">
        <v>25</v>
      </c>
      <c r="H1312" t="s">
        <v>25</v>
      </c>
      <c r="I1312" t="s">
        <v>36</v>
      </c>
      <c r="J1312" t="s">
        <v>37</v>
      </c>
      <c r="K1312" t="s">
        <v>44</v>
      </c>
      <c r="L1312" t="s">
        <v>51</v>
      </c>
      <c r="M1312">
        <v>21109</v>
      </c>
      <c r="N1312">
        <v>0.06</v>
      </c>
      <c r="O1312">
        <v>2950</v>
      </c>
      <c r="P1312">
        <v>18</v>
      </c>
      <c r="Q1312" t="s">
        <v>58</v>
      </c>
      <c r="R1312" t="s">
        <v>60</v>
      </c>
    </row>
    <row r="1313" spans="1:18">
      <c r="A1313">
        <v>11312</v>
      </c>
      <c r="B1313" s="2">
        <v>45508</v>
      </c>
      <c r="C1313" s="2">
        <v>45510</v>
      </c>
      <c r="D1313" s="2">
        <v>45514</v>
      </c>
      <c r="E1313" t="s">
        <v>19</v>
      </c>
      <c r="F1313" t="s">
        <v>22</v>
      </c>
      <c r="G1313" t="s">
        <v>28</v>
      </c>
      <c r="H1313" t="s">
        <v>32</v>
      </c>
      <c r="I1313" t="s">
        <v>36</v>
      </c>
      <c r="J1313" t="s">
        <v>37</v>
      </c>
      <c r="K1313" t="s">
        <v>45</v>
      </c>
      <c r="L1313" t="s">
        <v>52</v>
      </c>
      <c r="M1313">
        <v>57612</v>
      </c>
      <c r="N1313">
        <v>0.06</v>
      </c>
      <c r="O1313">
        <v>2343</v>
      </c>
      <c r="P1313">
        <v>12</v>
      </c>
      <c r="Q1313" t="s">
        <v>56</v>
      </c>
      <c r="R1313" t="s">
        <v>59</v>
      </c>
    </row>
    <row r="1314" spans="1:18">
      <c r="A1314">
        <v>11313</v>
      </c>
      <c r="B1314" s="2">
        <v>45509</v>
      </c>
      <c r="C1314" s="2">
        <v>45511</v>
      </c>
      <c r="D1314" s="2">
        <v>45515</v>
      </c>
      <c r="E1314" t="s">
        <v>20</v>
      </c>
      <c r="F1314" t="s">
        <v>22</v>
      </c>
      <c r="G1314" t="s">
        <v>25</v>
      </c>
      <c r="H1314" t="s">
        <v>25</v>
      </c>
      <c r="I1314" t="s">
        <v>34</v>
      </c>
      <c r="J1314" t="s">
        <v>42</v>
      </c>
      <c r="K1314" t="s">
        <v>49</v>
      </c>
      <c r="L1314" t="s">
        <v>52</v>
      </c>
      <c r="M1314">
        <v>64451</v>
      </c>
      <c r="N1314">
        <v>0.21</v>
      </c>
      <c r="O1314">
        <v>3728</v>
      </c>
      <c r="P1314">
        <v>3</v>
      </c>
      <c r="Q1314" t="s">
        <v>54</v>
      </c>
      <c r="R1314" t="s">
        <v>60</v>
      </c>
    </row>
    <row r="1315" spans="1:18">
      <c r="A1315">
        <v>11314</v>
      </c>
      <c r="B1315" s="2">
        <v>45510</v>
      </c>
      <c r="C1315" s="2">
        <v>45512</v>
      </c>
      <c r="D1315" s="2">
        <v>45516</v>
      </c>
      <c r="E1315" t="s">
        <v>18</v>
      </c>
      <c r="F1315" t="s">
        <v>22</v>
      </c>
      <c r="G1315" t="s">
        <v>23</v>
      </c>
      <c r="H1315" t="s">
        <v>25</v>
      </c>
      <c r="I1315" t="s">
        <v>35</v>
      </c>
      <c r="J1315" t="s">
        <v>37</v>
      </c>
      <c r="K1315" t="s">
        <v>44</v>
      </c>
      <c r="L1315" t="s">
        <v>51</v>
      </c>
      <c r="M1315">
        <v>34612</v>
      </c>
      <c r="N1315">
        <v>0.23</v>
      </c>
      <c r="O1315">
        <v>4853</v>
      </c>
      <c r="P1315">
        <v>3</v>
      </c>
      <c r="Q1315" t="s">
        <v>54</v>
      </c>
      <c r="R1315" t="s">
        <v>61</v>
      </c>
    </row>
    <row r="1316" spans="1:18">
      <c r="A1316">
        <v>11315</v>
      </c>
      <c r="B1316" s="2">
        <v>45511</v>
      </c>
      <c r="C1316" s="2">
        <v>45513</v>
      </c>
      <c r="D1316" s="2">
        <v>45517</v>
      </c>
      <c r="E1316" t="s">
        <v>21</v>
      </c>
      <c r="F1316" t="s">
        <v>22</v>
      </c>
      <c r="G1316" t="s">
        <v>26</v>
      </c>
      <c r="H1316" t="s">
        <v>31</v>
      </c>
      <c r="I1316" t="s">
        <v>36</v>
      </c>
      <c r="J1316" t="s">
        <v>41</v>
      </c>
      <c r="K1316" t="s">
        <v>49</v>
      </c>
      <c r="L1316" t="s">
        <v>53</v>
      </c>
      <c r="M1316">
        <v>6013</v>
      </c>
      <c r="N1316">
        <v>0.31</v>
      </c>
      <c r="O1316">
        <v>11114</v>
      </c>
      <c r="P1316">
        <v>19</v>
      </c>
      <c r="Q1316" t="s">
        <v>58</v>
      </c>
      <c r="R1316" t="s">
        <v>59</v>
      </c>
    </row>
    <row r="1317" spans="1:18">
      <c r="A1317">
        <v>11316</v>
      </c>
      <c r="B1317" s="2">
        <v>45512</v>
      </c>
      <c r="C1317" s="2">
        <v>45514</v>
      </c>
      <c r="D1317" s="2">
        <v>45518</v>
      </c>
      <c r="E1317" t="s">
        <v>19</v>
      </c>
      <c r="F1317" t="s">
        <v>22</v>
      </c>
      <c r="G1317" t="s">
        <v>23</v>
      </c>
      <c r="H1317" t="s">
        <v>29</v>
      </c>
      <c r="I1317" t="s">
        <v>36</v>
      </c>
      <c r="J1317" t="s">
        <v>38</v>
      </c>
      <c r="K1317" t="s">
        <v>47</v>
      </c>
      <c r="L1317" t="s">
        <v>52</v>
      </c>
      <c r="M1317">
        <v>38532</v>
      </c>
      <c r="N1317">
        <v>0.05</v>
      </c>
      <c r="O1317">
        <v>11849</v>
      </c>
      <c r="P1317">
        <v>22</v>
      </c>
      <c r="Q1317" t="s">
        <v>54</v>
      </c>
      <c r="R1317" t="s">
        <v>61</v>
      </c>
    </row>
    <row r="1318" spans="1:18">
      <c r="A1318">
        <v>11317</v>
      </c>
      <c r="B1318" s="2">
        <v>45513</v>
      </c>
      <c r="C1318" s="2">
        <v>45515</v>
      </c>
      <c r="D1318" s="2">
        <v>45519</v>
      </c>
      <c r="E1318" t="s">
        <v>19</v>
      </c>
      <c r="F1318" t="s">
        <v>22</v>
      </c>
      <c r="G1318" t="s">
        <v>23</v>
      </c>
      <c r="H1318" t="s">
        <v>33</v>
      </c>
      <c r="I1318" t="s">
        <v>35</v>
      </c>
      <c r="J1318" t="s">
        <v>40</v>
      </c>
      <c r="K1318" t="s">
        <v>50</v>
      </c>
      <c r="L1318" t="s">
        <v>52</v>
      </c>
      <c r="M1318">
        <v>45764</v>
      </c>
      <c r="N1318">
        <v>0.15</v>
      </c>
      <c r="O1318">
        <v>18576</v>
      </c>
      <c r="P1318">
        <v>1</v>
      </c>
      <c r="Q1318" t="s">
        <v>54</v>
      </c>
      <c r="R1318" t="s">
        <v>62</v>
      </c>
    </row>
    <row r="1319" spans="1:18">
      <c r="A1319">
        <v>11318</v>
      </c>
      <c r="B1319" s="2">
        <v>45514</v>
      </c>
      <c r="C1319" s="2">
        <v>45516</v>
      </c>
      <c r="D1319" s="2">
        <v>45520</v>
      </c>
      <c r="E1319" t="s">
        <v>18</v>
      </c>
      <c r="F1319" t="s">
        <v>22</v>
      </c>
      <c r="G1319" t="s">
        <v>28</v>
      </c>
      <c r="H1319" t="s">
        <v>31</v>
      </c>
      <c r="I1319" t="s">
        <v>34</v>
      </c>
      <c r="J1319" t="s">
        <v>43</v>
      </c>
      <c r="K1319" t="s">
        <v>50</v>
      </c>
      <c r="L1319" t="s">
        <v>51</v>
      </c>
      <c r="M1319">
        <v>41383</v>
      </c>
      <c r="N1319">
        <v>0.28000000000000003</v>
      </c>
      <c r="O1319">
        <v>6844</v>
      </c>
      <c r="P1319">
        <v>7</v>
      </c>
      <c r="Q1319" t="s">
        <v>55</v>
      </c>
      <c r="R1319" t="s">
        <v>61</v>
      </c>
    </row>
    <row r="1320" spans="1:18">
      <c r="A1320">
        <v>11319</v>
      </c>
      <c r="B1320" s="2">
        <v>45515</v>
      </c>
      <c r="C1320" s="2">
        <v>45517</v>
      </c>
      <c r="D1320" s="2">
        <v>45521</v>
      </c>
      <c r="E1320" t="s">
        <v>18</v>
      </c>
      <c r="F1320" t="s">
        <v>22</v>
      </c>
      <c r="G1320" t="s">
        <v>27</v>
      </c>
      <c r="H1320" t="s">
        <v>32</v>
      </c>
      <c r="I1320" t="s">
        <v>36</v>
      </c>
      <c r="J1320" t="s">
        <v>39</v>
      </c>
      <c r="K1320" t="s">
        <v>50</v>
      </c>
      <c r="L1320" t="s">
        <v>53</v>
      </c>
      <c r="M1320">
        <v>19626</v>
      </c>
      <c r="N1320">
        <v>0.35</v>
      </c>
      <c r="O1320">
        <v>19154</v>
      </c>
      <c r="P1320">
        <v>15</v>
      </c>
      <c r="Q1320" t="s">
        <v>55</v>
      </c>
      <c r="R1320" t="s">
        <v>61</v>
      </c>
    </row>
    <row r="1321" spans="1:18">
      <c r="A1321">
        <v>11320</v>
      </c>
      <c r="B1321" s="2">
        <v>45516</v>
      </c>
      <c r="C1321" s="2">
        <v>45518</v>
      </c>
      <c r="D1321" s="2">
        <v>45522</v>
      </c>
      <c r="E1321" t="s">
        <v>19</v>
      </c>
      <c r="F1321" t="s">
        <v>22</v>
      </c>
      <c r="G1321" t="s">
        <v>23</v>
      </c>
      <c r="H1321" t="s">
        <v>30</v>
      </c>
      <c r="I1321" t="s">
        <v>34</v>
      </c>
      <c r="J1321" t="s">
        <v>40</v>
      </c>
      <c r="K1321" t="s">
        <v>46</v>
      </c>
      <c r="L1321" t="s">
        <v>52</v>
      </c>
      <c r="M1321">
        <v>36787</v>
      </c>
      <c r="N1321">
        <v>0.24</v>
      </c>
      <c r="O1321">
        <v>3451</v>
      </c>
      <c r="P1321">
        <v>3</v>
      </c>
      <c r="Q1321" t="s">
        <v>56</v>
      </c>
      <c r="R1321" t="s">
        <v>62</v>
      </c>
    </row>
    <row r="1322" spans="1:18">
      <c r="A1322">
        <v>11321</v>
      </c>
      <c r="B1322" s="2">
        <v>45517</v>
      </c>
      <c r="C1322" s="2">
        <v>45519</v>
      </c>
      <c r="D1322" s="2">
        <v>45523</v>
      </c>
      <c r="E1322" t="s">
        <v>21</v>
      </c>
      <c r="F1322" t="s">
        <v>22</v>
      </c>
      <c r="G1322" t="s">
        <v>27</v>
      </c>
      <c r="H1322" t="s">
        <v>29</v>
      </c>
      <c r="I1322" t="s">
        <v>36</v>
      </c>
      <c r="J1322" t="s">
        <v>39</v>
      </c>
      <c r="K1322" t="s">
        <v>48</v>
      </c>
      <c r="L1322" t="s">
        <v>51</v>
      </c>
      <c r="M1322">
        <v>64474</v>
      </c>
      <c r="N1322">
        <v>0.09</v>
      </c>
      <c r="O1322">
        <v>9574</v>
      </c>
      <c r="P1322">
        <v>9</v>
      </c>
      <c r="Q1322" t="s">
        <v>58</v>
      </c>
      <c r="R1322" t="s">
        <v>62</v>
      </c>
    </row>
    <row r="1323" spans="1:18">
      <c r="A1323">
        <v>11322</v>
      </c>
      <c r="B1323" s="2">
        <v>45518</v>
      </c>
      <c r="C1323" s="2">
        <v>45520</v>
      </c>
      <c r="D1323" s="2">
        <v>45524</v>
      </c>
      <c r="E1323" t="s">
        <v>20</v>
      </c>
      <c r="F1323" t="s">
        <v>22</v>
      </c>
      <c r="G1323" t="s">
        <v>24</v>
      </c>
      <c r="H1323" t="s">
        <v>29</v>
      </c>
      <c r="I1323" t="s">
        <v>36</v>
      </c>
      <c r="J1323" t="s">
        <v>41</v>
      </c>
      <c r="K1323" t="s">
        <v>47</v>
      </c>
      <c r="L1323" t="s">
        <v>52</v>
      </c>
      <c r="M1323">
        <v>67915</v>
      </c>
      <c r="N1323">
        <v>0.04</v>
      </c>
      <c r="O1323">
        <v>3902</v>
      </c>
      <c r="P1323">
        <v>10</v>
      </c>
      <c r="Q1323" t="s">
        <v>58</v>
      </c>
      <c r="R1323" t="s">
        <v>60</v>
      </c>
    </row>
    <row r="1324" spans="1:18">
      <c r="A1324">
        <v>11323</v>
      </c>
      <c r="B1324" s="2">
        <v>45519</v>
      </c>
      <c r="C1324" s="2">
        <v>45521</v>
      </c>
      <c r="D1324" s="2">
        <v>45525</v>
      </c>
      <c r="E1324" t="s">
        <v>20</v>
      </c>
      <c r="F1324" t="s">
        <v>22</v>
      </c>
      <c r="G1324" t="s">
        <v>28</v>
      </c>
      <c r="H1324" t="s">
        <v>32</v>
      </c>
      <c r="I1324" t="s">
        <v>34</v>
      </c>
      <c r="J1324" t="s">
        <v>42</v>
      </c>
      <c r="K1324" t="s">
        <v>50</v>
      </c>
      <c r="L1324" t="s">
        <v>51</v>
      </c>
      <c r="M1324">
        <v>24845</v>
      </c>
      <c r="N1324">
        <v>0.27</v>
      </c>
      <c r="O1324">
        <v>18563</v>
      </c>
      <c r="P1324">
        <v>24</v>
      </c>
      <c r="Q1324" t="s">
        <v>55</v>
      </c>
      <c r="R1324" t="s">
        <v>59</v>
      </c>
    </row>
    <row r="1325" spans="1:18">
      <c r="A1325">
        <v>11324</v>
      </c>
      <c r="B1325" s="2">
        <v>45520</v>
      </c>
      <c r="C1325" s="2">
        <v>45522</v>
      </c>
      <c r="D1325" s="2">
        <v>45526</v>
      </c>
      <c r="E1325" t="s">
        <v>20</v>
      </c>
      <c r="F1325" t="s">
        <v>22</v>
      </c>
      <c r="G1325" t="s">
        <v>26</v>
      </c>
      <c r="H1325" t="s">
        <v>32</v>
      </c>
      <c r="I1325" t="s">
        <v>34</v>
      </c>
      <c r="J1325" t="s">
        <v>40</v>
      </c>
      <c r="K1325" t="s">
        <v>49</v>
      </c>
      <c r="L1325" t="s">
        <v>52</v>
      </c>
      <c r="M1325">
        <v>2051</v>
      </c>
      <c r="N1325">
        <v>0.16</v>
      </c>
      <c r="O1325">
        <v>7432</v>
      </c>
      <c r="P1325">
        <v>9</v>
      </c>
      <c r="Q1325" t="s">
        <v>58</v>
      </c>
      <c r="R1325" t="s">
        <v>59</v>
      </c>
    </row>
    <row r="1326" spans="1:18">
      <c r="A1326">
        <v>11325</v>
      </c>
      <c r="B1326" s="2">
        <v>45521</v>
      </c>
      <c r="C1326" s="2">
        <v>45523</v>
      </c>
      <c r="D1326" s="2">
        <v>45527</v>
      </c>
      <c r="E1326" t="s">
        <v>19</v>
      </c>
      <c r="F1326" t="s">
        <v>22</v>
      </c>
      <c r="G1326" t="s">
        <v>26</v>
      </c>
      <c r="H1326" t="s">
        <v>32</v>
      </c>
      <c r="I1326" t="s">
        <v>34</v>
      </c>
      <c r="J1326" t="s">
        <v>41</v>
      </c>
      <c r="K1326" t="s">
        <v>49</v>
      </c>
      <c r="L1326" t="s">
        <v>52</v>
      </c>
      <c r="M1326">
        <v>24909</v>
      </c>
      <c r="N1326">
        <v>0.15</v>
      </c>
      <c r="O1326">
        <v>16908</v>
      </c>
      <c r="P1326">
        <v>12</v>
      </c>
      <c r="Q1326" t="s">
        <v>56</v>
      </c>
      <c r="R1326" t="s">
        <v>59</v>
      </c>
    </row>
    <row r="1327" spans="1:18">
      <c r="A1327">
        <v>11326</v>
      </c>
      <c r="B1327" s="2">
        <v>45522</v>
      </c>
      <c r="C1327" s="2">
        <v>45524</v>
      </c>
      <c r="D1327" s="2">
        <v>45528</v>
      </c>
      <c r="E1327" t="s">
        <v>20</v>
      </c>
      <c r="F1327" t="s">
        <v>22</v>
      </c>
      <c r="G1327" t="s">
        <v>28</v>
      </c>
      <c r="H1327" t="s">
        <v>25</v>
      </c>
      <c r="I1327" t="s">
        <v>35</v>
      </c>
      <c r="J1327" t="s">
        <v>38</v>
      </c>
      <c r="K1327" t="s">
        <v>49</v>
      </c>
      <c r="L1327" t="s">
        <v>51</v>
      </c>
      <c r="M1327">
        <v>40722</v>
      </c>
      <c r="N1327">
        <v>0.17</v>
      </c>
      <c r="O1327">
        <v>-1521</v>
      </c>
      <c r="P1327">
        <v>8</v>
      </c>
      <c r="Q1327" t="s">
        <v>54</v>
      </c>
      <c r="R1327" t="s">
        <v>61</v>
      </c>
    </row>
    <row r="1328" spans="1:18">
      <c r="A1328">
        <v>11327</v>
      </c>
      <c r="B1328" s="2">
        <v>45523</v>
      </c>
      <c r="C1328" s="2">
        <v>45525</v>
      </c>
      <c r="D1328" s="2">
        <v>45529</v>
      </c>
      <c r="E1328" t="s">
        <v>21</v>
      </c>
      <c r="F1328" t="s">
        <v>22</v>
      </c>
      <c r="G1328" t="s">
        <v>25</v>
      </c>
      <c r="H1328" t="s">
        <v>32</v>
      </c>
      <c r="I1328" t="s">
        <v>34</v>
      </c>
      <c r="J1328" t="s">
        <v>38</v>
      </c>
      <c r="K1328" t="s">
        <v>50</v>
      </c>
      <c r="L1328" t="s">
        <v>52</v>
      </c>
      <c r="M1328">
        <v>28601</v>
      </c>
      <c r="N1328">
        <v>0.15</v>
      </c>
      <c r="O1328">
        <v>-207</v>
      </c>
      <c r="P1328">
        <v>5</v>
      </c>
      <c r="Q1328" t="s">
        <v>57</v>
      </c>
      <c r="R1328" t="s">
        <v>62</v>
      </c>
    </row>
    <row r="1329" spans="1:18">
      <c r="A1329">
        <v>11328</v>
      </c>
      <c r="B1329" s="2">
        <v>45524</v>
      </c>
      <c r="C1329" s="2">
        <v>45526</v>
      </c>
      <c r="D1329" s="2">
        <v>45530</v>
      </c>
      <c r="E1329" t="s">
        <v>19</v>
      </c>
      <c r="F1329" t="s">
        <v>22</v>
      </c>
      <c r="G1329" t="s">
        <v>26</v>
      </c>
      <c r="H1329" t="s">
        <v>29</v>
      </c>
      <c r="I1329" t="s">
        <v>36</v>
      </c>
      <c r="J1329" t="s">
        <v>41</v>
      </c>
      <c r="K1329" t="s">
        <v>45</v>
      </c>
      <c r="L1329" t="s">
        <v>52</v>
      </c>
      <c r="M1329">
        <v>60804</v>
      </c>
      <c r="N1329">
        <v>0.32</v>
      </c>
      <c r="O1329">
        <v>15282</v>
      </c>
      <c r="P1329">
        <v>3</v>
      </c>
      <c r="Q1329" t="s">
        <v>55</v>
      </c>
      <c r="R1329" t="s">
        <v>61</v>
      </c>
    </row>
    <row r="1330" spans="1:18">
      <c r="A1330">
        <v>11329</v>
      </c>
      <c r="B1330" s="2">
        <v>45525</v>
      </c>
      <c r="C1330" s="2">
        <v>45527</v>
      </c>
      <c r="D1330" s="2">
        <v>45531</v>
      </c>
      <c r="E1330" t="s">
        <v>20</v>
      </c>
      <c r="F1330" t="s">
        <v>22</v>
      </c>
      <c r="G1330" t="s">
        <v>26</v>
      </c>
      <c r="H1330" t="s">
        <v>31</v>
      </c>
      <c r="I1330" t="s">
        <v>36</v>
      </c>
      <c r="J1330" t="s">
        <v>43</v>
      </c>
      <c r="K1330" t="s">
        <v>50</v>
      </c>
      <c r="L1330" t="s">
        <v>51</v>
      </c>
      <c r="M1330">
        <v>25538</v>
      </c>
      <c r="N1330">
        <v>0.02</v>
      </c>
      <c r="O1330">
        <v>16265</v>
      </c>
      <c r="P1330">
        <v>8</v>
      </c>
      <c r="Q1330" t="s">
        <v>57</v>
      </c>
      <c r="R1330" t="s">
        <v>59</v>
      </c>
    </row>
    <row r="1331" spans="1:18">
      <c r="A1331">
        <v>11330</v>
      </c>
      <c r="B1331" s="2">
        <v>45526</v>
      </c>
      <c r="C1331" s="2">
        <v>45528</v>
      </c>
      <c r="D1331" s="2">
        <v>45532</v>
      </c>
      <c r="E1331" t="s">
        <v>19</v>
      </c>
      <c r="F1331" t="s">
        <v>22</v>
      </c>
      <c r="G1331" t="s">
        <v>25</v>
      </c>
      <c r="H1331" t="s">
        <v>30</v>
      </c>
      <c r="I1331" t="s">
        <v>36</v>
      </c>
      <c r="J1331" t="s">
        <v>41</v>
      </c>
      <c r="K1331" t="s">
        <v>46</v>
      </c>
      <c r="L1331" t="s">
        <v>52</v>
      </c>
      <c r="M1331">
        <v>67251</v>
      </c>
      <c r="N1331">
        <v>0.28999999999999998</v>
      </c>
      <c r="O1331">
        <v>19069</v>
      </c>
      <c r="P1331">
        <v>19</v>
      </c>
      <c r="Q1331" t="s">
        <v>56</v>
      </c>
      <c r="R1331" t="s">
        <v>59</v>
      </c>
    </row>
    <row r="1332" spans="1:18">
      <c r="A1332">
        <v>11331</v>
      </c>
      <c r="B1332" s="2">
        <v>45527</v>
      </c>
      <c r="C1332" s="2">
        <v>45529</v>
      </c>
      <c r="D1332" s="2">
        <v>45533</v>
      </c>
      <c r="E1332" t="s">
        <v>18</v>
      </c>
      <c r="F1332" t="s">
        <v>22</v>
      </c>
      <c r="G1332" t="s">
        <v>24</v>
      </c>
      <c r="H1332" t="s">
        <v>29</v>
      </c>
      <c r="I1332" t="s">
        <v>35</v>
      </c>
      <c r="J1332" t="s">
        <v>39</v>
      </c>
      <c r="K1332" t="s">
        <v>46</v>
      </c>
      <c r="L1332" t="s">
        <v>51</v>
      </c>
      <c r="M1332">
        <v>48543</v>
      </c>
      <c r="N1332">
        <v>0.09</v>
      </c>
      <c r="O1332">
        <v>8110</v>
      </c>
      <c r="P1332">
        <v>13</v>
      </c>
      <c r="Q1332" t="s">
        <v>58</v>
      </c>
      <c r="R1332" t="s">
        <v>62</v>
      </c>
    </row>
    <row r="1333" spans="1:18">
      <c r="A1333">
        <v>11332</v>
      </c>
      <c r="B1333" s="2">
        <v>45528</v>
      </c>
      <c r="C1333" s="2">
        <v>45530</v>
      </c>
      <c r="D1333" s="2">
        <v>45534</v>
      </c>
      <c r="E1333" t="s">
        <v>19</v>
      </c>
      <c r="F1333" t="s">
        <v>22</v>
      </c>
      <c r="G1333" t="s">
        <v>26</v>
      </c>
      <c r="H1333" t="s">
        <v>31</v>
      </c>
      <c r="I1333" t="s">
        <v>34</v>
      </c>
      <c r="J1333" t="s">
        <v>40</v>
      </c>
      <c r="K1333" t="s">
        <v>48</v>
      </c>
      <c r="L1333" t="s">
        <v>51</v>
      </c>
      <c r="M1333">
        <v>13332</v>
      </c>
      <c r="N1333">
        <v>0.36</v>
      </c>
      <c r="O1333">
        <v>13964</v>
      </c>
      <c r="P1333">
        <v>9</v>
      </c>
      <c r="Q1333" t="s">
        <v>55</v>
      </c>
      <c r="R1333" t="s">
        <v>62</v>
      </c>
    </row>
    <row r="1334" spans="1:18">
      <c r="A1334">
        <v>11333</v>
      </c>
      <c r="B1334" s="2">
        <v>45529</v>
      </c>
      <c r="C1334" s="2">
        <v>45531</v>
      </c>
      <c r="D1334" s="2">
        <v>45535</v>
      </c>
      <c r="E1334" t="s">
        <v>21</v>
      </c>
      <c r="F1334" t="s">
        <v>22</v>
      </c>
      <c r="G1334" t="s">
        <v>24</v>
      </c>
      <c r="H1334" t="s">
        <v>31</v>
      </c>
      <c r="I1334" t="s">
        <v>36</v>
      </c>
      <c r="J1334" t="s">
        <v>38</v>
      </c>
      <c r="K1334" t="s">
        <v>48</v>
      </c>
      <c r="L1334" t="s">
        <v>53</v>
      </c>
      <c r="M1334">
        <v>30285</v>
      </c>
      <c r="N1334">
        <v>0.05</v>
      </c>
      <c r="O1334">
        <v>19884</v>
      </c>
      <c r="P1334">
        <v>5</v>
      </c>
      <c r="Q1334" t="s">
        <v>56</v>
      </c>
      <c r="R1334" t="s">
        <v>60</v>
      </c>
    </row>
    <row r="1335" spans="1:18">
      <c r="A1335">
        <v>11334</v>
      </c>
      <c r="B1335" s="2">
        <v>45530</v>
      </c>
      <c r="C1335" s="2">
        <v>45532</v>
      </c>
      <c r="D1335" s="2">
        <v>45536</v>
      </c>
      <c r="E1335" t="s">
        <v>20</v>
      </c>
      <c r="F1335" t="s">
        <v>22</v>
      </c>
      <c r="G1335" t="s">
        <v>28</v>
      </c>
      <c r="H1335" t="s">
        <v>32</v>
      </c>
      <c r="I1335" t="s">
        <v>35</v>
      </c>
      <c r="J1335" t="s">
        <v>38</v>
      </c>
      <c r="K1335" t="s">
        <v>50</v>
      </c>
      <c r="L1335" t="s">
        <v>53</v>
      </c>
      <c r="M1335">
        <v>49732</v>
      </c>
      <c r="N1335">
        <v>0.38</v>
      </c>
      <c r="O1335">
        <v>9785</v>
      </c>
      <c r="P1335">
        <v>7</v>
      </c>
      <c r="Q1335" t="s">
        <v>56</v>
      </c>
      <c r="R1335" t="s">
        <v>59</v>
      </c>
    </row>
    <row r="1336" spans="1:18">
      <c r="A1336">
        <v>11335</v>
      </c>
      <c r="B1336" s="2">
        <v>45531</v>
      </c>
      <c r="C1336" s="2">
        <v>45533</v>
      </c>
      <c r="D1336" s="2">
        <v>45537</v>
      </c>
      <c r="E1336" t="s">
        <v>20</v>
      </c>
      <c r="F1336" t="s">
        <v>22</v>
      </c>
      <c r="G1336" t="s">
        <v>28</v>
      </c>
      <c r="H1336" t="s">
        <v>30</v>
      </c>
      <c r="I1336" t="s">
        <v>35</v>
      </c>
      <c r="J1336" t="s">
        <v>39</v>
      </c>
      <c r="K1336" t="s">
        <v>50</v>
      </c>
      <c r="L1336" t="s">
        <v>52</v>
      </c>
      <c r="M1336">
        <v>68319</v>
      </c>
      <c r="N1336">
        <v>0.33</v>
      </c>
      <c r="O1336">
        <v>3183</v>
      </c>
      <c r="P1336">
        <v>1</v>
      </c>
      <c r="Q1336" t="s">
        <v>57</v>
      </c>
      <c r="R1336" t="s">
        <v>59</v>
      </c>
    </row>
    <row r="1337" spans="1:18">
      <c r="A1337">
        <v>11336</v>
      </c>
      <c r="B1337" s="2">
        <v>45532</v>
      </c>
      <c r="C1337" s="2">
        <v>45534</v>
      </c>
      <c r="D1337" s="2">
        <v>45538</v>
      </c>
      <c r="E1337" t="s">
        <v>18</v>
      </c>
      <c r="F1337" t="s">
        <v>22</v>
      </c>
      <c r="G1337" t="s">
        <v>24</v>
      </c>
      <c r="H1337" t="s">
        <v>31</v>
      </c>
      <c r="I1337" t="s">
        <v>35</v>
      </c>
      <c r="J1337" t="s">
        <v>42</v>
      </c>
      <c r="K1337" t="s">
        <v>44</v>
      </c>
      <c r="L1337" t="s">
        <v>53</v>
      </c>
      <c r="M1337">
        <v>74352</v>
      </c>
      <c r="N1337">
        <v>7.0000000000000007E-2</v>
      </c>
      <c r="O1337">
        <v>8702</v>
      </c>
      <c r="P1337">
        <v>17</v>
      </c>
      <c r="Q1337" t="s">
        <v>56</v>
      </c>
      <c r="R1337" t="s">
        <v>59</v>
      </c>
    </row>
    <row r="1338" spans="1:18">
      <c r="A1338">
        <v>11337</v>
      </c>
      <c r="B1338" s="2">
        <v>45533</v>
      </c>
      <c r="C1338" s="2">
        <v>45535</v>
      </c>
      <c r="D1338" s="2">
        <v>45539</v>
      </c>
      <c r="E1338" t="s">
        <v>19</v>
      </c>
      <c r="F1338" t="s">
        <v>22</v>
      </c>
      <c r="G1338" t="s">
        <v>25</v>
      </c>
      <c r="H1338" t="s">
        <v>32</v>
      </c>
      <c r="I1338" t="s">
        <v>36</v>
      </c>
      <c r="J1338" t="s">
        <v>39</v>
      </c>
      <c r="K1338" t="s">
        <v>44</v>
      </c>
      <c r="L1338" t="s">
        <v>52</v>
      </c>
      <c r="M1338">
        <v>44565</v>
      </c>
      <c r="N1338">
        <v>0.02</v>
      </c>
      <c r="O1338">
        <v>15039</v>
      </c>
      <c r="P1338">
        <v>5</v>
      </c>
      <c r="Q1338" t="s">
        <v>54</v>
      </c>
      <c r="R1338" t="s">
        <v>60</v>
      </c>
    </row>
    <row r="1339" spans="1:18">
      <c r="A1339">
        <v>11338</v>
      </c>
      <c r="B1339" s="2">
        <v>45534</v>
      </c>
      <c r="C1339" s="2">
        <v>45536</v>
      </c>
      <c r="D1339" s="2">
        <v>45540</v>
      </c>
      <c r="E1339" t="s">
        <v>20</v>
      </c>
      <c r="F1339" t="s">
        <v>22</v>
      </c>
      <c r="G1339" t="s">
        <v>27</v>
      </c>
      <c r="H1339" t="s">
        <v>32</v>
      </c>
      <c r="I1339" t="s">
        <v>34</v>
      </c>
      <c r="J1339" t="s">
        <v>37</v>
      </c>
      <c r="K1339" t="s">
        <v>48</v>
      </c>
      <c r="L1339" t="s">
        <v>51</v>
      </c>
      <c r="M1339">
        <v>19053</v>
      </c>
      <c r="N1339">
        <v>0.4</v>
      </c>
      <c r="O1339">
        <v>8267</v>
      </c>
      <c r="P1339">
        <v>16</v>
      </c>
      <c r="Q1339" t="s">
        <v>56</v>
      </c>
      <c r="R1339" t="s">
        <v>62</v>
      </c>
    </row>
    <row r="1340" spans="1:18">
      <c r="A1340">
        <v>11339</v>
      </c>
      <c r="B1340" s="2">
        <v>45535</v>
      </c>
      <c r="C1340" s="2">
        <v>45537</v>
      </c>
      <c r="D1340" s="2">
        <v>45541</v>
      </c>
      <c r="E1340" t="s">
        <v>19</v>
      </c>
      <c r="F1340" t="s">
        <v>22</v>
      </c>
      <c r="G1340" t="s">
        <v>25</v>
      </c>
      <c r="H1340" t="s">
        <v>32</v>
      </c>
      <c r="I1340" t="s">
        <v>35</v>
      </c>
      <c r="J1340" t="s">
        <v>37</v>
      </c>
      <c r="K1340" t="s">
        <v>44</v>
      </c>
      <c r="L1340" t="s">
        <v>52</v>
      </c>
      <c r="M1340">
        <v>5234</v>
      </c>
      <c r="N1340">
        <v>0.39</v>
      </c>
      <c r="O1340">
        <v>11022</v>
      </c>
      <c r="P1340">
        <v>9</v>
      </c>
      <c r="Q1340" t="s">
        <v>55</v>
      </c>
      <c r="R1340" t="s">
        <v>61</v>
      </c>
    </row>
    <row r="1341" spans="1:18">
      <c r="A1341">
        <v>11340</v>
      </c>
      <c r="B1341" s="2">
        <v>45536</v>
      </c>
      <c r="C1341" s="2">
        <v>45538</v>
      </c>
      <c r="D1341" s="2">
        <v>45542</v>
      </c>
      <c r="E1341" t="s">
        <v>21</v>
      </c>
      <c r="F1341" t="s">
        <v>22</v>
      </c>
      <c r="G1341" t="s">
        <v>28</v>
      </c>
      <c r="H1341" t="s">
        <v>25</v>
      </c>
      <c r="I1341" t="s">
        <v>34</v>
      </c>
      <c r="J1341" t="s">
        <v>41</v>
      </c>
      <c r="K1341" t="s">
        <v>47</v>
      </c>
      <c r="L1341" t="s">
        <v>52</v>
      </c>
      <c r="M1341">
        <v>60617</v>
      </c>
      <c r="N1341">
        <v>7.0000000000000007E-2</v>
      </c>
      <c r="O1341">
        <v>16738</v>
      </c>
      <c r="P1341">
        <v>11</v>
      </c>
      <c r="Q1341" t="s">
        <v>58</v>
      </c>
      <c r="R1341" t="s">
        <v>59</v>
      </c>
    </row>
    <row r="1342" spans="1:18">
      <c r="A1342">
        <v>11341</v>
      </c>
      <c r="B1342" s="2">
        <v>45537</v>
      </c>
      <c r="C1342" s="2">
        <v>45539</v>
      </c>
      <c r="D1342" s="2">
        <v>45543</v>
      </c>
      <c r="E1342" t="s">
        <v>20</v>
      </c>
      <c r="F1342" t="s">
        <v>22</v>
      </c>
      <c r="G1342" t="s">
        <v>26</v>
      </c>
      <c r="H1342" t="s">
        <v>25</v>
      </c>
      <c r="I1342" t="s">
        <v>36</v>
      </c>
      <c r="J1342" t="s">
        <v>42</v>
      </c>
      <c r="K1342" t="s">
        <v>47</v>
      </c>
      <c r="L1342" t="s">
        <v>51</v>
      </c>
      <c r="M1342">
        <v>34327</v>
      </c>
      <c r="N1342">
        <v>0.23</v>
      </c>
      <c r="O1342">
        <v>11857</v>
      </c>
      <c r="P1342">
        <v>5</v>
      </c>
      <c r="Q1342" t="s">
        <v>57</v>
      </c>
      <c r="R1342" t="s">
        <v>61</v>
      </c>
    </row>
    <row r="1343" spans="1:18">
      <c r="A1343">
        <v>11342</v>
      </c>
      <c r="B1343" s="2">
        <v>45538</v>
      </c>
      <c r="C1343" s="2">
        <v>45540</v>
      </c>
      <c r="D1343" s="2">
        <v>45544</v>
      </c>
      <c r="E1343" t="s">
        <v>18</v>
      </c>
      <c r="F1343" t="s">
        <v>22</v>
      </c>
      <c r="G1343" t="s">
        <v>25</v>
      </c>
      <c r="H1343" t="s">
        <v>33</v>
      </c>
      <c r="I1343" t="s">
        <v>34</v>
      </c>
      <c r="J1343" t="s">
        <v>38</v>
      </c>
      <c r="K1343" t="s">
        <v>46</v>
      </c>
      <c r="L1343" t="s">
        <v>52</v>
      </c>
      <c r="M1343">
        <v>23870</v>
      </c>
      <c r="N1343">
        <v>0.17</v>
      </c>
      <c r="O1343">
        <v>13286</v>
      </c>
      <c r="P1343">
        <v>5</v>
      </c>
      <c r="Q1343" t="s">
        <v>56</v>
      </c>
      <c r="R1343" t="s">
        <v>61</v>
      </c>
    </row>
    <row r="1344" spans="1:18">
      <c r="A1344">
        <v>11343</v>
      </c>
      <c r="B1344" s="2">
        <v>45539</v>
      </c>
      <c r="C1344" s="2">
        <v>45541</v>
      </c>
      <c r="D1344" s="2">
        <v>45545</v>
      </c>
      <c r="E1344" t="s">
        <v>18</v>
      </c>
      <c r="F1344" t="s">
        <v>22</v>
      </c>
      <c r="G1344" t="s">
        <v>23</v>
      </c>
      <c r="H1344" t="s">
        <v>30</v>
      </c>
      <c r="I1344" t="s">
        <v>36</v>
      </c>
      <c r="J1344" t="s">
        <v>39</v>
      </c>
      <c r="K1344" t="s">
        <v>45</v>
      </c>
      <c r="L1344" t="s">
        <v>52</v>
      </c>
      <c r="M1344">
        <v>49451</v>
      </c>
      <c r="N1344">
        <v>0.1</v>
      </c>
      <c r="O1344">
        <v>-1134</v>
      </c>
      <c r="P1344">
        <v>15</v>
      </c>
      <c r="Q1344" t="s">
        <v>56</v>
      </c>
      <c r="R1344" t="s">
        <v>60</v>
      </c>
    </row>
    <row r="1345" spans="1:18">
      <c r="A1345">
        <v>11344</v>
      </c>
      <c r="B1345" s="2">
        <v>45540</v>
      </c>
      <c r="C1345" s="2">
        <v>45542</v>
      </c>
      <c r="D1345" s="2">
        <v>45546</v>
      </c>
      <c r="E1345" t="s">
        <v>21</v>
      </c>
      <c r="F1345" t="s">
        <v>22</v>
      </c>
      <c r="G1345" t="s">
        <v>27</v>
      </c>
      <c r="H1345" t="s">
        <v>32</v>
      </c>
      <c r="I1345" t="s">
        <v>35</v>
      </c>
      <c r="J1345" t="s">
        <v>41</v>
      </c>
      <c r="K1345" t="s">
        <v>45</v>
      </c>
      <c r="L1345" t="s">
        <v>53</v>
      </c>
      <c r="M1345">
        <v>18557</v>
      </c>
      <c r="N1345">
        <v>0.25</v>
      </c>
      <c r="O1345">
        <v>6610</v>
      </c>
      <c r="P1345">
        <v>19</v>
      </c>
      <c r="Q1345" t="s">
        <v>56</v>
      </c>
      <c r="R1345" t="s">
        <v>61</v>
      </c>
    </row>
    <row r="1346" spans="1:18">
      <c r="A1346">
        <v>11345</v>
      </c>
      <c r="B1346" s="2">
        <v>45541</v>
      </c>
      <c r="C1346" s="2">
        <v>45543</v>
      </c>
      <c r="D1346" s="2">
        <v>45547</v>
      </c>
      <c r="E1346" t="s">
        <v>18</v>
      </c>
      <c r="F1346" t="s">
        <v>22</v>
      </c>
      <c r="G1346" t="s">
        <v>27</v>
      </c>
      <c r="H1346" t="s">
        <v>32</v>
      </c>
      <c r="I1346" t="s">
        <v>34</v>
      </c>
      <c r="J1346" t="s">
        <v>40</v>
      </c>
      <c r="K1346" t="s">
        <v>49</v>
      </c>
      <c r="L1346" t="s">
        <v>52</v>
      </c>
      <c r="M1346">
        <v>74842</v>
      </c>
      <c r="N1346">
        <v>0.36</v>
      </c>
      <c r="O1346">
        <v>-865</v>
      </c>
      <c r="P1346">
        <v>16</v>
      </c>
      <c r="Q1346" t="s">
        <v>57</v>
      </c>
      <c r="R1346" t="s">
        <v>61</v>
      </c>
    </row>
    <row r="1347" spans="1:18">
      <c r="A1347">
        <v>11346</v>
      </c>
      <c r="B1347" s="2">
        <v>45542</v>
      </c>
      <c r="C1347" s="2">
        <v>45544</v>
      </c>
      <c r="D1347" s="2">
        <v>45548</v>
      </c>
      <c r="E1347" t="s">
        <v>20</v>
      </c>
      <c r="F1347" t="s">
        <v>22</v>
      </c>
      <c r="G1347" t="s">
        <v>26</v>
      </c>
      <c r="H1347" t="s">
        <v>29</v>
      </c>
      <c r="I1347" t="s">
        <v>36</v>
      </c>
      <c r="J1347" t="s">
        <v>42</v>
      </c>
      <c r="K1347" t="s">
        <v>48</v>
      </c>
      <c r="L1347" t="s">
        <v>52</v>
      </c>
      <c r="M1347">
        <v>48234</v>
      </c>
      <c r="N1347">
        <v>0.3</v>
      </c>
      <c r="O1347">
        <v>12032</v>
      </c>
      <c r="P1347">
        <v>2</v>
      </c>
      <c r="Q1347" t="s">
        <v>58</v>
      </c>
      <c r="R1347" t="s">
        <v>60</v>
      </c>
    </row>
    <row r="1348" spans="1:18">
      <c r="A1348">
        <v>11347</v>
      </c>
      <c r="B1348" s="2">
        <v>45543</v>
      </c>
      <c r="C1348" s="2">
        <v>45545</v>
      </c>
      <c r="D1348" s="2">
        <v>45549</v>
      </c>
      <c r="E1348" t="s">
        <v>21</v>
      </c>
      <c r="F1348" t="s">
        <v>22</v>
      </c>
      <c r="G1348" t="s">
        <v>26</v>
      </c>
      <c r="H1348" t="s">
        <v>31</v>
      </c>
      <c r="I1348" t="s">
        <v>36</v>
      </c>
      <c r="J1348" t="s">
        <v>40</v>
      </c>
      <c r="K1348" t="s">
        <v>46</v>
      </c>
      <c r="L1348" t="s">
        <v>52</v>
      </c>
      <c r="M1348">
        <v>6142</v>
      </c>
      <c r="N1348">
        <v>0.09</v>
      </c>
      <c r="O1348">
        <v>-1516</v>
      </c>
      <c r="P1348">
        <v>16</v>
      </c>
      <c r="Q1348" t="s">
        <v>57</v>
      </c>
      <c r="R1348" t="s">
        <v>62</v>
      </c>
    </row>
    <row r="1349" spans="1:18">
      <c r="A1349">
        <v>11348</v>
      </c>
      <c r="B1349" s="2">
        <v>45544</v>
      </c>
      <c r="C1349" s="2">
        <v>45546</v>
      </c>
      <c r="D1349" s="2">
        <v>45550</v>
      </c>
      <c r="E1349" t="s">
        <v>21</v>
      </c>
      <c r="F1349" t="s">
        <v>22</v>
      </c>
      <c r="G1349" t="s">
        <v>24</v>
      </c>
      <c r="H1349" t="s">
        <v>31</v>
      </c>
      <c r="I1349" t="s">
        <v>35</v>
      </c>
      <c r="J1349" t="s">
        <v>40</v>
      </c>
      <c r="K1349" t="s">
        <v>48</v>
      </c>
      <c r="L1349" t="s">
        <v>53</v>
      </c>
      <c r="M1349">
        <v>71786</v>
      </c>
      <c r="N1349">
        <v>0.23</v>
      </c>
      <c r="O1349">
        <v>2761</v>
      </c>
      <c r="P1349">
        <v>22</v>
      </c>
      <c r="Q1349" t="s">
        <v>54</v>
      </c>
      <c r="R1349" t="s">
        <v>59</v>
      </c>
    </row>
    <row r="1350" spans="1:18">
      <c r="A1350">
        <v>11349</v>
      </c>
      <c r="B1350" s="2">
        <v>45545</v>
      </c>
      <c r="C1350" s="2">
        <v>45547</v>
      </c>
      <c r="D1350" s="2">
        <v>45551</v>
      </c>
      <c r="E1350" t="s">
        <v>20</v>
      </c>
      <c r="F1350" t="s">
        <v>22</v>
      </c>
      <c r="G1350" t="s">
        <v>25</v>
      </c>
      <c r="H1350" t="s">
        <v>33</v>
      </c>
      <c r="I1350" t="s">
        <v>36</v>
      </c>
      <c r="J1350" t="s">
        <v>42</v>
      </c>
      <c r="K1350" t="s">
        <v>49</v>
      </c>
      <c r="L1350" t="s">
        <v>52</v>
      </c>
      <c r="M1350">
        <v>58066</v>
      </c>
      <c r="N1350">
        <v>0.06</v>
      </c>
      <c r="O1350">
        <v>95</v>
      </c>
      <c r="P1350">
        <v>12</v>
      </c>
      <c r="Q1350" t="s">
        <v>56</v>
      </c>
      <c r="R1350" t="s">
        <v>62</v>
      </c>
    </row>
    <row r="1351" spans="1:18">
      <c r="A1351">
        <v>11350</v>
      </c>
      <c r="B1351" s="2">
        <v>45546</v>
      </c>
      <c r="C1351" s="2">
        <v>45548</v>
      </c>
      <c r="D1351" s="2">
        <v>45552</v>
      </c>
      <c r="E1351" t="s">
        <v>18</v>
      </c>
      <c r="F1351" t="s">
        <v>22</v>
      </c>
      <c r="G1351" t="s">
        <v>26</v>
      </c>
      <c r="H1351" t="s">
        <v>25</v>
      </c>
      <c r="I1351" t="s">
        <v>35</v>
      </c>
      <c r="J1351" t="s">
        <v>43</v>
      </c>
      <c r="K1351" t="s">
        <v>47</v>
      </c>
      <c r="L1351" t="s">
        <v>52</v>
      </c>
      <c r="M1351">
        <v>5086</v>
      </c>
      <c r="N1351">
        <v>7.0000000000000007E-2</v>
      </c>
      <c r="O1351">
        <v>15340</v>
      </c>
      <c r="P1351">
        <v>11</v>
      </c>
      <c r="Q1351" t="s">
        <v>58</v>
      </c>
      <c r="R1351" t="s">
        <v>59</v>
      </c>
    </row>
    <row r="1352" spans="1:18">
      <c r="A1352">
        <v>11351</v>
      </c>
      <c r="B1352" s="2">
        <v>45547</v>
      </c>
      <c r="C1352" s="2">
        <v>45549</v>
      </c>
      <c r="D1352" s="2">
        <v>45553</v>
      </c>
      <c r="E1352" t="s">
        <v>21</v>
      </c>
      <c r="F1352" t="s">
        <v>22</v>
      </c>
      <c r="G1352" t="s">
        <v>28</v>
      </c>
      <c r="H1352" t="s">
        <v>31</v>
      </c>
      <c r="I1352" t="s">
        <v>34</v>
      </c>
      <c r="J1352" t="s">
        <v>41</v>
      </c>
      <c r="K1352" t="s">
        <v>46</v>
      </c>
      <c r="L1352" t="s">
        <v>53</v>
      </c>
      <c r="M1352">
        <v>45561</v>
      </c>
      <c r="N1352">
        <v>0.38</v>
      </c>
      <c r="O1352">
        <v>8158</v>
      </c>
      <c r="P1352">
        <v>13</v>
      </c>
      <c r="Q1352" t="s">
        <v>54</v>
      </c>
      <c r="R1352" t="s">
        <v>59</v>
      </c>
    </row>
    <row r="1353" spans="1:18">
      <c r="A1353">
        <v>11352</v>
      </c>
      <c r="B1353" s="2">
        <v>45548</v>
      </c>
      <c r="C1353" s="2">
        <v>45550</v>
      </c>
      <c r="D1353" s="2">
        <v>45554</v>
      </c>
      <c r="E1353" t="s">
        <v>18</v>
      </c>
      <c r="F1353" t="s">
        <v>22</v>
      </c>
      <c r="G1353" t="s">
        <v>26</v>
      </c>
      <c r="H1353" t="s">
        <v>25</v>
      </c>
      <c r="I1353" t="s">
        <v>35</v>
      </c>
      <c r="J1353" t="s">
        <v>37</v>
      </c>
      <c r="K1353" t="s">
        <v>47</v>
      </c>
      <c r="L1353" t="s">
        <v>53</v>
      </c>
      <c r="M1353">
        <v>9117</v>
      </c>
      <c r="N1353">
        <v>0.04</v>
      </c>
      <c r="O1353">
        <v>-117</v>
      </c>
      <c r="P1353">
        <v>10</v>
      </c>
      <c r="Q1353" t="s">
        <v>58</v>
      </c>
      <c r="R1353" t="s">
        <v>62</v>
      </c>
    </row>
    <row r="1354" spans="1:18">
      <c r="A1354">
        <v>11353</v>
      </c>
      <c r="B1354" s="2">
        <v>45549</v>
      </c>
      <c r="C1354" s="2">
        <v>45551</v>
      </c>
      <c r="D1354" s="2">
        <v>45555</v>
      </c>
      <c r="E1354" t="s">
        <v>20</v>
      </c>
      <c r="F1354" t="s">
        <v>22</v>
      </c>
      <c r="G1354" t="s">
        <v>27</v>
      </c>
      <c r="H1354" t="s">
        <v>31</v>
      </c>
      <c r="I1354" t="s">
        <v>34</v>
      </c>
      <c r="J1354" t="s">
        <v>41</v>
      </c>
      <c r="K1354" t="s">
        <v>45</v>
      </c>
      <c r="L1354" t="s">
        <v>51</v>
      </c>
      <c r="M1354">
        <v>30704</v>
      </c>
      <c r="N1354">
        <v>0</v>
      </c>
      <c r="O1354">
        <v>12331</v>
      </c>
      <c r="P1354">
        <v>4</v>
      </c>
      <c r="Q1354" t="s">
        <v>57</v>
      </c>
      <c r="R1354" t="s">
        <v>61</v>
      </c>
    </row>
    <row r="1355" spans="1:18">
      <c r="A1355">
        <v>11354</v>
      </c>
      <c r="B1355" s="2">
        <v>45550</v>
      </c>
      <c r="C1355" s="2">
        <v>45552</v>
      </c>
      <c r="D1355" s="2">
        <v>45556</v>
      </c>
      <c r="E1355" t="s">
        <v>20</v>
      </c>
      <c r="F1355" t="s">
        <v>22</v>
      </c>
      <c r="G1355" t="s">
        <v>24</v>
      </c>
      <c r="H1355" t="s">
        <v>32</v>
      </c>
      <c r="I1355" t="s">
        <v>35</v>
      </c>
      <c r="J1355" t="s">
        <v>38</v>
      </c>
      <c r="K1355" t="s">
        <v>47</v>
      </c>
      <c r="L1355" t="s">
        <v>51</v>
      </c>
      <c r="M1355">
        <v>60928</v>
      </c>
      <c r="N1355">
        <v>0.08</v>
      </c>
      <c r="O1355">
        <v>2403</v>
      </c>
      <c r="P1355">
        <v>11</v>
      </c>
      <c r="Q1355" t="s">
        <v>54</v>
      </c>
      <c r="R1355" t="s">
        <v>62</v>
      </c>
    </row>
    <row r="1356" spans="1:18">
      <c r="A1356">
        <v>11355</v>
      </c>
      <c r="B1356" s="2">
        <v>45551</v>
      </c>
      <c r="C1356" s="2">
        <v>45553</v>
      </c>
      <c r="D1356" s="2">
        <v>45557</v>
      </c>
      <c r="E1356" t="s">
        <v>20</v>
      </c>
      <c r="F1356" t="s">
        <v>22</v>
      </c>
      <c r="G1356" t="s">
        <v>26</v>
      </c>
      <c r="H1356" t="s">
        <v>31</v>
      </c>
      <c r="I1356" t="s">
        <v>35</v>
      </c>
      <c r="J1356" t="s">
        <v>40</v>
      </c>
      <c r="K1356" t="s">
        <v>48</v>
      </c>
      <c r="L1356" t="s">
        <v>53</v>
      </c>
      <c r="M1356">
        <v>37499</v>
      </c>
      <c r="N1356">
        <v>0.13</v>
      </c>
      <c r="O1356">
        <v>8417</v>
      </c>
      <c r="P1356">
        <v>21</v>
      </c>
      <c r="Q1356" t="s">
        <v>56</v>
      </c>
      <c r="R1356" t="s">
        <v>60</v>
      </c>
    </row>
    <row r="1357" spans="1:18">
      <c r="A1357">
        <v>11356</v>
      </c>
      <c r="B1357" s="2">
        <v>45552</v>
      </c>
      <c r="C1357" s="2">
        <v>45554</v>
      </c>
      <c r="D1357" s="2">
        <v>45558</v>
      </c>
      <c r="E1357" t="s">
        <v>18</v>
      </c>
      <c r="F1357" t="s">
        <v>22</v>
      </c>
      <c r="G1357" t="s">
        <v>26</v>
      </c>
      <c r="H1357" t="s">
        <v>32</v>
      </c>
      <c r="I1357" t="s">
        <v>34</v>
      </c>
      <c r="J1357" t="s">
        <v>43</v>
      </c>
      <c r="K1357" t="s">
        <v>46</v>
      </c>
      <c r="L1357" t="s">
        <v>52</v>
      </c>
      <c r="M1357">
        <v>45469</v>
      </c>
      <c r="N1357">
        <v>0.17</v>
      </c>
      <c r="O1357">
        <v>9310</v>
      </c>
      <c r="P1357">
        <v>8</v>
      </c>
      <c r="Q1357" t="s">
        <v>57</v>
      </c>
      <c r="R1357" t="s">
        <v>59</v>
      </c>
    </row>
    <row r="1358" spans="1:18">
      <c r="A1358">
        <v>11357</v>
      </c>
      <c r="B1358" s="2">
        <v>45553</v>
      </c>
      <c r="C1358" s="2">
        <v>45555</v>
      </c>
      <c r="D1358" s="2">
        <v>45559</v>
      </c>
      <c r="E1358" t="s">
        <v>21</v>
      </c>
      <c r="F1358" t="s">
        <v>22</v>
      </c>
      <c r="G1358" t="s">
        <v>25</v>
      </c>
      <c r="H1358" t="s">
        <v>33</v>
      </c>
      <c r="I1358" t="s">
        <v>35</v>
      </c>
      <c r="J1358" t="s">
        <v>41</v>
      </c>
      <c r="K1358" t="s">
        <v>46</v>
      </c>
      <c r="L1358" t="s">
        <v>52</v>
      </c>
      <c r="M1358">
        <v>52568</v>
      </c>
      <c r="N1358">
        <v>0.3</v>
      </c>
      <c r="O1358">
        <v>-834</v>
      </c>
      <c r="P1358">
        <v>20</v>
      </c>
      <c r="Q1358" t="s">
        <v>58</v>
      </c>
      <c r="R1358" t="s">
        <v>61</v>
      </c>
    </row>
    <row r="1359" spans="1:18">
      <c r="A1359">
        <v>11358</v>
      </c>
      <c r="B1359" s="2">
        <v>45554</v>
      </c>
      <c r="C1359" s="2">
        <v>45556</v>
      </c>
      <c r="D1359" s="2">
        <v>45560</v>
      </c>
      <c r="E1359" t="s">
        <v>19</v>
      </c>
      <c r="F1359" t="s">
        <v>22</v>
      </c>
      <c r="G1359" t="s">
        <v>27</v>
      </c>
      <c r="H1359" t="s">
        <v>31</v>
      </c>
      <c r="I1359" t="s">
        <v>35</v>
      </c>
      <c r="J1359" t="s">
        <v>41</v>
      </c>
      <c r="K1359" t="s">
        <v>45</v>
      </c>
      <c r="L1359" t="s">
        <v>53</v>
      </c>
      <c r="M1359">
        <v>53548</v>
      </c>
      <c r="N1359">
        <v>0.27</v>
      </c>
      <c r="O1359">
        <v>5729</v>
      </c>
      <c r="P1359">
        <v>24</v>
      </c>
      <c r="Q1359" t="s">
        <v>54</v>
      </c>
      <c r="R1359" t="s">
        <v>60</v>
      </c>
    </row>
    <row r="1360" spans="1:18">
      <c r="A1360">
        <v>11359</v>
      </c>
      <c r="B1360" s="2">
        <v>45555</v>
      </c>
      <c r="C1360" s="2">
        <v>45557</v>
      </c>
      <c r="D1360" s="2">
        <v>45561</v>
      </c>
      <c r="E1360" t="s">
        <v>20</v>
      </c>
      <c r="F1360" t="s">
        <v>22</v>
      </c>
      <c r="G1360" t="s">
        <v>24</v>
      </c>
      <c r="H1360" t="s">
        <v>30</v>
      </c>
      <c r="I1360" t="s">
        <v>34</v>
      </c>
      <c r="J1360" t="s">
        <v>43</v>
      </c>
      <c r="K1360" t="s">
        <v>47</v>
      </c>
      <c r="L1360" t="s">
        <v>53</v>
      </c>
      <c r="M1360">
        <v>58000</v>
      </c>
      <c r="N1360">
        <v>0.02</v>
      </c>
      <c r="O1360">
        <v>6517</v>
      </c>
      <c r="P1360">
        <v>12</v>
      </c>
      <c r="Q1360" t="s">
        <v>56</v>
      </c>
      <c r="R1360" t="s">
        <v>60</v>
      </c>
    </row>
    <row r="1361" spans="1:18">
      <c r="A1361">
        <v>11360</v>
      </c>
      <c r="B1361" s="2">
        <v>45556</v>
      </c>
      <c r="C1361" s="2">
        <v>45558</v>
      </c>
      <c r="D1361" s="2">
        <v>45562</v>
      </c>
      <c r="E1361" t="s">
        <v>19</v>
      </c>
      <c r="F1361" t="s">
        <v>22</v>
      </c>
      <c r="G1361" t="s">
        <v>25</v>
      </c>
      <c r="H1361" t="s">
        <v>32</v>
      </c>
      <c r="I1361" t="s">
        <v>34</v>
      </c>
      <c r="J1361" t="s">
        <v>43</v>
      </c>
      <c r="K1361" t="s">
        <v>48</v>
      </c>
      <c r="L1361" t="s">
        <v>51</v>
      </c>
      <c r="M1361">
        <v>55994</v>
      </c>
      <c r="N1361">
        <v>0.13</v>
      </c>
      <c r="O1361">
        <v>1619</v>
      </c>
      <c r="P1361">
        <v>9</v>
      </c>
      <c r="Q1361" t="s">
        <v>58</v>
      </c>
      <c r="R1361" t="s">
        <v>60</v>
      </c>
    </row>
    <row r="1362" spans="1:18">
      <c r="A1362">
        <v>11361</v>
      </c>
      <c r="B1362" s="2">
        <v>45557</v>
      </c>
      <c r="C1362" s="2">
        <v>45559</v>
      </c>
      <c r="D1362" s="2">
        <v>45563</v>
      </c>
      <c r="E1362" t="s">
        <v>19</v>
      </c>
      <c r="F1362" t="s">
        <v>22</v>
      </c>
      <c r="G1362" t="s">
        <v>28</v>
      </c>
      <c r="H1362" t="s">
        <v>31</v>
      </c>
      <c r="I1362" t="s">
        <v>35</v>
      </c>
      <c r="J1362" t="s">
        <v>37</v>
      </c>
      <c r="K1362" t="s">
        <v>45</v>
      </c>
      <c r="L1362" t="s">
        <v>51</v>
      </c>
      <c r="M1362">
        <v>38544</v>
      </c>
      <c r="N1362">
        <v>0.2</v>
      </c>
      <c r="O1362">
        <v>19880</v>
      </c>
      <c r="P1362">
        <v>24</v>
      </c>
      <c r="Q1362" t="s">
        <v>54</v>
      </c>
      <c r="R1362" t="s">
        <v>62</v>
      </c>
    </row>
    <row r="1363" spans="1:18">
      <c r="A1363">
        <v>11362</v>
      </c>
      <c r="B1363" s="2">
        <v>45558</v>
      </c>
      <c r="C1363" s="2">
        <v>45560</v>
      </c>
      <c r="D1363" s="2">
        <v>45564</v>
      </c>
      <c r="E1363" t="s">
        <v>18</v>
      </c>
      <c r="F1363" t="s">
        <v>22</v>
      </c>
      <c r="G1363" t="s">
        <v>27</v>
      </c>
      <c r="H1363" t="s">
        <v>33</v>
      </c>
      <c r="I1363" t="s">
        <v>35</v>
      </c>
      <c r="J1363" t="s">
        <v>43</v>
      </c>
      <c r="K1363" t="s">
        <v>46</v>
      </c>
      <c r="L1363" t="s">
        <v>52</v>
      </c>
      <c r="M1363">
        <v>70679</v>
      </c>
      <c r="N1363">
        <v>0.23</v>
      </c>
      <c r="O1363">
        <v>7412</v>
      </c>
      <c r="P1363">
        <v>22</v>
      </c>
      <c r="Q1363" t="s">
        <v>54</v>
      </c>
      <c r="R1363" t="s">
        <v>62</v>
      </c>
    </row>
    <row r="1364" spans="1:18">
      <c r="A1364">
        <v>11363</v>
      </c>
      <c r="B1364" s="2">
        <v>45559</v>
      </c>
      <c r="C1364" s="2">
        <v>45561</v>
      </c>
      <c r="D1364" s="2">
        <v>45565</v>
      </c>
      <c r="E1364" t="s">
        <v>18</v>
      </c>
      <c r="F1364" t="s">
        <v>22</v>
      </c>
      <c r="G1364" t="s">
        <v>23</v>
      </c>
      <c r="H1364" t="s">
        <v>32</v>
      </c>
      <c r="I1364" t="s">
        <v>36</v>
      </c>
      <c r="J1364" t="s">
        <v>37</v>
      </c>
      <c r="K1364" t="s">
        <v>46</v>
      </c>
      <c r="L1364" t="s">
        <v>52</v>
      </c>
      <c r="M1364">
        <v>72499</v>
      </c>
      <c r="N1364">
        <v>0.09</v>
      </c>
      <c r="O1364">
        <v>-1015</v>
      </c>
      <c r="P1364">
        <v>15</v>
      </c>
      <c r="Q1364" t="s">
        <v>57</v>
      </c>
      <c r="R1364" t="s">
        <v>60</v>
      </c>
    </row>
    <row r="1365" spans="1:18">
      <c r="A1365">
        <v>11364</v>
      </c>
      <c r="B1365" s="2">
        <v>45560</v>
      </c>
      <c r="C1365" s="2">
        <v>45562</v>
      </c>
      <c r="D1365" s="2">
        <v>45566</v>
      </c>
      <c r="E1365" t="s">
        <v>19</v>
      </c>
      <c r="F1365" t="s">
        <v>22</v>
      </c>
      <c r="G1365" t="s">
        <v>28</v>
      </c>
      <c r="H1365" t="s">
        <v>33</v>
      </c>
      <c r="I1365" t="s">
        <v>34</v>
      </c>
      <c r="J1365" t="s">
        <v>42</v>
      </c>
      <c r="K1365" t="s">
        <v>44</v>
      </c>
      <c r="L1365" t="s">
        <v>52</v>
      </c>
      <c r="M1365">
        <v>20809</v>
      </c>
      <c r="N1365">
        <v>0.19</v>
      </c>
      <c r="O1365">
        <v>14237</v>
      </c>
      <c r="P1365">
        <v>21</v>
      </c>
      <c r="Q1365" t="s">
        <v>58</v>
      </c>
      <c r="R1365" t="s">
        <v>60</v>
      </c>
    </row>
    <row r="1366" spans="1:18">
      <c r="A1366">
        <v>11365</v>
      </c>
      <c r="B1366" s="2">
        <v>45561</v>
      </c>
      <c r="C1366" s="2">
        <v>45563</v>
      </c>
      <c r="D1366" s="2">
        <v>45567</v>
      </c>
      <c r="E1366" t="s">
        <v>18</v>
      </c>
      <c r="F1366" t="s">
        <v>22</v>
      </c>
      <c r="G1366" t="s">
        <v>28</v>
      </c>
      <c r="H1366" t="s">
        <v>30</v>
      </c>
      <c r="I1366" t="s">
        <v>35</v>
      </c>
      <c r="J1366" t="s">
        <v>38</v>
      </c>
      <c r="K1366" t="s">
        <v>50</v>
      </c>
      <c r="L1366" t="s">
        <v>52</v>
      </c>
      <c r="M1366">
        <v>64876</v>
      </c>
      <c r="N1366">
        <v>0.31</v>
      </c>
      <c r="O1366">
        <v>13373</v>
      </c>
      <c r="P1366">
        <v>5</v>
      </c>
      <c r="Q1366" t="s">
        <v>54</v>
      </c>
      <c r="R1366" t="s">
        <v>60</v>
      </c>
    </row>
    <row r="1367" spans="1:18">
      <c r="A1367">
        <v>11366</v>
      </c>
      <c r="B1367" s="2">
        <v>45562</v>
      </c>
      <c r="C1367" s="2">
        <v>45564</v>
      </c>
      <c r="D1367" s="2">
        <v>45568</v>
      </c>
      <c r="E1367" t="s">
        <v>21</v>
      </c>
      <c r="F1367" t="s">
        <v>22</v>
      </c>
      <c r="G1367" t="s">
        <v>25</v>
      </c>
      <c r="H1367" t="s">
        <v>30</v>
      </c>
      <c r="I1367" t="s">
        <v>36</v>
      </c>
      <c r="J1367" t="s">
        <v>39</v>
      </c>
      <c r="K1367" t="s">
        <v>46</v>
      </c>
      <c r="L1367" t="s">
        <v>52</v>
      </c>
      <c r="M1367">
        <v>21981</v>
      </c>
      <c r="N1367">
        <v>0.3</v>
      </c>
      <c r="O1367">
        <v>7044</v>
      </c>
      <c r="P1367">
        <v>15</v>
      </c>
      <c r="Q1367" t="s">
        <v>56</v>
      </c>
      <c r="R1367" t="s">
        <v>60</v>
      </c>
    </row>
    <row r="1368" spans="1:18">
      <c r="A1368">
        <v>11367</v>
      </c>
      <c r="B1368" s="2">
        <v>45563</v>
      </c>
      <c r="C1368" s="2">
        <v>45565</v>
      </c>
      <c r="D1368" s="2">
        <v>45569</v>
      </c>
      <c r="E1368" t="s">
        <v>19</v>
      </c>
      <c r="F1368" t="s">
        <v>22</v>
      </c>
      <c r="G1368" t="s">
        <v>27</v>
      </c>
      <c r="H1368" t="s">
        <v>30</v>
      </c>
      <c r="I1368" t="s">
        <v>35</v>
      </c>
      <c r="J1368" t="s">
        <v>37</v>
      </c>
      <c r="K1368" t="s">
        <v>45</v>
      </c>
      <c r="L1368" t="s">
        <v>51</v>
      </c>
      <c r="M1368">
        <v>13051</v>
      </c>
      <c r="N1368">
        <v>0.04</v>
      </c>
      <c r="O1368">
        <v>18271</v>
      </c>
      <c r="P1368">
        <v>16</v>
      </c>
      <c r="Q1368" t="s">
        <v>55</v>
      </c>
      <c r="R1368" t="s">
        <v>62</v>
      </c>
    </row>
    <row r="1369" spans="1:18">
      <c r="A1369">
        <v>11368</v>
      </c>
      <c r="B1369" s="2">
        <v>45564</v>
      </c>
      <c r="C1369" s="2">
        <v>45566</v>
      </c>
      <c r="D1369" s="2">
        <v>45570</v>
      </c>
      <c r="E1369" t="s">
        <v>18</v>
      </c>
      <c r="F1369" t="s">
        <v>22</v>
      </c>
      <c r="G1369" t="s">
        <v>25</v>
      </c>
      <c r="H1369" t="s">
        <v>32</v>
      </c>
      <c r="I1369" t="s">
        <v>35</v>
      </c>
      <c r="J1369" t="s">
        <v>42</v>
      </c>
      <c r="K1369" t="s">
        <v>47</v>
      </c>
      <c r="L1369" t="s">
        <v>53</v>
      </c>
      <c r="M1369">
        <v>29278</v>
      </c>
      <c r="N1369">
        <v>0.14000000000000001</v>
      </c>
      <c r="O1369">
        <v>8269</v>
      </c>
      <c r="P1369">
        <v>1</v>
      </c>
      <c r="Q1369" t="s">
        <v>55</v>
      </c>
      <c r="R1369" t="s">
        <v>60</v>
      </c>
    </row>
    <row r="1370" spans="1:18">
      <c r="A1370">
        <v>11369</v>
      </c>
      <c r="B1370" s="2">
        <v>45565</v>
      </c>
      <c r="C1370" s="2">
        <v>45567</v>
      </c>
      <c r="D1370" s="2">
        <v>45571</v>
      </c>
      <c r="E1370" t="s">
        <v>19</v>
      </c>
      <c r="F1370" t="s">
        <v>22</v>
      </c>
      <c r="G1370" t="s">
        <v>23</v>
      </c>
      <c r="H1370" t="s">
        <v>25</v>
      </c>
      <c r="I1370" t="s">
        <v>35</v>
      </c>
      <c r="J1370" t="s">
        <v>40</v>
      </c>
      <c r="K1370" t="s">
        <v>50</v>
      </c>
      <c r="L1370" t="s">
        <v>51</v>
      </c>
      <c r="M1370">
        <v>14401</v>
      </c>
      <c r="N1370">
        <v>0.27</v>
      </c>
      <c r="O1370">
        <v>19770</v>
      </c>
      <c r="P1370">
        <v>7</v>
      </c>
      <c r="Q1370" t="s">
        <v>55</v>
      </c>
      <c r="R1370" t="s">
        <v>62</v>
      </c>
    </row>
    <row r="1371" spans="1:18">
      <c r="A1371">
        <v>11370</v>
      </c>
      <c r="B1371" s="2">
        <v>45566</v>
      </c>
      <c r="C1371" s="2">
        <v>45568</v>
      </c>
      <c r="D1371" s="2">
        <v>45572</v>
      </c>
      <c r="E1371" t="s">
        <v>19</v>
      </c>
      <c r="F1371" t="s">
        <v>22</v>
      </c>
      <c r="G1371" t="s">
        <v>28</v>
      </c>
      <c r="H1371" t="s">
        <v>29</v>
      </c>
      <c r="I1371" t="s">
        <v>34</v>
      </c>
      <c r="J1371" t="s">
        <v>37</v>
      </c>
      <c r="K1371" t="s">
        <v>44</v>
      </c>
      <c r="L1371" t="s">
        <v>51</v>
      </c>
      <c r="M1371">
        <v>19651</v>
      </c>
      <c r="N1371">
        <v>0.38</v>
      </c>
      <c r="O1371">
        <v>2155</v>
      </c>
      <c r="P1371">
        <v>7</v>
      </c>
      <c r="Q1371" t="s">
        <v>56</v>
      </c>
      <c r="R1371" t="s">
        <v>59</v>
      </c>
    </row>
    <row r="1372" spans="1:18">
      <c r="A1372">
        <v>11371</v>
      </c>
      <c r="B1372" s="2">
        <v>45567</v>
      </c>
      <c r="C1372" s="2">
        <v>45569</v>
      </c>
      <c r="D1372" s="2">
        <v>45573</v>
      </c>
      <c r="E1372" t="s">
        <v>21</v>
      </c>
      <c r="F1372" t="s">
        <v>22</v>
      </c>
      <c r="G1372" t="s">
        <v>27</v>
      </c>
      <c r="H1372" t="s">
        <v>33</v>
      </c>
      <c r="I1372" t="s">
        <v>35</v>
      </c>
      <c r="J1372" t="s">
        <v>43</v>
      </c>
      <c r="K1372" t="s">
        <v>45</v>
      </c>
      <c r="L1372" t="s">
        <v>53</v>
      </c>
      <c r="M1372">
        <v>15955</v>
      </c>
      <c r="N1372">
        <v>7.0000000000000007E-2</v>
      </c>
      <c r="O1372">
        <v>1246</v>
      </c>
      <c r="P1372">
        <v>14</v>
      </c>
      <c r="Q1372" t="s">
        <v>54</v>
      </c>
      <c r="R1372" t="s">
        <v>59</v>
      </c>
    </row>
    <row r="1373" spans="1:18">
      <c r="A1373">
        <v>11372</v>
      </c>
      <c r="B1373" s="2">
        <v>45568</v>
      </c>
      <c r="C1373" s="2">
        <v>45570</v>
      </c>
      <c r="D1373" s="2">
        <v>45574</v>
      </c>
      <c r="E1373" t="s">
        <v>18</v>
      </c>
      <c r="F1373" t="s">
        <v>22</v>
      </c>
      <c r="G1373" t="s">
        <v>28</v>
      </c>
      <c r="H1373" t="s">
        <v>32</v>
      </c>
      <c r="I1373" t="s">
        <v>35</v>
      </c>
      <c r="J1373" t="s">
        <v>40</v>
      </c>
      <c r="K1373" t="s">
        <v>45</v>
      </c>
      <c r="L1373" t="s">
        <v>52</v>
      </c>
      <c r="M1373">
        <v>10124</v>
      </c>
      <c r="N1373">
        <v>0.15</v>
      </c>
      <c r="O1373">
        <v>15702</v>
      </c>
      <c r="P1373">
        <v>11</v>
      </c>
      <c r="Q1373" t="s">
        <v>56</v>
      </c>
      <c r="R1373" t="s">
        <v>60</v>
      </c>
    </row>
    <row r="1374" spans="1:18">
      <c r="A1374">
        <v>11373</v>
      </c>
      <c r="B1374" s="2">
        <v>45569</v>
      </c>
      <c r="C1374" s="2">
        <v>45571</v>
      </c>
      <c r="D1374" s="2">
        <v>45575</v>
      </c>
      <c r="E1374" t="s">
        <v>20</v>
      </c>
      <c r="F1374" t="s">
        <v>22</v>
      </c>
      <c r="G1374" t="s">
        <v>25</v>
      </c>
      <c r="H1374" t="s">
        <v>31</v>
      </c>
      <c r="I1374" t="s">
        <v>35</v>
      </c>
      <c r="J1374" t="s">
        <v>37</v>
      </c>
      <c r="K1374" t="s">
        <v>50</v>
      </c>
      <c r="L1374" t="s">
        <v>53</v>
      </c>
      <c r="M1374">
        <v>33296</v>
      </c>
      <c r="N1374">
        <v>7.0000000000000007E-2</v>
      </c>
      <c r="O1374">
        <v>6181</v>
      </c>
      <c r="P1374">
        <v>8</v>
      </c>
      <c r="Q1374" t="s">
        <v>56</v>
      </c>
      <c r="R1374" t="s">
        <v>60</v>
      </c>
    </row>
    <row r="1375" spans="1:18">
      <c r="A1375">
        <v>11374</v>
      </c>
      <c r="B1375" s="2">
        <v>45570</v>
      </c>
      <c r="C1375" s="2">
        <v>45572</v>
      </c>
      <c r="D1375" s="2">
        <v>45576</v>
      </c>
      <c r="E1375" t="s">
        <v>20</v>
      </c>
      <c r="F1375" t="s">
        <v>22</v>
      </c>
      <c r="G1375" t="s">
        <v>23</v>
      </c>
      <c r="H1375" t="s">
        <v>33</v>
      </c>
      <c r="I1375" t="s">
        <v>36</v>
      </c>
      <c r="J1375" t="s">
        <v>38</v>
      </c>
      <c r="K1375" t="s">
        <v>44</v>
      </c>
      <c r="L1375" t="s">
        <v>52</v>
      </c>
      <c r="M1375">
        <v>34455</v>
      </c>
      <c r="N1375">
        <v>0.3</v>
      </c>
      <c r="O1375">
        <v>16108</v>
      </c>
      <c r="P1375">
        <v>7</v>
      </c>
      <c r="Q1375" t="s">
        <v>55</v>
      </c>
      <c r="R1375" t="s">
        <v>61</v>
      </c>
    </row>
    <row r="1376" spans="1:18">
      <c r="A1376">
        <v>11375</v>
      </c>
      <c r="B1376" s="2">
        <v>45571</v>
      </c>
      <c r="C1376" s="2">
        <v>45573</v>
      </c>
      <c r="D1376" s="2">
        <v>45577</v>
      </c>
      <c r="E1376" t="s">
        <v>19</v>
      </c>
      <c r="F1376" t="s">
        <v>22</v>
      </c>
      <c r="G1376" t="s">
        <v>26</v>
      </c>
      <c r="H1376" t="s">
        <v>30</v>
      </c>
      <c r="I1376" t="s">
        <v>34</v>
      </c>
      <c r="J1376" t="s">
        <v>38</v>
      </c>
      <c r="K1376" t="s">
        <v>47</v>
      </c>
      <c r="L1376" t="s">
        <v>53</v>
      </c>
      <c r="M1376">
        <v>59816</v>
      </c>
      <c r="N1376">
        <v>0.37</v>
      </c>
      <c r="O1376">
        <v>10461</v>
      </c>
      <c r="P1376">
        <v>9</v>
      </c>
      <c r="Q1376" t="s">
        <v>58</v>
      </c>
      <c r="R1376" t="s">
        <v>62</v>
      </c>
    </row>
    <row r="1377" spans="1:18">
      <c r="A1377">
        <v>11376</v>
      </c>
      <c r="B1377" s="2">
        <v>45572</v>
      </c>
      <c r="C1377" s="2">
        <v>45574</v>
      </c>
      <c r="D1377" s="2">
        <v>45578</v>
      </c>
      <c r="E1377" t="s">
        <v>21</v>
      </c>
      <c r="F1377" t="s">
        <v>22</v>
      </c>
      <c r="G1377" t="s">
        <v>25</v>
      </c>
      <c r="H1377" t="s">
        <v>30</v>
      </c>
      <c r="I1377" t="s">
        <v>36</v>
      </c>
      <c r="J1377" t="s">
        <v>40</v>
      </c>
      <c r="K1377" t="s">
        <v>48</v>
      </c>
      <c r="L1377" t="s">
        <v>52</v>
      </c>
      <c r="M1377">
        <v>57168</v>
      </c>
      <c r="N1377">
        <v>0.32</v>
      </c>
      <c r="O1377">
        <v>18450</v>
      </c>
      <c r="P1377">
        <v>1</v>
      </c>
      <c r="Q1377" t="s">
        <v>58</v>
      </c>
      <c r="R1377" t="s">
        <v>62</v>
      </c>
    </row>
    <row r="1378" spans="1:18">
      <c r="A1378">
        <v>11377</v>
      </c>
      <c r="B1378" s="2">
        <v>45573</v>
      </c>
      <c r="C1378" s="2">
        <v>45575</v>
      </c>
      <c r="D1378" s="2">
        <v>45579</v>
      </c>
      <c r="E1378" t="s">
        <v>20</v>
      </c>
      <c r="F1378" t="s">
        <v>22</v>
      </c>
      <c r="G1378" t="s">
        <v>23</v>
      </c>
      <c r="H1378" t="s">
        <v>32</v>
      </c>
      <c r="I1378" t="s">
        <v>35</v>
      </c>
      <c r="J1378" t="s">
        <v>37</v>
      </c>
      <c r="K1378" t="s">
        <v>47</v>
      </c>
      <c r="L1378" t="s">
        <v>51</v>
      </c>
      <c r="M1378">
        <v>15683</v>
      </c>
      <c r="N1378">
        <v>0.11</v>
      </c>
      <c r="O1378">
        <v>16733</v>
      </c>
      <c r="P1378">
        <v>15</v>
      </c>
      <c r="Q1378" t="s">
        <v>54</v>
      </c>
      <c r="R1378" t="s">
        <v>62</v>
      </c>
    </row>
    <row r="1379" spans="1:18">
      <c r="A1379">
        <v>11378</v>
      </c>
      <c r="B1379" s="2">
        <v>45574</v>
      </c>
      <c r="C1379" s="2">
        <v>45576</v>
      </c>
      <c r="D1379" s="2">
        <v>45580</v>
      </c>
      <c r="E1379" t="s">
        <v>20</v>
      </c>
      <c r="F1379" t="s">
        <v>22</v>
      </c>
      <c r="G1379" t="s">
        <v>25</v>
      </c>
      <c r="H1379" t="s">
        <v>32</v>
      </c>
      <c r="I1379" t="s">
        <v>35</v>
      </c>
      <c r="J1379" t="s">
        <v>39</v>
      </c>
      <c r="K1379" t="s">
        <v>48</v>
      </c>
      <c r="L1379" t="s">
        <v>53</v>
      </c>
      <c r="M1379">
        <v>72717</v>
      </c>
      <c r="N1379">
        <v>0.27</v>
      </c>
      <c r="O1379">
        <v>10294</v>
      </c>
      <c r="P1379">
        <v>17</v>
      </c>
      <c r="Q1379" t="s">
        <v>54</v>
      </c>
      <c r="R1379" t="s">
        <v>61</v>
      </c>
    </row>
    <row r="1380" spans="1:18">
      <c r="A1380">
        <v>11379</v>
      </c>
      <c r="B1380" s="2">
        <v>45575</v>
      </c>
      <c r="C1380" s="2">
        <v>45577</v>
      </c>
      <c r="D1380" s="2">
        <v>45581</v>
      </c>
      <c r="E1380" t="s">
        <v>18</v>
      </c>
      <c r="F1380" t="s">
        <v>22</v>
      </c>
      <c r="G1380" t="s">
        <v>26</v>
      </c>
      <c r="H1380" t="s">
        <v>30</v>
      </c>
      <c r="I1380" t="s">
        <v>36</v>
      </c>
      <c r="J1380" t="s">
        <v>39</v>
      </c>
      <c r="K1380" t="s">
        <v>45</v>
      </c>
      <c r="L1380" t="s">
        <v>52</v>
      </c>
      <c r="M1380">
        <v>56613</v>
      </c>
      <c r="N1380">
        <v>0.01</v>
      </c>
      <c r="O1380">
        <v>19757</v>
      </c>
      <c r="P1380">
        <v>18</v>
      </c>
      <c r="Q1380" t="s">
        <v>56</v>
      </c>
      <c r="R1380" t="s">
        <v>62</v>
      </c>
    </row>
    <row r="1381" spans="1:18">
      <c r="A1381">
        <v>11380</v>
      </c>
      <c r="B1381" s="2">
        <v>45576</v>
      </c>
      <c r="C1381" s="2">
        <v>45578</v>
      </c>
      <c r="D1381" s="2">
        <v>45582</v>
      </c>
      <c r="E1381" t="s">
        <v>21</v>
      </c>
      <c r="F1381" t="s">
        <v>22</v>
      </c>
      <c r="G1381" t="s">
        <v>24</v>
      </c>
      <c r="H1381" t="s">
        <v>33</v>
      </c>
      <c r="I1381" t="s">
        <v>34</v>
      </c>
      <c r="J1381" t="s">
        <v>38</v>
      </c>
      <c r="K1381" t="s">
        <v>50</v>
      </c>
      <c r="L1381" t="s">
        <v>53</v>
      </c>
      <c r="M1381">
        <v>52007</v>
      </c>
      <c r="N1381">
        <v>0.39</v>
      </c>
      <c r="O1381">
        <v>8520</v>
      </c>
      <c r="P1381">
        <v>11</v>
      </c>
      <c r="Q1381" t="s">
        <v>56</v>
      </c>
      <c r="R1381" t="s">
        <v>61</v>
      </c>
    </row>
    <row r="1382" spans="1:18">
      <c r="A1382">
        <v>11381</v>
      </c>
      <c r="B1382" s="2">
        <v>45577</v>
      </c>
      <c r="C1382" s="2">
        <v>45579</v>
      </c>
      <c r="D1382" s="2">
        <v>45583</v>
      </c>
      <c r="E1382" t="s">
        <v>18</v>
      </c>
      <c r="F1382" t="s">
        <v>22</v>
      </c>
      <c r="G1382" t="s">
        <v>26</v>
      </c>
      <c r="H1382" t="s">
        <v>30</v>
      </c>
      <c r="I1382" t="s">
        <v>35</v>
      </c>
      <c r="J1382" t="s">
        <v>39</v>
      </c>
      <c r="K1382" t="s">
        <v>44</v>
      </c>
      <c r="L1382" t="s">
        <v>51</v>
      </c>
      <c r="M1382">
        <v>51307</v>
      </c>
      <c r="N1382">
        <v>0.08</v>
      </c>
      <c r="O1382">
        <v>6593</v>
      </c>
      <c r="P1382">
        <v>20</v>
      </c>
      <c r="Q1382" t="s">
        <v>58</v>
      </c>
      <c r="R1382" t="s">
        <v>59</v>
      </c>
    </row>
    <row r="1383" spans="1:18">
      <c r="A1383">
        <v>11382</v>
      </c>
      <c r="B1383" s="2">
        <v>45578</v>
      </c>
      <c r="C1383" s="2">
        <v>45580</v>
      </c>
      <c r="D1383" s="2">
        <v>45584</v>
      </c>
      <c r="E1383" t="s">
        <v>21</v>
      </c>
      <c r="F1383" t="s">
        <v>22</v>
      </c>
      <c r="G1383" t="s">
        <v>26</v>
      </c>
      <c r="H1383" t="s">
        <v>33</v>
      </c>
      <c r="I1383" t="s">
        <v>36</v>
      </c>
      <c r="J1383" t="s">
        <v>38</v>
      </c>
      <c r="K1383" t="s">
        <v>50</v>
      </c>
      <c r="L1383" t="s">
        <v>53</v>
      </c>
      <c r="M1383">
        <v>29850</v>
      </c>
      <c r="N1383">
        <v>0.31</v>
      </c>
      <c r="O1383">
        <v>9155</v>
      </c>
      <c r="P1383">
        <v>22</v>
      </c>
      <c r="Q1383" t="s">
        <v>55</v>
      </c>
      <c r="R1383" t="s">
        <v>61</v>
      </c>
    </row>
    <row r="1384" spans="1:18">
      <c r="A1384">
        <v>11383</v>
      </c>
      <c r="B1384" s="2">
        <v>45579</v>
      </c>
      <c r="C1384" s="2">
        <v>45581</v>
      </c>
      <c r="D1384" s="2">
        <v>45585</v>
      </c>
      <c r="E1384" t="s">
        <v>20</v>
      </c>
      <c r="F1384" t="s">
        <v>22</v>
      </c>
      <c r="G1384" t="s">
        <v>28</v>
      </c>
      <c r="H1384" t="s">
        <v>25</v>
      </c>
      <c r="I1384" t="s">
        <v>35</v>
      </c>
      <c r="J1384" t="s">
        <v>40</v>
      </c>
      <c r="K1384" t="s">
        <v>49</v>
      </c>
      <c r="L1384" t="s">
        <v>51</v>
      </c>
      <c r="M1384">
        <v>8185</v>
      </c>
      <c r="N1384">
        <v>0.26</v>
      </c>
      <c r="O1384">
        <v>-1631</v>
      </c>
      <c r="P1384">
        <v>18</v>
      </c>
      <c r="Q1384" t="s">
        <v>55</v>
      </c>
      <c r="R1384" t="s">
        <v>59</v>
      </c>
    </row>
    <row r="1385" spans="1:18">
      <c r="A1385">
        <v>11384</v>
      </c>
      <c r="B1385" s="2">
        <v>45580</v>
      </c>
      <c r="C1385" s="2">
        <v>45582</v>
      </c>
      <c r="D1385" s="2">
        <v>45586</v>
      </c>
      <c r="E1385" t="s">
        <v>19</v>
      </c>
      <c r="F1385" t="s">
        <v>22</v>
      </c>
      <c r="G1385" t="s">
        <v>23</v>
      </c>
      <c r="H1385" t="s">
        <v>33</v>
      </c>
      <c r="I1385" t="s">
        <v>34</v>
      </c>
      <c r="J1385" t="s">
        <v>41</v>
      </c>
      <c r="K1385" t="s">
        <v>49</v>
      </c>
      <c r="L1385" t="s">
        <v>53</v>
      </c>
      <c r="M1385">
        <v>5486</v>
      </c>
      <c r="N1385">
        <v>0.1</v>
      </c>
      <c r="O1385">
        <v>768</v>
      </c>
      <c r="P1385">
        <v>14</v>
      </c>
      <c r="Q1385" t="s">
        <v>56</v>
      </c>
      <c r="R1385" t="s">
        <v>61</v>
      </c>
    </row>
    <row r="1386" spans="1:18">
      <c r="A1386">
        <v>11385</v>
      </c>
      <c r="B1386" s="2">
        <v>45581</v>
      </c>
      <c r="C1386" s="2">
        <v>45583</v>
      </c>
      <c r="D1386" s="2">
        <v>45587</v>
      </c>
      <c r="E1386" t="s">
        <v>20</v>
      </c>
      <c r="F1386" t="s">
        <v>22</v>
      </c>
      <c r="G1386" t="s">
        <v>25</v>
      </c>
      <c r="H1386" t="s">
        <v>25</v>
      </c>
      <c r="I1386" t="s">
        <v>34</v>
      </c>
      <c r="J1386" t="s">
        <v>40</v>
      </c>
      <c r="K1386" t="s">
        <v>49</v>
      </c>
      <c r="L1386" t="s">
        <v>53</v>
      </c>
      <c r="M1386">
        <v>15018</v>
      </c>
      <c r="N1386">
        <v>0.24</v>
      </c>
      <c r="O1386">
        <v>18534</v>
      </c>
      <c r="P1386">
        <v>7</v>
      </c>
      <c r="Q1386" t="s">
        <v>55</v>
      </c>
      <c r="R1386" t="s">
        <v>60</v>
      </c>
    </row>
    <row r="1387" spans="1:18">
      <c r="A1387">
        <v>11386</v>
      </c>
      <c r="B1387" s="2">
        <v>45582</v>
      </c>
      <c r="C1387" s="2">
        <v>45584</v>
      </c>
      <c r="D1387" s="2">
        <v>45588</v>
      </c>
      <c r="E1387" t="s">
        <v>21</v>
      </c>
      <c r="F1387" t="s">
        <v>22</v>
      </c>
      <c r="G1387" t="s">
        <v>23</v>
      </c>
      <c r="H1387" t="s">
        <v>25</v>
      </c>
      <c r="I1387" t="s">
        <v>36</v>
      </c>
      <c r="J1387" t="s">
        <v>38</v>
      </c>
      <c r="K1387" t="s">
        <v>45</v>
      </c>
      <c r="L1387" t="s">
        <v>51</v>
      </c>
      <c r="M1387">
        <v>21446</v>
      </c>
      <c r="N1387">
        <v>0.27</v>
      </c>
      <c r="O1387">
        <v>10394</v>
      </c>
      <c r="P1387">
        <v>2</v>
      </c>
      <c r="Q1387" t="s">
        <v>56</v>
      </c>
      <c r="R1387" t="s">
        <v>61</v>
      </c>
    </row>
    <row r="1388" spans="1:18">
      <c r="A1388">
        <v>11387</v>
      </c>
      <c r="B1388" s="2">
        <v>45583</v>
      </c>
      <c r="C1388" s="2">
        <v>45585</v>
      </c>
      <c r="D1388" s="2">
        <v>45589</v>
      </c>
      <c r="E1388" t="s">
        <v>18</v>
      </c>
      <c r="F1388" t="s">
        <v>22</v>
      </c>
      <c r="G1388" t="s">
        <v>25</v>
      </c>
      <c r="H1388" t="s">
        <v>33</v>
      </c>
      <c r="I1388" t="s">
        <v>35</v>
      </c>
      <c r="J1388" t="s">
        <v>43</v>
      </c>
      <c r="K1388" t="s">
        <v>47</v>
      </c>
      <c r="L1388" t="s">
        <v>51</v>
      </c>
      <c r="M1388">
        <v>47076</v>
      </c>
      <c r="N1388">
        <v>0.28999999999999998</v>
      </c>
      <c r="O1388">
        <v>15782</v>
      </c>
      <c r="P1388">
        <v>3</v>
      </c>
      <c r="Q1388" t="s">
        <v>55</v>
      </c>
      <c r="R1388" t="s">
        <v>59</v>
      </c>
    </row>
    <row r="1389" spans="1:18">
      <c r="A1389">
        <v>11388</v>
      </c>
      <c r="B1389" s="2">
        <v>45584</v>
      </c>
      <c r="C1389" s="2">
        <v>45586</v>
      </c>
      <c r="D1389" s="2">
        <v>45590</v>
      </c>
      <c r="E1389" t="s">
        <v>18</v>
      </c>
      <c r="F1389" t="s">
        <v>22</v>
      </c>
      <c r="G1389" t="s">
        <v>28</v>
      </c>
      <c r="H1389" t="s">
        <v>29</v>
      </c>
      <c r="I1389" t="s">
        <v>36</v>
      </c>
      <c r="J1389" t="s">
        <v>42</v>
      </c>
      <c r="K1389" t="s">
        <v>49</v>
      </c>
      <c r="L1389" t="s">
        <v>51</v>
      </c>
      <c r="M1389">
        <v>10640</v>
      </c>
      <c r="N1389">
        <v>0.11</v>
      </c>
      <c r="O1389">
        <v>18749</v>
      </c>
      <c r="P1389">
        <v>3</v>
      </c>
      <c r="Q1389" t="s">
        <v>56</v>
      </c>
      <c r="R1389" t="s">
        <v>62</v>
      </c>
    </row>
    <row r="1390" spans="1:18">
      <c r="A1390">
        <v>11389</v>
      </c>
      <c r="B1390" s="2">
        <v>45585</v>
      </c>
      <c r="C1390" s="2">
        <v>45587</v>
      </c>
      <c r="D1390" s="2">
        <v>45591</v>
      </c>
      <c r="E1390" t="s">
        <v>19</v>
      </c>
      <c r="F1390" t="s">
        <v>22</v>
      </c>
      <c r="G1390" t="s">
        <v>27</v>
      </c>
      <c r="H1390" t="s">
        <v>31</v>
      </c>
      <c r="I1390" t="s">
        <v>34</v>
      </c>
      <c r="J1390" t="s">
        <v>38</v>
      </c>
      <c r="K1390" t="s">
        <v>45</v>
      </c>
      <c r="L1390" t="s">
        <v>53</v>
      </c>
      <c r="M1390">
        <v>67939</v>
      </c>
      <c r="N1390">
        <v>0.37</v>
      </c>
      <c r="O1390">
        <v>15682</v>
      </c>
      <c r="P1390">
        <v>13</v>
      </c>
      <c r="Q1390" t="s">
        <v>57</v>
      </c>
      <c r="R1390" t="s">
        <v>59</v>
      </c>
    </row>
    <row r="1391" spans="1:18">
      <c r="A1391">
        <v>11390</v>
      </c>
      <c r="B1391" s="2">
        <v>45586</v>
      </c>
      <c r="C1391" s="2">
        <v>45588</v>
      </c>
      <c r="D1391" s="2">
        <v>45592</v>
      </c>
      <c r="E1391" t="s">
        <v>18</v>
      </c>
      <c r="F1391" t="s">
        <v>22</v>
      </c>
      <c r="G1391" t="s">
        <v>24</v>
      </c>
      <c r="H1391" t="s">
        <v>32</v>
      </c>
      <c r="I1391" t="s">
        <v>36</v>
      </c>
      <c r="J1391" t="s">
        <v>40</v>
      </c>
      <c r="K1391" t="s">
        <v>44</v>
      </c>
      <c r="L1391" t="s">
        <v>53</v>
      </c>
      <c r="M1391">
        <v>66663</v>
      </c>
      <c r="N1391">
        <v>0.36</v>
      </c>
      <c r="O1391">
        <v>8229</v>
      </c>
      <c r="P1391">
        <v>12</v>
      </c>
      <c r="Q1391" t="s">
        <v>54</v>
      </c>
      <c r="R1391" t="s">
        <v>61</v>
      </c>
    </row>
    <row r="1392" spans="1:18">
      <c r="A1392">
        <v>11391</v>
      </c>
      <c r="B1392" s="2">
        <v>45587</v>
      </c>
      <c r="C1392" s="2">
        <v>45589</v>
      </c>
      <c r="D1392" s="2">
        <v>45593</v>
      </c>
      <c r="E1392" t="s">
        <v>20</v>
      </c>
      <c r="F1392" t="s">
        <v>22</v>
      </c>
      <c r="G1392" t="s">
        <v>24</v>
      </c>
      <c r="H1392" t="s">
        <v>32</v>
      </c>
      <c r="I1392" t="s">
        <v>36</v>
      </c>
      <c r="J1392" t="s">
        <v>41</v>
      </c>
      <c r="K1392" t="s">
        <v>44</v>
      </c>
      <c r="L1392" t="s">
        <v>51</v>
      </c>
      <c r="M1392">
        <v>18925</v>
      </c>
      <c r="N1392">
        <v>0.12</v>
      </c>
      <c r="O1392">
        <v>-1993</v>
      </c>
      <c r="P1392">
        <v>10</v>
      </c>
      <c r="Q1392" t="s">
        <v>55</v>
      </c>
      <c r="R1392" t="s">
        <v>59</v>
      </c>
    </row>
    <row r="1393" spans="1:18">
      <c r="A1393">
        <v>11392</v>
      </c>
      <c r="B1393" s="2">
        <v>45588</v>
      </c>
      <c r="C1393" s="2">
        <v>45590</v>
      </c>
      <c r="D1393" s="2">
        <v>45594</v>
      </c>
      <c r="E1393" t="s">
        <v>21</v>
      </c>
      <c r="F1393" t="s">
        <v>22</v>
      </c>
      <c r="G1393" t="s">
        <v>26</v>
      </c>
      <c r="H1393" t="s">
        <v>30</v>
      </c>
      <c r="I1393" t="s">
        <v>36</v>
      </c>
      <c r="J1393" t="s">
        <v>39</v>
      </c>
      <c r="K1393" t="s">
        <v>44</v>
      </c>
      <c r="L1393" t="s">
        <v>51</v>
      </c>
      <c r="M1393">
        <v>44458</v>
      </c>
      <c r="N1393">
        <v>0.02</v>
      </c>
      <c r="O1393">
        <v>5860</v>
      </c>
      <c r="P1393">
        <v>4</v>
      </c>
      <c r="Q1393" t="s">
        <v>56</v>
      </c>
      <c r="R1393" t="s">
        <v>62</v>
      </c>
    </row>
    <row r="1394" spans="1:18">
      <c r="A1394">
        <v>11393</v>
      </c>
      <c r="B1394" s="2">
        <v>45589</v>
      </c>
      <c r="C1394" s="2">
        <v>45591</v>
      </c>
      <c r="D1394" s="2">
        <v>45595</v>
      </c>
      <c r="E1394" t="s">
        <v>18</v>
      </c>
      <c r="F1394" t="s">
        <v>22</v>
      </c>
      <c r="G1394" t="s">
        <v>24</v>
      </c>
      <c r="H1394" t="s">
        <v>31</v>
      </c>
      <c r="I1394" t="s">
        <v>34</v>
      </c>
      <c r="J1394" t="s">
        <v>40</v>
      </c>
      <c r="K1394" t="s">
        <v>48</v>
      </c>
      <c r="L1394" t="s">
        <v>51</v>
      </c>
      <c r="M1394">
        <v>35837</v>
      </c>
      <c r="N1394">
        <v>0.31</v>
      </c>
      <c r="O1394">
        <v>-1854</v>
      </c>
      <c r="P1394">
        <v>6</v>
      </c>
      <c r="Q1394" t="s">
        <v>54</v>
      </c>
      <c r="R1394" t="s">
        <v>61</v>
      </c>
    </row>
    <row r="1395" spans="1:18">
      <c r="A1395">
        <v>11394</v>
      </c>
      <c r="B1395" s="2">
        <v>45590</v>
      </c>
      <c r="C1395" s="2">
        <v>45592</v>
      </c>
      <c r="D1395" s="2">
        <v>45596</v>
      </c>
      <c r="E1395" t="s">
        <v>21</v>
      </c>
      <c r="F1395" t="s">
        <v>22</v>
      </c>
      <c r="G1395" t="s">
        <v>24</v>
      </c>
      <c r="H1395" t="s">
        <v>30</v>
      </c>
      <c r="I1395" t="s">
        <v>34</v>
      </c>
      <c r="J1395" t="s">
        <v>40</v>
      </c>
      <c r="K1395" t="s">
        <v>47</v>
      </c>
      <c r="L1395" t="s">
        <v>51</v>
      </c>
      <c r="M1395">
        <v>49932</v>
      </c>
      <c r="N1395">
        <v>0.17</v>
      </c>
      <c r="O1395">
        <v>14182</v>
      </c>
      <c r="P1395">
        <v>6</v>
      </c>
      <c r="Q1395" t="s">
        <v>56</v>
      </c>
      <c r="R1395" t="s">
        <v>60</v>
      </c>
    </row>
    <row r="1396" spans="1:18">
      <c r="A1396">
        <v>11395</v>
      </c>
      <c r="B1396" s="2">
        <v>45591</v>
      </c>
      <c r="C1396" s="2">
        <v>45593</v>
      </c>
      <c r="D1396" s="2">
        <v>45597</v>
      </c>
      <c r="E1396" t="s">
        <v>18</v>
      </c>
      <c r="F1396" t="s">
        <v>22</v>
      </c>
      <c r="G1396" t="s">
        <v>27</v>
      </c>
      <c r="H1396" t="s">
        <v>30</v>
      </c>
      <c r="I1396" t="s">
        <v>34</v>
      </c>
      <c r="J1396" t="s">
        <v>43</v>
      </c>
      <c r="K1396" t="s">
        <v>45</v>
      </c>
      <c r="L1396" t="s">
        <v>53</v>
      </c>
      <c r="M1396">
        <v>53307</v>
      </c>
      <c r="N1396">
        <v>0.38</v>
      </c>
      <c r="O1396">
        <v>-345</v>
      </c>
      <c r="P1396">
        <v>8</v>
      </c>
      <c r="Q1396" t="s">
        <v>56</v>
      </c>
      <c r="R1396" t="s">
        <v>62</v>
      </c>
    </row>
    <row r="1397" spans="1:18">
      <c r="A1397">
        <v>11396</v>
      </c>
      <c r="B1397" s="2">
        <v>45592</v>
      </c>
      <c r="C1397" s="2">
        <v>45594</v>
      </c>
      <c r="D1397" s="2">
        <v>45598</v>
      </c>
      <c r="E1397" t="s">
        <v>18</v>
      </c>
      <c r="F1397" t="s">
        <v>22</v>
      </c>
      <c r="G1397" t="s">
        <v>23</v>
      </c>
      <c r="H1397" t="s">
        <v>31</v>
      </c>
      <c r="I1397" t="s">
        <v>35</v>
      </c>
      <c r="J1397" t="s">
        <v>41</v>
      </c>
      <c r="K1397" t="s">
        <v>46</v>
      </c>
      <c r="L1397" t="s">
        <v>51</v>
      </c>
      <c r="M1397">
        <v>53312</v>
      </c>
      <c r="N1397">
        <v>0.13</v>
      </c>
      <c r="O1397">
        <v>-1347</v>
      </c>
      <c r="P1397">
        <v>20</v>
      </c>
      <c r="Q1397" t="s">
        <v>57</v>
      </c>
      <c r="R1397" t="s">
        <v>62</v>
      </c>
    </row>
    <row r="1398" spans="1:18">
      <c r="A1398">
        <v>11397</v>
      </c>
      <c r="B1398" s="2">
        <v>45593</v>
      </c>
      <c r="C1398" s="2">
        <v>45595</v>
      </c>
      <c r="D1398" s="2">
        <v>45599</v>
      </c>
      <c r="E1398" t="s">
        <v>21</v>
      </c>
      <c r="F1398" t="s">
        <v>22</v>
      </c>
      <c r="G1398" t="s">
        <v>25</v>
      </c>
      <c r="H1398" t="s">
        <v>29</v>
      </c>
      <c r="I1398" t="s">
        <v>35</v>
      </c>
      <c r="J1398" t="s">
        <v>37</v>
      </c>
      <c r="K1398" t="s">
        <v>47</v>
      </c>
      <c r="L1398" t="s">
        <v>53</v>
      </c>
      <c r="M1398">
        <v>34367</v>
      </c>
      <c r="N1398">
        <v>0.05</v>
      </c>
      <c r="O1398">
        <v>8432</v>
      </c>
      <c r="P1398">
        <v>16</v>
      </c>
      <c r="Q1398" t="s">
        <v>58</v>
      </c>
      <c r="R1398" t="s">
        <v>62</v>
      </c>
    </row>
    <row r="1399" spans="1:18">
      <c r="A1399">
        <v>11398</v>
      </c>
      <c r="B1399" s="2">
        <v>45594</v>
      </c>
      <c r="C1399" s="2">
        <v>45596</v>
      </c>
      <c r="D1399" s="2">
        <v>45600</v>
      </c>
      <c r="E1399" t="s">
        <v>20</v>
      </c>
      <c r="F1399" t="s">
        <v>22</v>
      </c>
      <c r="G1399" t="s">
        <v>25</v>
      </c>
      <c r="H1399" t="s">
        <v>31</v>
      </c>
      <c r="I1399" t="s">
        <v>34</v>
      </c>
      <c r="J1399" t="s">
        <v>43</v>
      </c>
      <c r="K1399" t="s">
        <v>45</v>
      </c>
      <c r="L1399" t="s">
        <v>52</v>
      </c>
      <c r="M1399">
        <v>10089</v>
      </c>
      <c r="N1399">
        <v>0.14000000000000001</v>
      </c>
      <c r="O1399">
        <v>18261</v>
      </c>
      <c r="P1399">
        <v>8</v>
      </c>
      <c r="Q1399" t="s">
        <v>58</v>
      </c>
      <c r="R1399" t="s">
        <v>62</v>
      </c>
    </row>
    <row r="1400" spans="1:18">
      <c r="A1400">
        <v>11399</v>
      </c>
      <c r="B1400" s="2">
        <v>45595</v>
      </c>
      <c r="C1400" s="2">
        <v>45597</v>
      </c>
      <c r="D1400" s="2">
        <v>45601</v>
      </c>
      <c r="E1400" t="s">
        <v>21</v>
      </c>
      <c r="F1400" t="s">
        <v>22</v>
      </c>
      <c r="G1400" t="s">
        <v>23</v>
      </c>
      <c r="H1400" t="s">
        <v>32</v>
      </c>
      <c r="I1400" t="s">
        <v>34</v>
      </c>
      <c r="J1400" t="s">
        <v>37</v>
      </c>
      <c r="K1400" t="s">
        <v>44</v>
      </c>
      <c r="L1400" t="s">
        <v>53</v>
      </c>
      <c r="M1400">
        <v>23950</v>
      </c>
      <c r="N1400">
        <v>0.02</v>
      </c>
      <c r="O1400">
        <v>16943</v>
      </c>
      <c r="P1400">
        <v>10</v>
      </c>
      <c r="Q1400" t="s">
        <v>58</v>
      </c>
      <c r="R1400" t="s">
        <v>60</v>
      </c>
    </row>
    <row r="1401" spans="1:18">
      <c r="A1401">
        <v>11400</v>
      </c>
      <c r="B1401" s="2">
        <v>45596</v>
      </c>
      <c r="C1401" s="2">
        <v>45598</v>
      </c>
      <c r="D1401" s="2">
        <v>45602</v>
      </c>
      <c r="E1401" t="s">
        <v>19</v>
      </c>
      <c r="F1401" t="s">
        <v>22</v>
      </c>
      <c r="G1401" t="s">
        <v>24</v>
      </c>
      <c r="H1401" t="s">
        <v>31</v>
      </c>
      <c r="I1401" t="s">
        <v>36</v>
      </c>
      <c r="J1401" t="s">
        <v>42</v>
      </c>
      <c r="K1401" t="s">
        <v>48</v>
      </c>
      <c r="L1401" t="s">
        <v>52</v>
      </c>
      <c r="M1401">
        <v>14649</v>
      </c>
      <c r="N1401">
        <v>0.28000000000000003</v>
      </c>
      <c r="O1401">
        <v>19713</v>
      </c>
      <c r="P1401">
        <v>14</v>
      </c>
      <c r="Q1401" t="s">
        <v>57</v>
      </c>
      <c r="R1401" t="s">
        <v>60</v>
      </c>
    </row>
    <row r="1402" spans="1:18">
      <c r="A1402">
        <v>11401</v>
      </c>
      <c r="B1402" s="2">
        <v>45597</v>
      </c>
      <c r="C1402" s="2">
        <v>45599</v>
      </c>
      <c r="D1402" s="2">
        <v>45603</v>
      </c>
      <c r="E1402" t="s">
        <v>21</v>
      </c>
      <c r="F1402" t="s">
        <v>22</v>
      </c>
      <c r="G1402" t="s">
        <v>28</v>
      </c>
      <c r="H1402" t="s">
        <v>25</v>
      </c>
      <c r="I1402" t="s">
        <v>35</v>
      </c>
      <c r="J1402" t="s">
        <v>42</v>
      </c>
      <c r="K1402" t="s">
        <v>45</v>
      </c>
      <c r="L1402" t="s">
        <v>53</v>
      </c>
      <c r="M1402">
        <v>54106</v>
      </c>
      <c r="N1402">
        <v>0.17</v>
      </c>
      <c r="O1402">
        <v>16718</v>
      </c>
      <c r="P1402">
        <v>15</v>
      </c>
      <c r="Q1402" t="s">
        <v>55</v>
      </c>
      <c r="R1402" t="s">
        <v>61</v>
      </c>
    </row>
    <row r="1403" spans="1:18">
      <c r="A1403">
        <v>11402</v>
      </c>
      <c r="B1403" s="2">
        <v>45598</v>
      </c>
      <c r="C1403" s="2">
        <v>45600</v>
      </c>
      <c r="D1403" s="2">
        <v>45604</v>
      </c>
      <c r="E1403" t="s">
        <v>18</v>
      </c>
      <c r="F1403" t="s">
        <v>22</v>
      </c>
      <c r="G1403" t="s">
        <v>26</v>
      </c>
      <c r="H1403" t="s">
        <v>31</v>
      </c>
      <c r="I1403" t="s">
        <v>34</v>
      </c>
      <c r="J1403" t="s">
        <v>43</v>
      </c>
      <c r="K1403" t="s">
        <v>49</v>
      </c>
      <c r="L1403" t="s">
        <v>51</v>
      </c>
      <c r="M1403">
        <v>26747</v>
      </c>
      <c r="N1403">
        <v>0.04</v>
      </c>
      <c r="O1403">
        <v>19666</v>
      </c>
      <c r="P1403">
        <v>3</v>
      </c>
      <c r="Q1403" t="s">
        <v>56</v>
      </c>
      <c r="R1403" t="s">
        <v>60</v>
      </c>
    </row>
    <row r="1404" spans="1:18">
      <c r="A1404">
        <v>11403</v>
      </c>
      <c r="B1404" s="2">
        <v>45599</v>
      </c>
      <c r="C1404" s="2">
        <v>45601</v>
      </c>
      <c r="D1404" s="2">
        <v>45605</v>
      </c>
      <c r="E1404" t="s">
        <v>21</v>
      </c>
      <c r="F1404" t="s">
        <v>22</v>
      </c>
      <c r="G1404" t="s">
        <v>23</v>
      </c>
      <c r="H1404" t="s">
        <v>25</v>
      </c>
      <c r="I1404" t="s">
        <v>36</v>
      </c>
      <c r="J1404" t="s">
        <v>42</v>
      </c>
      <c r="K1404" t="s">
        <v>46</v>
      </c>
      <c r="L1404" t="s">
        <v>51</v>
      </c>
      <c r="M1404">
        <v>54491</v>
      </c>
      <c r="N1404">
        <v>0.08</v>
      </c>
      <c r="O1404">
        <v>4064</v>
      </c>
      <c r="P1404">
        <v>1</v>
      </c>
      <c r="Q1404" t="s">
        <v>58</v>
      </c>
      <c r="R1404" t="s">
        <v>62</v>
      </c>
    </row>
    <row r="1405" spans="1:18">
      <c r="A1405">
        <v>11404</v>
      </c>
      <c r="B1405" s="2">
        <v>45600</v>
      </c>
      <c r="C1405" s="2">
        <v>45602</v>
      </c>
      <c r="D1405" s="2">
        <v>45606</v>
      </c>
      <c r="E1405" t="s">
        <v>19</v>
      </c>
      <c r="F1405" t="s">
        <v>22</v>
      </c>
      <c r="G1405" t="s">
        <v>24</v>
      </c>
      <c r="H1405" t="s">
        <v>25</v>
      </c>
      <c r="I1405" t="s">
        <v>34</v>
      </c>
      <c r="J1405" t="s">
        <v>37</v>
      </c>
      <c r="K1405" t="s">
        <v>44</v>
      </c>
      <c r="L1405" t="s">
        <v>51</v>
      </c>
      <c r="M1405">
        <v>6249</v>
      </c>
      <c r="N1405">
        <v>0.16</v>
      </c>
      <c r="O1405">
        <v>16334</v>
      </c>
      <c r="P1405">
        <v>9</v>
      </c>
      <c r="Q1405" t="s">
        <v>58</v>
      </c>
      <c r="R1405" t="s">
        <v>62</v>
      </c>
    </row>
    <row r="1406" spans="1:18">
      <c r="A1406">
        <v>11405</v>
      </c>
      <c r="B1406" s="2">
        <v>45601</v>
      </c>
      <c r="C1406" s="2">
        <v>45603</v>
      </c>
      <c r="D1406" s="2">
        <v>45607</v>
      </c>
      <c r="E1406" t="s">
        <v>20</v>
      </c>
      <c r="F1406" t="s">
        <v>22</v>
      </c>
      <c r="G1406" t="s">
        <v>24</v>
      </c>
      <c r="H1406" t="s">
        <v>33</v>
      </c>
      <c r="I1406" t="s">
        <v>35</v>
      </c>
      <c r="J1406" t="s">
        <v>41</v>
      </c>
      <c r="K1406" t="s">
        <v>48</v>
      </c>
      <c r="L1406" t="s">
        <v>52</v>
      </c>
      <c r="M1406">
        <v>70294</v>
      </c>
      <c r="N1406">
        <v>0.03</v>
      </c>
      <c r="O1406">
        <v>18830</v>
      </c>
      <c r="P1406">
        <v>8</v>
      </c>
      <c r="Q1406" t="s">
        <v>55</v>
      </c>
      <c r="R1406" t="s">
        <v>59</v>
      </c>
    </row>
    <row r="1407" spans="1:18">
      <c r="A1407">
        <v>11406</v>
      </c>
      <c r="B1407" s="2">
        <v>45602</v>
      </c>
      <c r="C1407" s="2">
        <v>45604</v>
      </c>
      <c r="D1407" s="2">
        <v>45608</v>
      </c>
      <c r="E1407" t="s">
        <v>18</v>
      </c>
      <c r="F1407" t="s">
        <v>22</v>
      </c>
      <c r="G1407" t="s">
        <v>28</v>
      </c>
      <c r="H1407" t="s">
        <v>32</v>
      </c>
      <c r="I1407" t="s">
        <v>36</v>
      </c>
      <c r="J1407" t="s">
        <v>40</v>
      </c>
      <c r="K1407" t="s">
        <v>50</v>
      </c>
      <c r="L1407" t="s">
        <v>52</v>
      </c>
      <c r="M1407">
        <v>10214</v>
      </c>
      <c r="N1407">
        <v>0.31</v>
      </c>
      <c r="O1407">
        <v>-1581</v>
      </c>
      <c r="P1407">
        <v>6</v>
      </c>
      <c r="Q1407" t="s">
        <v>57</v>
      </c>
      <c r="R1407" t="s">
        <v>61</v>
      </c>
    </row>
    <row r="1408" spans="1:18">
      <c r="A1408">
        <v>11407</v>
      </c>
      <c r="B1408" s="2">
        <v>45603</v>
      </c>
      <c r="C1408" s="2">
        <v>45605</v>
      </c>
      <c r="D1408" s="2">
        <v>45609</v>
      </c>
      <c r="E1408" t="s">
        <v>19</v>
      </c>
      <c r="F1408" t="s">
        <v>22</v>
      </c>
      <c r="G1408" t="s">
        <v>24</v>
      </c>
      <c r="H1408" t="s">
        <v>25</v>
      </c>
      <c r="I1408" t="s">
        <v>34</v>
      </c>
      <c r="J1408" t="s">
        <v>42</v>
      </c>
      <c r="K1408" t="s">
        <v>44</v>
      </c>
      <c r="L1408" t="s">
        <v>52</v>
      </c>
      <c r="M1408">
        <v>18609</v>
      </c>
      <c r="N1408">
        <v>0.06</v>
      </c>
      <c r="O1408">
        <v>9628</v>
      </c>
      <c r="P1408">
        <v>5</v>
      </c>
      <c r="Q1408" t="s">
        <v>55</v>
      </c>
      <c r="R1408" t="s">
        <v>59</v>
      </c>
    </row>
    <row r="1409" spans="1:18">
      <c r="A1409">
        <v>11408</v>
      </c>
      <c r="B1409" s="2">
        <v>45604</v>
      </c>
      <c r="C1409" s="2">
        <v>45606</v>
      </c>
      <c r="D1409" s="2">
        <v>45610</v>
      </c>
      <c r="E1409" t="s">
        <v>19</v>
      </c>
      <c r="F1409" t="s">
        <v>22</v>
      </c>
      <c r="G1409" t="s">
        <v>23</v>
      </c>
      <c r="H1409" t="s">
        <v>32</v>
      </c>
      <c r="I1409" t="s">
        <v>35</v>
      </c>
      <c r="J1409" t="s">
        <v>40</v>
      </c>
      <c r="K1409" t="s">
        <v>44</v>
      </c>
      <c r="L1409" t="s">
        <v>53</v>
      </c>
      <c r="M1409">
        <v>46301</v>
      </c>
      <c r="N1409">
        <v>0.13</v>
      </c>
      <c r="O1409">
        <v>2541</v>
      </c>
      <c r="P1409">
        <v>23</v>
      </c>
      <c r="Q1409" t="s">
        <v>58</v>
      </c>
      <c r="R1409" t="s">
        <v>59</v>
      </c>
    </row>
    <row r="1410" spans="1:18">
      <c r="A1410">
        <v>11409</v>
      </c>
      <c r="B1410" s="2">
        <v>45605</v>
      </c>
      <c r="C1410" s="2">
        <v>45607</v>
      </c>
      <c r="D1410" s="2">
        <v>45611</v>
      </c>
      <c r="E1410" t="s">
        <v>18</v>
      </c>
      <c r="F1410" t="s">
        <v>22</v>
      </c>
      <c r="G1410" t="s">
        <v>26</v>
      </c>
      <c r="H1410" t="s">
        <v>29</v>
      </c>
      <c r="I1410" t="s">
        <v>36</v>
      </c>
      <c r="J1410" t="s">
        <v>41</v>
      </c>
      <c r="K1410" t="s">
        <v>50</v>
      </c>
      <c r="L1410" t="s">
        <v>52</v>
      </c>
      <c r="M1410">
        <v>28871</v>
      </c>
      <c r="N1410">
        <v>0</v>
      </c>
      <c r="O1410">
        <v>6935</v>
      </c>
      <c r="P1410">
        <v>18</v>
      </c>
      <c r="Q1410" t="s">
        <v>58</v>
      </c>
      <c r="R1410" t="s">
        <v>59</v>
      </c>
    </row>
    <row r="1411" spans="1:18">
      <c r="A1411">
        <v>11410</v>
      </c>
      <c r="B1411" s="2">
        <v>45606</v>
      </c>
      <c r="C1411" s="2">
        <v>45608</v>
      </c>
      <c r="D1411" s="2">
        <v>45612</v>
      </c>
      <c r="E1411" t="s">
        <v>19</v>
      </c>
      <c r="F1411" t="s">
        <v>22</v>
      </c>
      <c r="G1411" t="s">
        <v>25</v>
      </c>
      <c r="H1411" t="s">
        <v>32</v>
      </c>
      <c r="I1411" t="s">
        <v>35</v>
      </c>
      <c r="J1411" t="s">
        <v>39</v>
      </c>
      <c r="K1411" t="s">
        <v>46</v>
      </c>
      <c r="L1411" t="s">
        <v>53</v>
      </c>
      <c r="M1411">
        <v>46850</v>
      </c>
      <c r="N1411">
        <v>0.04</v>
      </c>
      <c r="O1411">
        <v>569</v>
      </c>
      <c r="P1411">
        <v>1</v>
      </c>
      <c r="Q1411" t="s">
        <v>58</v>
      </c>
      <c r="R1411" t="s">
        <v>62</v>
      </c>
    </row>
    <row r="1412" spans="1:18">
      <c r="A1412">
        <v>11411</v>
      </c>
      <c r="B1412" s="2">
        <v>45607</v>
      </c>
      <c r="C1412" s="2">
        <v>45609</v>
      </c>
      <c r="D1412" s="2">
        <v>45613</v>
      </c>
      <c r="E1412" t="s">
        <v>20</v>
      </c>
      <c r="F1412" t="s">
        <v>22</v>
      </c>
      <c r="G1412" t="s">
        <v>25</v>
      </c>
      <c r="H1412" t="s">
        <v>29</v>
      </c>
      <c r="I1412" t="s">
        <v>35</v>
      </c>
      <c r="J1412" t="s">
        <v>39</v>
      </c>
      <c r="K1412" t="s">
        <v>44</v>
      </c>
      <c r="L1412" t="s">
        <v>51</v>
      </c>
      <c r="M1412">
        <v>66847</v>
      </c>
      <c r="N1412">
        <v>0.18</v>
      </c>
      <c r="O1412">
        <v>7196</v>
      </c>
      <c r="P1412">
        <v>8</v>
      </c>
      <c r="Q1412" t="s">
        <v>56</v>
      </c>
      <c r="R1412" t="s">
        <v>62</v>
      </c>
    </row>
    <row r="1413" spans="1:18">
      <c r="A1413">
        <v>11412</v>
      </c>
      <c r="B1413" s="2">
        <v>45608</v>
      </c>
      <c r="C1413" s="2">
        <v>45610</v>
      </c>
      <c r="D1413" s="2">
        <v>45614</v>
      </c>
      <c r="E1413" t="s">
        <v>20</v>
      </c>
      <c r="F1413" t="s">
        <v>22</v>
      </c>
      <c r="G1413" t="s">
        <v>24</v>
      </c>
      <c r="H1413" t="s">
        <v>29</v>
      </c>
      <c r="I1413" t="s">
        <v>36</v>
      </c>
      <c r="J1413" t="s">
        <v>42</v>
      </c>
      <c r="K1413" t="s">
        <v>49</v>
      </c>
      <c r="L1413" t="s">
        <v>53</v>
      </c>
      <c r="M1413">
        <v>69604</v>
      </c>
      <c r="N1413">
        <v>0.23</v>
      </c>
      <c r="O1413">
        <v>4562</v>
      </c>
      <c r="P1413">
        <v>8</v>
      </c>
      <c r="Q1413" t="s">
        <v>55</v>
      </c>
      <c r="R1413" t="s">
        <v>60</v>
      </c>
    </row>
    <row r="1414" spans="1:18">
      <c r="A1414">
        <v>11413</v>
      </c>
      <c r="B1414" s="2">
        <v>45609</v>
      </c>
      <c r="C1414" s="2">
        <v>45611</v>
      </c>
      <c r="D1414" s="2">
        <v>45615</v>
      </c>
      <c r="E1414" t="s">
        <v>21</v>
      </c>
      <c r="F1414" t="s">
        <v>22</v>
      </c>
      <c r="G1414" t="s">
        <v>26</v>
      </c>
      <c r="H1414" t="s">
        <v>25</v>
      </c>
      <c r="I1414" t="s">
        <v>34</v>
      </c>
      <c r="J1414" t="s">
        <v>37</v>
      </c>
      <c r="K1414" t="s">
        <v>45</v>
      </c>
      <c r="L1414" t="s">
        <v>51</v>
      </c>
      <c r="M1414">
        <v>57373</v>
      </c>
      <c r="N1414">
        <v>0.26</v>
      </c>
      <c r="O1414">
        <v>-1668</v>
      </c>
      <c r="P1414">
        <v>5</v>
      </c>
      <c r="Q1414" t="s">
        <v>58</v>
      </c>
      <c r="R1414" t="s">
        <v>59</v>
      </c>
    </row>
    <row r="1415" spans="1:18">
      <c r="A1415">
        <v>11414</v>
      </c>
      <c r="B1415" s="2">
        <v>45610</v>
      </c>
      <c r="C1415" s="2">
        <v>45612</v>
      </c>
      <c r="D1415" s="2">
        <v>45616</v>
      </c>
      <c r="E1415" t="s">
        <v>20</v>
      </c>
      <c r="F1415" t="s">
        <v>22</v>
      </c>
      <c r="G1415" t="s">
        <v>25</v>
      </c>
      <c r="H1415" t="s">
        <v>32</v>
      </c>
      <c r="I1415" t="s">
        <v>34</v>
      </c>
      <c r="J1415" t="s">
        <v>40</v>
      </c>
      <c r="K1415" t="s">
        <v>48</v>
      </c>
      <c r="L1415" t="s">
        <v>53</v>
      </c>
      <c r="M1415">
        <v>64404</v>
      </c>
      <c r="N1415">
        <v>0.21</v>
      </c>
      <c r="O1415">
        <v>6561</v>
      </c>
      <c r="P1415">
        <v>2</v>
      </c>
      <c r="Q1415" t="s">
        <v>56</v>
      </c>
      <c r="R1415" t="s">
        <v>59</v>
      </c>
    </row>
    <row r="1416" spans="1:18">
      <c r="A1416">
        <v>11415</v>
      </c>
      <c r="B1416" s="2">
        <v>45611</v>
      </c>
      <c r="C1416" s="2">
        <v>45613</v>
      </c>
      <c r="D1416" s="2">
        <v>45617</v>
      </c>
      <c r="E1416" t="s">
        <v>20</v>
      </c>
      <c r="F1416" t="s">
        <v>22</v>
      </c>
      <c r="G1416" t="s">
        <v>28</v>
      </c>
      <c r="H1416" t="s">
        <v>33</v>
      </c>
      <c r="I1416" t="s">
        <v>35</v>
      </c>
      <c r="J1416" t="s">
        <v>42</v>
      </c>
      <c r="K1416" t="s">
        <v>44</v>
      </c>
      <c r="L1416" t="s">
        <v>53</v>
      </c>
      <c r="M1416">
        <v>8767</v>
      </c>
      <c r="N1416">
        <v>0</v>
      </c>
      <c r="O1416">
        <v>16742</v>
      </c>
      <c r="P1416">
        <v>24</v>
      </c>
      <c r="Q1416" t="s">
        <v>56</v>
      </c>
      <c r="R1416" t="s">
        <v>60</v>
      </c>
    </row>
    <row r="1417" spans="1:18">
      <c r="A1417">
        <v>11416</v>
      </c>
      <c r="B1417" s="2">
        <v>45612</v>
      </c>
      <c r="C1417" s="2">
        <v>45614</v>
      </c>
      <c r="D1417" s="2">
        <v>45618</v>
      </c>
      <c r="E1417" t="s">
        <v>19</v>
      </c>
      <c r="F1417" t="s">
        <v>22</v>
      </c>
      <c r="G1417" t="s">
        <v>28</v>
      </c>
      <c r="H1417" t="s">
        <v>32</v>
      </c>
      <c r="I1417" t="s">
        <v>36</v>
      </c>
      <c r="J1417" t="s">
        <v>42</v>
      </c>
      <c r="K1417" t="s">
        <v>45</v>
      </c>
      <c r="L1417" t="s">
        <v>53</v>
      </c>
      <c r="M1417">
        <v>46915</v>
      </c>
      <c r="N1417">
        <v>0.28000000000000003</v>
      </c>
      <c r="O1417">
        <v>4794</v>
      </c>
      <c r="P1417">
        <v>16</v>
      </c>
      <c r="Q1417" t="s">
        <v>56</v>
      </c>
      <c r="R1417" t="s">
        <v>62</v>
      </c>
    </row>
    <row r="1418" spans="1:18">
      <c r="A1418">
        <v>11417</v>
      </c>
      <c r="B1418" s="2">
        <v>45613</v>
      </c>
      <c r="C1418" s="2">
        <v>45615</v>
      </c>
      <c r="D1418" s="2">
        <v>45619</v>
      </c>
      <c r="E1418" t="s">
        <v>21</v>
      </c>
      <c r="F1418" t="s">
        <v>22</v>
      </c>
      <c r="G1418" t="s">
        <v>24</v>
      </c>
      <c r="H1418" t="s">
        <v>29</v>
      </c>
      <c r="I1418" t="s">
        <v>34</v>
      </c>
      <c r="J1418" t="s">
        <v>41</v>
      </c>
      <c r="K1418" t="s">
        <v>47</v>
      </c>
      <c r="L1418" t="s">
        <v>52</v>
      </c>
      <c r="M1418">
        <v>36625</v>
      </c>
      <c r="N1418">
        <v>0.25</v>
      </c>
      <c r="O1418">
        <v>15391</v>
      </c>
      <c r="P1418">
        <v>1</v>
      </c>
      <c r="Q1418" t="s">
        <v>55</v>
      </c>
      <c r="R1418" t="s">
        <v>60</v>
      </c>
    </row>
    <row r="1419" spans="1:18">
      <c r="A1419">
        <v>11418</v>
      </c>
      <c r="B1419" s="2">
        <v>45614</v>
      </c>
      <c r="C1419" s="2">
        <v>45616</v>
      </c>
      <c r="D1419" s="2">
        <v>45620</v>
      </c>
      <c r="E1419" t="s">
        <v>20</v>
      </c>
      <c r="F1419" t="s">
        <v>22</v>
      </c>
      <c r="G1419" t="s">
        <v>27</v>
      </c>
      <c r="H1419" t="s">
        <v>33</v>
      </c>
      <c r="I1419" t="s">
        <v>36</v>
      </c>
      <c r="J1419" t="s">
        <v>43</v>
      </c>
      <c r="K1419" t="s">
        <v>47</v>
      </c>
      <c r="L1419" t="s">
        <v>51</v>
      </c>
      <c r="M1419">
        <v>5293</v>
      </c>
      <c r="N1419">
        <v>0.08</v>
      </c>
      <c r="O1419">
        <v>9837</v>
      </c>
      <c r="P1419">
        <v>13</v>
      </c>
      <c r="Q1419" t="s">
        <v>57</v>
      </c>
      <c r="R1419" t="s">
        <v>59</v>
      </c>
    </row>
    <row r="1420" spans="1:18">
      <c r="A1420">
        <v>11419</v>
      </c>
      <c r="B1420" s="2">
        <v>45615</v>
      </c>
      <c r="C1420" s="2">
        <v>45617</v>
      </c>
      <c r="D1420" s="2">
        <v>45621</v>
      </c>
      <c r="E1420" t="s">
        <v>19</v>
      </c>
      <c r="F1420" t="s">
        <v>22</v>
      </c>
      <c r="G1420" t="s">
        <v>24</v>
      </c>
      <c r="H1420" t="s">
        <v>31</v>
      </c>
      <c r="I1420" t="s">
        <v>36</v>
      </c>
      <c r="J1420" t="s">
        <v>40</v>
      </c>
      <c r="K1420" t="s">
        <v>46</v>
      </c>
      <c r="L1420" t="s">
        <v>51</v>
      </c>
      <c r="M1420">
        <v>57037</v>
      </c>
      <c r="N1420">
        <v>0.15</v>
      </c>
      <c r="O1420">
        <v>6504</v>
      </c>
      <c r="P1420">
        <v>2</v>
      </c>
      <c r="Q1420" t="s">
        <v>57</v>
      </c>
      <c r="R1420" t="s">
        <v>60</v>
      </c>
    </row>
    <row r="1421" spans="1:18">
      <c r="A1421">
        <v>11420</v>
      </c>
      <c r="B1421" s="2">
        <v>45616</v>
      </c>
      <c r="C1421" s="2">
        <v>45618</v>
      </c>
      <c r="D1421" s="2">
        <v>45622</v>
      </c>
      <c r="E1421" t="s">
        <v>20</v>
      </c>
      <c r="F1421" t="s">
        <v>22</v>
      </c>
      <c r="G1421" t="s">
        <v>24</v>
      </c>
      <c r="H1421" t="s">
        <v>31</v>
      </c>
      <c r="I1421" t="s">
        <v>36</v>
      </c>
      <c r="J1421" t="s">
        <v>43</v>
      </c>
      <c r="K1421" t="s">
        <v>46</v>
      </c>
      <c r="L1421" t="s">
        <v>52</v>
      </c>
      <c r="M1421">
        <v>71403</v>
      </c>
      <c r="N1421">
        <v>0.16</v>
      </c>
      <c r="O1421">
        <v>18294</v>
      </c>
      <c r="P1421">
        <v>24</v>
      </c>
      <c r="Q1421" t="s">
        <v>56</v>
      </c>
      <c r="R1421" t="s">
        <v>59</v>
      </c>
    </row>
    <row r="1422" spans="1:18">
      <c r="A1422">
        <v>11421</v>
      </c>
      <c r="B1422" s="2">
        <v>45617</v>
      </c>
      <c r="C1422" s="2">
        <v>45619</v>
      </c>
      <c r="D1422" s="2">
        <v>45623</v>
      </c>
      <c r="E1422" t="s">
        <v>20</v>
      </c>
      <c r="F1422" t="s">
        <v>22</v>
      </c>
      <c r="G1422" t="s">
        <v>28</v>
      </c>
      <c r="H1422" t="s">
        <v>33</v>
      </c>
      <c r="I1422" t="s">
        <v>36</v>
      </c>
      <c r="J1422" t="s">
        <v>42</v>
      </c>
      <c r="K1422" t="s">
        <v>44</v>
      </c>
      <c r="L1422" t="s">
        <v>52</v>
      </c>
      <c r="M1422">
        <v>19012</v>
      </c>
      <c r="N1422">
        <v>0.01</v>
      </c>
      <c r="O1422">
        <v>7729</v>
      </c>
      <c r="P1422">
        <v>24</v>
      </c>
      <c r="Q1422" t="s">
        <v>57</v>
      </c>
      <c r="R1422" t="s">
        <v>62</v>
      </c>
    </row>
    <row r="1423" spans="1:18">
      <c r="A1423">
        <v>11422</v>
      </c>
      <c r="B1423" s="2">
        <v>45618</v>
      </c>
      <c r="C1423" s="2">
        <v>45620</v>
      </c>
      <c r="D1423" s="2">
        <v>45624</v>
      </c>
      <c r="E1423" t="s">
        <v>18</v>
      </c>
      <c r="F1423" t="s">
        <v>22</v>
      </c>
      <c r="G1423" t="s">
        <v>26</v>
      </c>
      <c r="H1423" t="s">
        <v>30</v>
      </c>
      <c r="I1423" t="s">
        <v>36</v>
      </c>
      <c r="J1423" t="s">
        <v>43</v>
      </c>
      <c r="K1423" t="s">
        <v>49</v>
      </c>
      <c r="L1423" t="s">
        <v>52</v>
      </c>
      <c r="M1423">
        <v>53844</v>
      </c>
      <c r="N1423">
        <v>0.35</v>
      </c>
      <c r="O1423">
        <v>19864</v>
      </c>
      <c r="P1423">
        <v>19</v>
      </c>
      <c r="Q1423" t="s">
        <v>54</v>
      </c>
      <c r="R1423" t="s">
        <v>61</v>
      </c>
    </row>
    <row r="1424" spans="1:18">
      <c r="A1424">
        <v>11423</v>
      </c>
      <c r="B1424" s="2">
        <v>45619</v>
      </c>
      <c r="C1424" s="2">
        <v>45621</v>
      </c>
      <c r="D1424" s="2">
        <v>45625</v>
      </c>
      <c r="E1424" t="s">
        <v>19</v>
      </c>
      <c r="F1424" t="s">
        <v>22</v>
      </c>
      <c r="G1424" t="s">
        <v>27</v>
      </c>
      <c r="H1424" t="s">
        <v>33</v>
      </c>
      <c r="I1424" t="s">
        <v>35</v>
      </c>
      <c r="J1424" t="s">
        <v>40</v>
      </c>
      <c r="K1424" t="s">
        <v>45</v>
      </c>
      <c r="L1424" t="s">
        <v>51</v>
      </c>
      <c r="M1424">
        <v>20577</v>
      </c>
      <c r="N1424">
        <v>0.3</v>
      </c>
      <c r="O1424">
        <v>7385</v>
      </c>
      <c r="P1424">
        <v>3</v>
      </c>
      <c r="Q1424" t="s">
        <v>55</v>
      </c>
      <c r="R1424" t="s">
        <v>62</v>
      </c>
    </row>
    <row r="1425" spans="1:18">
      <c r="A1425">
        <v>11424</v>
      </c>
      <c r="B1425" s="2">
        <v>45620</v>
      </c>
      <c r="C1425" s="2">
        <v>45622</v>
      </c>
      <c r="D1425" s="2">
        <v>45626</v>
      </c>
      <c r="E1425" t="s">
        <v>19</v>
      </c>
      <c r="F1425" t="s">
        <v>22</v>
      </c>
      <c r="G1425" t="s">
        <v>24</v>
      </c>
      <c r="H1425" t="s">
        <v>25</v>
      </c>
      <c r="I1425" t="s">
        <v>36</v>
      </c>
      <c r="J1425" t="s">
        <v>43</v>
      </c>
      <c r="K1425" t="s">
        <v>47</v>
      </c>
      <c r="L1425" t="s">
        <v>51</v>
      </c>
      <c r="M1425">
        <v>72120</v>
      </c>
      <c r="N1425">
        <v>0.15</v>
      </c>
      <c r="O1425">
        <v>-333</v>
      </c>
      <c r="P1425">
        <v>10</v>
      </c>
      <c r="Q1425" t="s">
        <v>58</v>
      </c>
      <c r="R1425" t="s">
        <v>59</v>
      </c>
    </row>
    <row r="1426" spans="1:18">
      <c r="A1426">
        <v>11425</v>
      </c>
      <c r="B1426" s="2">
        <v>45621</v>
      </c>
      <c r="C1426" s="2">
        <v>45623</v>
      </c>
      <c r="D1426" s="2">
        <v>45627</v>
      </c>
      <c r="E1426" t="s">
        <v>19</v>
      </c>
      <c r="F1426" t="s">
        <v>22</v>
      </c>
      <c r="G1426" t="s">
        <v>25</v>
      </c>
      <c r="H1426" t="s">
        <v>32</v>
      </c>
      <c r="I1426" t="s">
        <v>35</v>
      </c>
      <c r="J1426" t="s">
        <v>38</v>
      </c>
      <c r="K1426" t="s">
        <v>46</v>
      </c>
      <c r="L1426" t="s">
        <v>52</v>
      </c>
      <c r="M1426">
        <v>37014</v>
      </c>
      <c r="N1426">
        <v>0.23</v>
      </c>
      <c r="O1426">
        <v>9934</v>
      </c>
      <c r="P1426">
        <v>14</v>
      </c>
      <c r="Q1426" t="s">
        <v>57</v>
      </c>
      <c r="R1426" t="s">
        <v>59</v>
      </c>
    </row>
    <row r="1427" spans="1:18">
      <c r="A1427">
        <v>11426</v>
      </c>
      <c r="B1427" s="2">
        <v>45622</v>
      </c>
      <c r="C1427" s="2">
        <v>45624</v>
      </c>
      <c r="D1427" s="2">
        <v>45628</v>
      </c>
      <c r="E1427" t="s">
        <v>21</v>
      </c>
      <c r="F1427" t="s">
        <v>22</v>
      </c>
      <c r="G1427" t="s">
        <v>27</v>
      </c>
      <c r="H1427" t="s">
        <v>33</v>
      </c>
      <c r="I1427" t="s">
        <v>34</v>
      </c>
      <c r="J1427" t="s">
        <v>41</v>
      </c>
      <c r="K1427" t="s">
        <v>45</v>
      </c>
      <c r="L1427" t="s">
        <v>53</v>
      </c>
      <c r="M1427">
        <v>49861</v>
      </c>
      <c r="N1427">
        <v>0.25</v>
      </c>
      <c r="O1427">
        <v>5404</v>
      </c>
      <c r="P1427">
        <v>11</v>
      </c>
      <c r="Q1427" t="s">
        <v>54</v>
      </c>
      <c r="R1427" t="s">
        <v>62</v>
      </c>
    </row>
    <row r="1428" spans="1:18">
      <c r="A1428">
        <v>11427</v>
      </c>
      <c r="B1428" s="2">
        <v>45623</v>
      </c>
      <c r="C1428" s="2">
        <v>45625</v>
      </c>
      <c r="D1428" s="2">
        <v>45629</v>
      </c>
      <c r="E1428" t="s">
        <v>21</v>
      </c>
      <c r="F1428" t="s">
        <v>22</v>
      </c>
      <c r="G1428" t="s">
        <v>23</v>
      </c>
      <c r="H1428" t="s">
        <v>29</v>
      </c>
      <c r="I1428" t="s">
        <v>34</v>
      </c>
      <c r="J1428" t="s">
        <v>40</v>
      </c>
      <c r="K1428" t="s">
        <v>48</v>
      </c>
      <c r="L1428" t="s">
        <v>52</v>
      </c>
      <c r="M1428">
        <v>38220</v>
      </c>
      <c r="N1428">
        <v>0.1</v>
      </c>
      <c r="O1428">
        <v>17670</v>
      </c>
      <c r="P1428">
        <v>22</v>
      </c>
      <c r="Q1428" t="s">
        <v>54</v>
      </c>
      <c r="R1428" t="s">
        <v>59</v>
      </c>
    </row>
    <row r="1429" spans="1:18">
      <c r="A1429">
        <v>11428</v>
      </c>
      <c r="B1429" s="2">
        <v>45624</v>
      </c>
      <c r="C1429" s="2">
        <v>45626</v>
      </c>
      <c r="D1429" s="2">
        <v>45630</v>
      </c>
      <c r="E1429" t="s">
        <v>21</v>
      </c>
      <c r="F1429" t="s">
        <v>22</v>
      </c>
      <c r="G1429" t="s">
        <v>23</v>
      </c>
      <c r="H1429" t="s">
        <v>32</v>
      </c>
      <c r="I1429" t="s">
        <v>36</v>
      </c>
      <c r="J1429" t="s">
        <v>43</v>
      </c>
      <c r="K1429" t="s">
        <v>45</v>
      </c>
      <c r="L1429" t="s">
        <v>53</v>
      </c>
      <c r="M1429">
        <v>35840</v>
      </c>
      <c r="N1429">
        <v>0.11</v>
      </c>
      <c r="O1429">
        <v>12545</v>
      </c>
      <c r="P1429">
        <v>1</v>
      </c>
      <c r="Q1429" t="s">
        <v>57</v>
      </c>
      <c r="R1429" t="s">
        <v>59</v>
      </c>
    </row>
    <row r="1430" spans="1:18">
      <c r="A1430">
        <v>11429</v>
      </c>
      <c r="B1430" s="2">
        <v>45625</v>
      </c>
      <c r="C1430" s="2">
        <v>45627</v>
      </c>
      <c r="D1430" s="2">
        <v>45631</v>
      </c>
      <c r="E1430" t="s">
        <v>18</v>
      </c>
      <c r="F1430" t="s">
        <v>22</v>
      </c>
      <c r="G1430" t="s">
        <v>24</v>
      </c>
      <c r="H1430" t="s">
        <v>29</v>
      </c>
      <c r="I1430" t="s">
        <v>35</v>
      </c>
      <c r="J1430" t="s">
        <v>42</v>
      </c>
      <c r="K1430" t="s">
        <v>50</v>
      </c>
      <c r="L1430" t="s">
        <v>52</v>
      </c>
      <c r="M1430">
        <v>47346</v>
      </c>
      <c r="N1430">
        <v>7.0000000000000007E-2</v>
      </c>
      <c r="O1430">
        <v>-1925</v>
      </c>
      <c r="P1430">
        <v>2</v>
      </c>
      <c r="Q1430" t="s">
        <v>55</v>
      </c>
      <c r="R1430" t="s">
        <v>59</v>
      </c>
    </row>
    <row r="1431" spans="1:18">
      <c r="A1431">
        <v>11430</v>
      </c>
      <c r="B1431" s="2">
        <v>45626</v>
      </c>
      <c r="C1431" s="2">
        <v>45628</v>
      </c>
      <c r="D1431" s="2">
        <v>45632</v>
      </c>
      <c r="E1431" t="s">
        <v>19</v>
      </c>
      <c r="F1431" t="s">
        <v>22</v>
      </c>
      <c r="G1431" t="s">
        <v>25</v>
      </c>
      <c r="H1431" t="s">
        <v>31</v>
      </c>
      <c r="I1431" t="s">
        <v>36</v>
      </c>
      <c r="J1431" t="s">
        <v>38</v>
      </c>
      <c r="K1431" t="s">
        <v>49</v>
      </c>
      <c r="L1431" t="s">
        <v>53</v>
      </c>
      <c r="M1431">
        <v>74157</v>
      </c>
      <c r="N1431">
        <v>0.26</v>
      </c>
      <c r="O1431">
        <v>17620</v>
      </c>
      <c r="P1431">
        <v>19</v>
      </c>
      <c r="Q1431" t="s">
        <v>56</v>
      </c>
      <c r="R1431" t="s">
        <v>62</v>
      </c>
    </row>
    <row r="1432" spans="1:18">
      <c r="A1432">
        <v>11431</v>
      </c>
      <c r="B1432" s="2">
        <v>45627</v>
      </c>
      <c r="C1432" s="2">
        <v>45629</v>
      </c>
      <c r="D1432" s="2">
        <v>45633</v>
      </c>
      <c r="E1432" t="s">
        <v>18</v>
      </c>
      <c r="F1432" t="s">
        <v>22</v>
      </c>
      <c r="G1432" t="s">
        <v>28</v>
      </c>
      <c r="H1432" t="s">
        <v>25</v>
      </c>
      <c r="I1432" t="s">
        <v>36</v>
      </c>
      <c r="J1432" t="s">
        <v>43</v>
      </c>
      <c r="K1432" t="s">
        <v>45</v>
      </c>
      <c r="L1432" t="s">
        <v>51</v>
      </c>
      <c r="M1432">
        <v>43221</v>
      </c>
      <c r="N1432">
        <v>0.24</v>
      </c>
      <c r="O1432">
        <v>9755</v>
      </c>
      <c r="P1432">
        <v>12</v>
      </c>
      <c r="Q1432" t="s">
        <v>55</v>
      </c>
      <c r="R1432" t="s">
        <v>61</v>
      </c>
    </row>
    <row r="1433" spans="1:18">
      <c r="A1433">
        <v>11432</v>
      </c>
      <c r="B1433" s="2">
        <v>45628</v>
      </c>
      <c r="C1433" s="2">
        <v>45630</v>
      </c>
      <c r="D1433" s="2">
        <v>45634</v>
      </c>
      <c r="E1433" t="s">
        <v>21</v>
      </c>
      <c r="F1433" t="s">
        <v>22</v>
      </c>
      <c r="G1433" t="s">
        <v>24</v>
      </c>
      <c r="H1433" t="s">
        <v>32</v>
      </c>
      <c r="I1433" t="s">
        <v>35</v>
      </c>
      <c r="J1433" t="s">
        <v>37</v>
      </c>
      <c r="K1433" t="s">
        <v>48</v>
      </c>
      <c r="L1433" t="s">
        <v>53</v>
      </c>
      <c r="M1433">
        <v>17373</v>
      </c>
      <c r="N1433">
        <v>0.16</v>
      </c>
      <c r="O1433">
        <v>6775</v>
      </c>
      <c r="P1433">
        <v>22</v>
      </c>
      <c r="Q1433" t="s">
        <v>58</v>
      </c>
      <c r="R1433" t="s">
        <v>62</v>
      </c>
    </row>
    <row r="1434" spans="1:18">
      <c r="A1434">
        <v>11433</v>
      </c>
      <c r="B1434" s="2">
        <v>45629</v>
      </c>
      <c r="C1434" s="2">
        <v>45631</v>
      </c>
      <c r="D1434" s="2">
        <v>45635</v>
      </c>
      <c r="E1434" t="s">
        <v>21</v>
      </c>
      <c r="F1434" t="s">
        <v>22</v>
      </c>
      <c r="G1434" t="s">
        <v>27</v>
      </c>
      <c r="H1434" t="s">
        <v>25</v>
      </c>
      <c r="I1434" t="s">
        <v>34</v>
      </c>
      <c r="J1434" t="s">
        <v>42</v>
      </c>
      <c r="K1434" t="s">
        <v>48</v>
      </c>
      <c r="L1434" t="s">
        <v>52</v>
      </c>
      <c r="M1434">
        <v>21278</v>
      </c>
      <c r="N1434">
        <v>0.08</v>
      </c>
      <c r="O1434">
        <v>6807</v>
      </c>
      <c r="P1434">
        <v>9</v>
      </c>
      <c r="Q1434" t="s">
        <v>56</v>
      </c>
      <c r="R1434" t="s">
        <v>60</v>
      </c>
    </row>
    <row r="1435" spans="1:18">
      <c r="A1435">
        <v>11434</v>
      </c>
      <c r="B1435" s="2">
        <v>45630</v>
      </c>
      <c r="C1435" s="2">
        <v>45632</v>
      </c>
      <c r="D1435" s="2">
        <v>45636</v>
      </c>
      <c r="E1435" t="s">
        <v>20</v>
      </c>
      <c r="F1435" t="s">
        <v>22</v>
      </c>
      <c r="G1435" t="s">
        <v>25</v>
      </c>
      <c r="H1435" t="s">
        <v>33</v>
      </c>
      <c r="I1435" t="s">
        <v>36</v>
      </c>
      <c r="J1435" t="s">
        <v>38</v>
      </c>
      <c r="K1435" t="s">
        <v>47</v>
      </c>
      <c r="L1435" t="s">
        <v>51</v>
      </c>
      <c r="M1435">
        <v>25615</v>
      </c>
      <c r="N1435">
        <v>0.01</v>
      </c>
      <c r="O1435">
        <v>17544</v>
      </c>
      <c r="P1435">
        <v>23</v>
      </c>
      <c r="Q1435" t="s">
        <v>56</v>
      </c>
      <c r="R1435" t="s">
        <v>60</v>
      </c>
    </row>
    <row r="1436" spans="1:18">
      <c r="A1436">
        <v>11435</v>
      </c>
      <c r="B1436" s="2">
        <v>45631</v>
      </c>
      <c r="C1436" s="2">
        <v>45633</v>
      </c>
      <c r="D1436" s="2">
        <v>45637</v>
      </c>
      <c r="E1436" t="s">
        <v>20</v>
      </c>
      <c r="F1436" t="s">
        <v>22</v>
      </c>
      <c r="G1436" t="s">
        <v>26</v>
      </c>
      <c r="H1436" t="s">
        <v>25</v>
      </c>
      <c r="I1436" t="s">
        <v>36</v>
      </c>
      <c r="J1436" t="s">
        <v>38</v>
      </c>
      <c r="K1436" t="s">
        <v>45</v>
      </c>
      <c r="L1436" t="s">
        <v>52</v>
      </c>
      <c r="M1436">
        <v>27048</v>
      </c>
      <c r="N1436">
        <v>0.2</v>
      </c>
      <c r="O1436">
        <v>15537</v>
      </c>
      <c r="P1436">
        <v>16</v>
      </c>
      <c r="Q1436" t="s">
        <v>54</v>
      </c>
      <c r="R1436" t="s">
        <v>61</v>
      </c>
    </row>
    <row r="1437" spans="1:18">
      <c r="A1437">
        <v>11436</v>
      </c>
      <c r="B1437" s="2">
        <v>45632</v>
      </c>
      <c r="C1437" s="2">
        <v>45634</v>
      </c>
      <c r="D1437" s="2">
        <v>45638</v>
      </c>
      <c r="E1437" t="s">
        <v>19</v>
      </c>
      <c r="F1437" t="s">
        <v>22</v>
      </c>
      <c r="G1437" t="s">
        <v>27</v>
      </c>
      <c r="H1437" t="s">
        <v>29</v>
      </c>
      <c r="I1437" t="s">
        <v>36</v>
      </c>
      <c r="J1437" t="s">
        <v>42</v>
      </c>
      <c r="K1437" t="s">
        <v>47</v>
      </c>
      <c r="L1437" t="s">
        <v>53</v>
      </c>
      <c r="M1437">
        <v>71844</v>
      </c>
      <c r="N1437">
        <v>0.03</v>
      </c>
      <c r="O1437">
        <v>13330</v>
      </c>
      <c r="P1437">
        <v>2</v>
      </c>
      <c r="Q1437" t="s">
        <v>54</v>
      </c>
      <c r="R1437" t="s">
        <v>62</v>
      </c>
    </row>
    <row r="1438" spans="1:18">
      <c r="A1438">
        <v>11437</v>
      </c>
      <c r="B1438" s="2">
        <v>45633</v>
      </c>
      <c r="C1438" s="2">
        <v>45635</v>
      </c>
      <c r="D1438" s="2">
        <v>45639</v>
      </c>
      <c r="E1438" t="s">
        <v>21</v>
      </c>
      <c r="F1438" t="s">
        <v>22</v>
      </c>
      <c r="G1438" t="s">
        <v>25</v>
      </c>
      <c r="H1438" t="s">
        <v>25</v>
      </c>
      <c r="I1438" t="s">
        <v>36</v>
      </c>
      <c r="J1438" t="s">
        <v>38</v>
      </c>
      <c r="K1438" t="s">
        <v>45</v>
      </c>
      <c r="L1438" t="s">
        <v>51</v>
      </c>
      <c r="M1438">
        <v>1407</v>
      </c>
      <c r="N1438">
        <v>0.06</v>
      </c>
      <c r="O1438">
        <v>3309</v>
      </c>
      <c r="P1438">
        <v>18</v>
      </c>
      <c r="Q1438" t="s">
        <v>58</v>
      </c>
      <c r="R1438" t="s">
        <v>60</v>
      </c>
    </row>
    <row r="1439" spans="1:18">
      <c r="A1439">
        <v>11438</v>
      </c>
      <c r="B1439" s="2">
        <v>45634</v>
      </c>
      <c r="C1439" s="2">
        <v>45636</v>
      </c>
      <c r="D1439" s="2">
        <v>45640</v>
      </c>
      <c r="E1439" t="s">
        <v>19</v>
      </c>
      <c r="F1439" t="s">
        <v>22</v>
      </c>
      <c r="G1439" t="s">
        <v>23</v>
      </c>
      <c r="H1439" t="s">
        <v>29</v>
      </c>
      <c r="I1439" t="s">
        <v>34</v>
      </c>
      <c r="J1439" t="s">
        <v>40</v>
      </c>
      <c r="K1439" t="s">
        <v>46</v>
      </c>
      <c r="L1439" t="s">
        <v>52</v>
      </c>
      <c r="M1439">
        <v>9685</v>
      </c>
      <c r="N1439">
        <v>0.21</v>
      </c>
      <c r="O1439">
        <v>16819</v>
      </c>
      <c r="P1439">
        <v>16</v>
      </c>
      <c r="Q1439" t="s">
        <v>54</v>
      </c>
      <c r="R1439" t="s">
        <v>62</v>
      </c>
    </row>
    <row r="1440" spans="1:18">
      <c r="A1440">
        <v>11439</v>
      </c>
      <c r="B1440" s="2">
        <v>45635</v>
      </c>
      <c r="C1440" s="2">
        <v>45637</v>
      </c>
      <c r="D1440" s="2">
        <v>45641</v>
      </c>
      <c r="E1440" t="s">
        <v>21</v>
      </c>
      <c r="F1440" t="s">
        <v>22</v>
      </c>
      <c r="G1440" t="s">
        <v>23</v>
      </c>
      <c r="H1440" t="s">
        <v>29</v>
      </c>
      <c r="I1440" t="s">
        <v>34</v>
      </c>
      <c r="J1440" t="s">
        <v>42</v>
      </c>
      <c r="K1440" t="s">
        <v>48</v>
      </c>
      <c r="L1440" t="s">
        <v>52</v>
      </c>
      <c r="M1440">
        <v>33432</v>
      </c>
      <c r="N1440">
        <v>0.34</v>
      </c>
      <c r="O1440">
        <v>7194</v>
      </c>
      <c r="P1440">
        <v>20</v>
      </c>
      <c r="Q1440" t="s">
        <v>56</v>
      </c>
      <c r="R1440" t="s">
        <v>60</v>
      </c>
    </row>
    <row r="1441" spans="1:18">
      <c r="A1441">
        <v>11440</v>
      </c>
      <c r="B1441" s="2">
        <v>45636</v>
      </c>
      <c r="C1441" s="2">
        <v>45638</v>
      </c>
      <c r="D1441" s="2">
        <v>45642</v>
      </c>
      <c r="E1441" t="s">
        <v>19</v>
      </c>
      <c r="F1441" t="s">
        <v>22</v>
      </c>
      <c r="G1441" t="s">
        <v>24</v>
      </c>
      <c r="H1441" t="s">
        <v>29</v>
      </c>
      <c r="I1441" t="s">
        <v>34</v>
      </c>
      <c r="J1441" t="s">
        <v>41</v>
      </c>
      <c r="K1441" t="s">
        <v>45</v>
      </c>
      <c r="L1441" t="s">
        <v>51</v>
      </c>
      <c r="M1441">
        <v>28008</v>
      </c>
      <c r="N1441">
        <v>0.21</v>
      </c>
      <c r="O1441">
        <v>3709</v>
      </c>
      <c r="P1441">
        <v>18</v>
      </c>
      <c r="Q1441" t="s">
        <v>56</v>
      </c>
      <c r="R1441" t="s">
        <v>59</v>
      </c>
    </row>
    <row r="1442" spans="1:18">
      <c r="A1442">
        <v>11441</v>
      </c>
      <c r="B1442" s="2">
        <v>45637</v>
      </c>
      <c r="C1442" s="2">
        <v>45639</v>
      </c>
      <c r="D1442" s="2">
        <v>45643</v>
      </c>
      <c r="E1442" t="s">
        <v>21</v>
      </c>
      <c r="F1442" t="s">
        <v>22</v>
      </c>
      <c r="G1442" t="s">
        <v>27</v>
      </c>
      <c r="H1442" t="s">
        <v>33</v>
      </c>
      <c r="I1442" t="s">
        <v>36</v>
      </c>
      <c r="J1442" t="s">
        <v>38</v>
      </c>
      <c r="K1442" t="s">
        <v>48</v>
      </c>
      <c r="L1442" t="s">
        <v>53</v>
      </c>
      <c r="M1442">
        <v>31984</v>
      </c>
      <c r="N1442">
        <v>0.17</v>
      </c>
      <c r="O1442">
        <v>5333</v>
      </c>
      <c r="P1442">
        <v>22</v>
      </c>
      <c r="Q1442" t="s">
        <v>55</v>
      </c>
      <c r="R1442" t="s">
        <v>61</v>
      </c>
    </row>
    <row r="1443" spans="1:18">
      <c r="A1443">
        <v>11442</v>
      </c>
      <c r="B1443" s="2">
        <v>45638</v>
      </c>
      <c r="C1443" s="2">
        <v>45640</v>
      </c>
      <c r="D1443" s="2">
        <v>45644</v>
      </c>
      <c r="E1443" t="s">
        <v>21</v>
      </c>
      <c r="F1443" t="s">
        <v>22</v>
      </c>
      <c r="G1443" t="s">
        <v>28</v>
      </c>
      <c r="H1443" t="s">
        <v>29</v>
      </c>
      <c r="I1443" t="s">
        <v>36</v>
      </c>
      <c r="J1443" t="s">
        <v>39</v>
      </c>
      <c r="K1443" t="s">
        <v>47</v>
      </c>
      <c r="L1443" t="s">
        <v>52</v>
      </c>
      <c r="M1443">
        <v>37832</v>
      </c>
      <c r="N1443">
        <v>0.11</v>
      </c>
      <c r="O1443">
        <v>5577</v>
      </c>
      <c r="P1443">
        <v>23</v>
      </c>
      <c r="Q1443" t="s">
        <v>56</v>
      </c>
      <c r="R1443" t="s">
        <v>59</v>
      </c>
    </row>
    <row r="1444" spans="1:18">
      <c r="A1444">
        <v>11443</v>
      </c>
      <c r="B1444" s="2">
        <v>45639</v>
      </c>
      <c r="C1444" s="2">
        <v>45641</v>
      </c>
      <c r="D1444" s="2">
        <v>45645</v>
      </c>
      <c r="E1444" t="s">
        <v>21</v>
      </c>
      <c r="F1444" t="s">
        <v>22</v>
      </c>
      <c r="G1444" t="s">
        <v>24</v>
      </c>
      <c r="H1444" t="s">
        <v>33</v>
      </c>
      <c r="I1444" t="s">
        <v>35</v>
      </c>
      <c r="J1444" t="s">
        <v>37</v>
      </c>
      <c r="K1444" t="s">
        <v>46</v>
      </c>
      <c r="L1444" t="s">
        <v>53</v>
      </c>
      <c r="M1444">
        <v>40748</v>
      </c>
      <c r="N1444">
        <v>0.09</v>
      </c>
      <c r="O1444">
        <v>14585</v>
      </c>
      <c r="P1444">
        <v>10</v>
      </c>
      <c r="Q1444" t="s">
        <v>56</v>
      </c>
      <c r="R1444" t="s">
        <v>60</v>
      </c>
    </row>
    <row r="1445" spans="1:18">
      <c r="A1445">
        <v>11444</v>
      </c>
      <c r="B1445" s="2">
        <v>45640</v>
      </c>
      <c r="C1445" s="2">
        <v>45642</v>
      </c>
      <c r="D1445" s="2">
        <v>45646</v>
      </c>
      <c r="E1445" t="s">
        <v>19</v>
      </c>
      <c r="F1445" t="s">
        <v>22</v>
      </c>
      <c r="G1445" t="s">
        <v>24</v>
      </c>
      <c r="H1445" t="s">
        <v>32</v>
      </c>
      <c r="I1445" t="s">
        <v>34</v>
      </c>
      <c r="J1445" t="s">
        <v>41</v>
      </c>
      <c r="K1445" t="s">
        <v>49</v>
      </c>
      <c r="L1445" t="s">
        <v>53</v>
      </c>
      <c r="M1445">
        <v>20087</v>
      </c>
      <c r="N1445">
        <v>0.19</v>
      </c>
      <c r="O1445">
        <v>-865</v>
      </c>
      <c r="P1445">
        <v>6</v>
      </c>
      <c r="Q1445" t="s">
        <v>57</v>
      </c>
      <c r="R1445" t="s">
        <v>62</v>
      </c>
    </row>
    <row r="1446" spans="1:18">
      <c r="A1446">
        <v>11445</v>
      </c>
      <c r="B1446" s="2">
        <v>45641</v>
      </c>
      <c r="C1446" s="2">
        <v>45643</v>
      </c>
      <c r="D1446" s="2">
        <v>45647</v>
      </c>
      <c r="E1446" t="s">
        <v>19</v>
      </c>
      <c r="F1446" t="s">
        <v>22</v>
      </c>
      <c r="G1446" t="s">
        <v>27</v>
      </c>
      <c r="H1446" t="s">
        <v>33</v>
      </c>
      <c r="I1446" t="s">
        <v>35</v>
      </c>
      <c r="J1446" t="s">
        <v>43</v>
      </c>
      <c r="K1446" t="s">
        <v>47</v>
      </c>
      <c r="L1446" t="s">
        <v>51</v>
      </c>
      <c r="M1446">
        <v>67110</v>
      </c>
      <c r="N1446">
        <v>0.36</v>
      </c>
      <c r="O1446">
        <v>12717</v>
      </c>
      <c r="P1446">
        <v>2</v>
      </c>
      <c r="Q1446" t="s">
        <v>54</v>
      </c>
      <c r="R1446" t="s">
        <v>60</v>
      </c>
    </row>
    <row r="1447" spans="1:18">
      <c r="A1447">
        <v>11446</v>
      </c>
      <c r="B1447" s="2">
        <v>45642</v>
      </c>
      <c r="C1447" s="2">
        <v>45644</v>
      </c>
      <c r="D1447" s="2">
        <v>45648</v>
      </c>
      <c r="E1447" t="s">
        <v>18</v>
      </c>
      <c r="F1447" t="s">
        <v>22</v>
      </c>
      <c r="G1447" t="s">
        <v>23</v>
      </c>
      <c r="H1447" t="s">
        <v>32</v>
      </c>
      <c r="I1447" t="s">
        <v>35</v>
      </c>
      <c r="J1447" t="s">
        <v>41</v>
      </c>
      <c r="K1447" t="s">
        <v>44</v>
      </c>
      <c r="L1447" t="s">
        <v>53</v>
      </c>
      <c r="M1447">
        <v>11895</v>
      </c>
      <c r="N1447">
        <v>0.17</v>
      </c>
      <c r="O1447">
        <v>1365</v>
      </c>
      <c r="P1447">
        <v>3</v>
      </c>
      <c r="Q1447" t="s">
        <v>57</v>
      </c>
      <c r="R1447" t="s">
        <v>62</v>
      </c>
    </row>
    <row r="1448" spans="1:18">
      <c r="A1448">
        <v>11447</v>
      </c>
      <c r="B1448" s="2">
        <v>45643</v>
      </c>
      <c r="C1448" s="2">
        <v>45645</v>
      </c>
      <c r="D1448" s="2">
        <v>45649</v>
      </c>
      <c r="E1448" t="s">
        <v>21</v>
      </c>
      <c r="F1448" t="s">
        <v>22</v>
      </c>
      <c r="G1448" t="s">
        <v>27</v>
      </c>
      <c r="H1448" t="s">
        <v>30</v>
      </c>
      <c r="I1448" t="s">
        <v>34</v>
      </c>
      <c r="J1448" t="s">
        <v>41</v>
      </c>
      <c r="K1448" t="s">
        <v>48</v>
      </c>
      <c r="L1448" t="s">
        <v>53</v>
      </c>
      <c r="M1448">
        <v>6677</v>
      </c>
      <c r="N1448">
        <v>0.11</v>
      </c>
      <c r="O1448">
        <v>5646</v>
      </c>
      <c r="P1448">
        <v>9</v>
      </c>
      <c r="Q1448" t="s">
        <v>54</v>
      </c>
      <c r="R1448" t="s">
        <v>62</v>
      </c>
    </row>
    <row r="1449" spans="1:18">
      <c r="A1449">
        <v>11448</v>
      </c>
      <c r="B1449" s="2">
        <v>45644</v>
      </c>
      <c r="C1449" s="2">
        <v>45646</v>
      </c>
      <c r="D1449" s="2">
        <v>45650</v>
      </c>
      <c r="E1449" t="s">
        <v>18</v>
      </c>
      <c r="F1449" t="s">
        <v>22</v>
      </c>
      <c r="G1449" t="s">
        <v>28</v>
      </c>
      <c r="H1449" t="s">
        <v>29</v>
      </c>
      <c r="I1449" t="s">
        <v>36</v>
      </c>
      <c r="J1449" t="s">
        <v>37</v>
      </c>
      <c r="K1449" t="s">
        <v>44</v>
      </c>
      <c r="L1449" t="s">
        <v>53</v>
      </c>
      <c r="M1449">
        <v>12581</v>
      </c>
      <c r="N1449">
        <v>0.14000000000000001</v>
      </c>
      <c r="O1449">
        <v>19488</v>
      </c>
      <c r="P1449">
        <v>7</v>
      </c>
      <c r="Q1449" t="s">
        <v>57</v>
      </c>
      <c r="R1449" t="s">
        <v>61</v>
      </c>
    </row>
    <row r="1450" spans="1:18">
      <c r="A1450">
        <v>11449</v>
      </c>
      <c r="B1450" s="2">
        <v>45645</v>
      </c>
      <c r="C1450" s="2">
        <v>45647</v>
      </c>
      <c r="D1450" s="2">
        <v>45651</v>
      </c>
      <c r="E1450" t="s">
        <v>19</v>
      </c>
      <c r="F1450" t="s">
        <v>22</v>
      </c>
      <c r="G1450" t="s">
        <v>27</v>
      </c>
      <c r="H1450" t="s">
        <v>31</v>
      </c>
      <c r="I1450" t="s">
        <v>35</v>
      </c>
      <c r="J1450" t="s">
        <v>40</v>
      </c>
      <c r="K1450" t="s">
        <v>48</v>
      </c>
      <c r="L1450" t="s">
        <v>53</v>
      </c>
      <c r="M1450">
        <v>32632</v>
      </c>
      <c r="N1450">
        <v>0.4</v>
      </c>
      <c r="O1450">
        <v>5624</v>
      </c>
      <c r="P1450">
        <v>20</v>
      </c>
      <c r="Q1450" t="s">
        <v>55</v>
      </c>
      <c r="R1450" t="s">
        <v>59</v>
      </c>
    </row>
    <row r="1451" spans="1:18">
      <c r="A1451">
        <v>11450</v>
      </c>
      <c r="B1451" s="2">
        <v>45646</v>
      </c>
      <c r="C1451" s="2">
        <v>45648</v>
      </c>
      <c r="D1451" s="2">
        <v>45652</v>
      </c>
      <c r="E1451" t="s">
        <v>21</v>
      </c>
      <c r="F1451" t="s">
        <v>22</v>
      </c>
      <c r="G1451" t="s">
        <v>24</v>
      </c>
      <c r="H1451" t="s">
        <v>33</v>
      </c>
      <c r="I1451" t="s">
        <v>35</v>
      </c>
      <c r="J1451" t="s">
        <v>42</v>
      </c>
      <c r="K1451" t="s">
        <v>45</v>
      </c>
      <c r="L1451" t="s">
        <v>53</v>
      </c>
      <c r="M1451">
        <v>66919</v>
      </c>
      <c r="N1451">
        <v>0.16</v>
      </c>
      <c r="O1451">
        <v>9049</v>
      </c>
      <c r="P1451">
        <v>7</v>
      </c>
      <c r="Q1451" t="s">
        <v>54</v>
      </c>
      <c r="R1451" t="s">
        <v>62</v>
      </c>
    </row>
    <row r="1452" spans="1:18">
      <c r="A1452">
        <v>11451</v>
      </c>
      <c r="B1452" s="2">
        <v>45647</v>
      </c>
      <c r="C1452" s="2">
        <v>45649</v>
      </c>
      <c r="D1452" s="2">
        <v>45653</v>
      </c>
      <c r="E1452" t="s">
        <v>18</v>
      </c>
      <c r="F1452" t="s">
        <v>22</v>
      </c>
      <c r="G1452" t="s">
        <v>25</v>
      </c>
      <c r="H1452" t="s">
        <v>25</v>
      </c>
      <c r="I1452" t="s">
        <v>34</v>
      </c>
      <c r="J1452" t="s">
        <v>41</v>
      </c>
      <c r="K1452" t="s">
        <v>45</v>
      </c>
      <c r="L1452" t="s">
        <v>51</v>
      </c>
      <c r="M1452">
        <v>28013</v>
      </c>
      <c r="N1452">
        <v>0.22</v>
      </c>
      <c r="O1452">
        <v>7727</v>
      </c>
      <c r="P1452">
        <v>19</v>
      </c>
      <c r="Q1452" t="s">
        <v>54</v>
      </c>
      <c r="R1452" t="s">
        <v>61</v>
      </c>
    </row>
    <row r="1453" spans="1:18">
      <c r="A1453">
        <v>11452</v>
      </c>
      <c r="B1453" s="2">
        <v>45648</v>
      </c>
      <c r="C1453" s="2">
        <v>45650</v>
      </c>
      <c r="D1453" s="2">
        <v>45654</v>
      </c>
      <c r="E1453" t="s">
        <v>18</v>
      </c>
      <c r="F1453" t="s">
        <v>22</v>
      </c>
      <c r="G1453" t="s">
        <v>24</v>
      </c>
      <c r="H1453" t="s">
        <v>31</v>
      </c>
      <c r="I1453" t="s">
        <v>34</v>
      </c>
      <c r="J1453" t="s">
        <v>43</v>
      </c>
      <c r="K1453" t="s">
        <v>48</v>
      </c>
      <c r="L1453" t="s">
        <v>52</v>
      </c>
      <c r="M1453">
        <v>29811</v>
      </c>
      <c r="N1453">
        <v>0.35</v>
      </c>
      <c r="O1453">
        <v>6479</v>
      </c>
      <c r="P1453">
        <v>6</v>
      </c>
      <c r="Q1453" t="s">
        <v>54</v>
      </c>
      <c r="R1453" t="s">
        <v>62</v>
      </c>
    </row>
    <row r="1454" spans="1:18">
      <c r="A1454">
        <v>11453</v>
      </c>
      <c r="B1454" s="2">
        <v>45649</v>
      </c>
      <c r="C1454" s="2">
        <v>45651</v>
      </c>
      <c r="D1454" s="2">
        <v>45655</v>
      </c>
      <c r="E1454" t="s">
        <v>18</v>
      </c>
      <c r="F1454" t="s">
        <v>22</v>
      </c>
      <c r="G1454" t="s">
        <v>24</v>
      </c>
      <c r="H1454" t="s">
        <v>30</v>
      </c>
      <c r="I1454" t="s">
        <v>36</v>
      </c>
      <c r="J1454" t="s">
        <v>42</v>
      </c>
      <c r="K1454" t="s">
        <v>50</v>
      </c>
      <c r="L1454" t="s">
        <v>52</v>
      </c>
      <c r="M1454">
        <v>1446</v>
      </c>
      <c r="N1454">
        <v>0.33</v>
      </c>
      <c r="O1454">
        <v>-295</v>
      </c>
      <c r="P1454">
        <v>6</v>
      </c>
      <c r="Q1454" t="s">
        <v>58</v>
      </c>
      <c r="R1454" t="s">
        <v>61</v>
      </c>
    </row>
    <row r="1455" spans="1:18">
      <c r="A1455">
        <v>11454</v>
      </c>
      <c r="B1455" s="2">
        <v>45650</v>
      </c>
      <c r="C1455" s="2">
        <v>45652</v>
      </c>
      <c r="D1455" s="2">
        <v>45656</v>
      </c>
      <c r="E1455" t="s">
        <v>21</v>
      </c>
      <c r="F1455" t="s">
        <v>22</v>
      </c>
      <c r="G1455" t="s">
        <v>26</v>
      </c>
      <c r="H1455" t="s">
        <v>30</v>
      </c>
      <c r="I1455" t="s">
        <v>34</v>
      </c>
      <c r="J1455" t="s">
        <v>37</v>
      </c>
      <c r="K1455" t="s">
        <v>46</v>
      </c>
      <c r="L1455" t="s">
        <v>52</v>
      </c>
      <c r="M1455">
        <v>35963</v>
      </c>
      <c r="N1455">
        <v>0.27</v>
      </c>
      <c r="O1455">
        <v>12996</v>
      </c>
      <c r="P1455">
        <v>6</v>
      </c>
      <c r="Q1455" t="s">
        <v>55</v>
      </c>
      <c r="R1455" t="s">
        <v>61</v>
      </c>
    </row>
    <row r="1456" spans="1:18">
      <c r="A1456">
        <v>11455</v>
      </c>
      <c r="B1456" s="2">
        <v>45651</v>
      </c>
      <c r="C1456" s="2">
        <v>45653</v>
      </c>
      <c r="D1456" s="2">
        <v>45657</v>
      </c>
      <c r="E1456" t="s">
        <v>19</v>
      </c>
      <c r="F1456" t="s">
        <v>22</v>
      </c>
      <c r="G1456" t="s">
        <v>28</v>
      </c>
      <c r="H1456" t="s">
        <v>29</v>
      </c>
      <c r="I1456" t="s">
        <v>35</v>
      </c>
      <c r="J1456" t="s">
        <v>40</v>
      </c>
      <c r="K1456" t="s">
        <v>44</v>
      </c>
      <c r="L1456" t="s">
        <v>53</v>
      </c>
      <c r="M1456">
        <v>53067</v>
      </c>
      <c r="N1456">
        <v>0.09</v>
      </c>
      <c r="O1456">
        <v>606</v>
      </c>
      <c r="P1456">
        <v>17</v>
      </c>
      <c r="Q1456" t="s">
        <v>58</v>
      </c>
      <c r="R1456" t="s">
        <v>62</v>
      </c>
    </row>
    <row r="1457" spans="1:18">
      <c r="A1457">
        <v>11456</v>
      </c>
      <c r="B1457" s="2">
        <v>45652</v>
      </c>
      <c r="C1457" s="2">
        <v>45654</v>
      </c>
      <c r="D1457" s="2">
        <v>45658</v>
      </c>
      <c r="E1457" t="s">
        <v>18</v>
      </c>
      <c r="F1457" t="s">
        <v>22</v>
      </c>
      <c r="G1457" t="s">
        <v>25</v>
      </c>
      <c r="H1457" t="s">
        <v>30</v>
      </c>
      <c r="I1457" t="s">
        <v>34</v>
      </c>
      <c r="J1457" t="s">
        <v>37</v>
      </c>
      <c r="K1457" t="s">
        <v>44</v>
      </c>
      <c r="L1457" t="s">
        <v>51</v>
      </c>
      <c r="M1457">
        <v>64042</v>
      </c>
      <c r="N1457">
        <v>0.08</v>
      </c>
      <c r="O1457">
        <v>5073</v>
      </c>
      <c r="P1457">
        <v>15</v>
      </c>
      <c r="Q1457" t="s">
        <v>56</v>
      </c>
      <c r="R1457" t="s">
        <v>60</v>
      </c>
    </row>
    <row r="1458" spans="1:18">
      <c r="A1458">
        <v>11457</v>
      </c>
      <c r="B1458" s="2">
        <v>45653</v>
      </c>
      <c r="C1458" s="2">
        <v>45655</v>
      </c>
      <c r="D1458" s="2">
        <v>45659</v>
      </c>
      <c r="E1458" t="s">
        <v>19</v>
      </c>
      <c r="F1458" t="s">
        <v>22</v>
      </c>
      <c r="G1458" t="s">
        <v>23</v>
      </c>
      <c r="H1458" t="s">
        <v>25</v>
      </c>
      <c r="I1458" t="s">
        <v>34</v>
      </c>
      <c r="J1458" t="s">
        <v>39</v>
      </c>
      <c r="K1458" t="s">
        <v>45</v>
      </c>
      <c r="L1458" t="s">
        <v>51</v>
      </c>
      <c r="M1458">
        <v>25860</v>
      </c>
      <c r="N1458">
        <v>0.17</v>
      </c>
      <c r="O1458">
        <v>2739</v>
      </c>
      <c r="P1458">
        <v>9</v>
      </c>
      <c r="Q1458" t="s">
        <v>55</v>
      </c>
      <c r="R1458" t="s">
        <v>62</v>
      </c>
    </row>
    <row r="1459" spans="1:18">
      <c r="A1459">
        <v>11458</v>
      </c>
      <c r="B1459" s="2">
        <v>45654</v>
      </c>
      <c r="C1459" s="2">
        <v>45656</v>
      </c>
      <c r="D1459" s="2">
        <v>45660</v>
      </c>
      <c r="E1459" t="s">
        <v>20</v>
      </c>
      <c r="F1459" t="s">
        <v>22</v>
      </c>
      <c r="G1459" t="s">
        <v>25</v>
      </c>
      <c r="H1459" t="s">
        <v>32</v>
      </c>
      <c r="I1459" t="s">
        <v>34</v>
      </c>
      <c r="J1459" t="s">
        <v>41</v>
      </c>
      <c r="K1459" t="s">
        <v>50</v>
      </c>
      <c r="L1459" t="s">
        <v>53</v>
      </c>
      <c r="M1459">
        <v>42354</v>
      </c>
      <c r="N1459">
        <v>0.1</v>
      </c>
      <c r="O1459">
        <v>15917</v>
      </c>
      <c r="P1459">
        <v>7</v>
      </c>
      <c r="Q1459" t="s">
        <v>57</v>
      </c>
      <c r="R1459" t="s">
        <v>62</v>
      </c>
    </row>
    <row r="1460" spans="1:18">
      <c r="A1460">
        <v>11459</v>
      </c>
      <c r="B1460" s="2">
        <v>45655</v>
      </c>
      <c r="C1460" s="2">
        <v>45657</v>
      </c>
      <c r="D1460" s="2">
        <v>45661</v>
      </c>
      <c r="E1460" t="s">
        <v>21</v>
      </c>
      <c r="F1460" t="s">
        <v>22</v>
      </c>
      <c r="G1460" t="s">
        <v>28</v>
      </c>
      <c r="H1460" t="s">
        <v>30</v>
      </c>
      <c r="I1460" t="s">
        <v>35</v>
      </c>
      <c r="J1460" t="s">
        <v>37</v>
      </c>
      <c r="K1460" t="s">
        <v>45</v>
      </c>
      <c r="L1460" t="s">
        <v>53</v>
      </c>
      <c r="M1460">
        <v>23293</v>
      </c>
      <c r="N1460">
        <v>0.31</v>
      </c>
      <c r="O1460">
        <v>3851</v>
      </c>
      <c r="P1460">
        <v>3</v>
      </c>
      <c r="Q1460" t="s">
        <v>57</v>
      </c>
      <c r="R1460" t="s">
        <v>62</v>
      </c>
    </row>
    <row r="1461" spans="1:18">
      <c r="A1461">
        <v>11460</v>
      </c>
      <c r="B1461" s="2">
        <v>45656</v>
      </c>
      <c r="C1461" s="2">
        <v>45658</v>
      </c>
      <c r="D1461" s="2">
        <v>45662</v>
      </c>
      <c r="E1461" t="s">
        <v>21</v>
      </c>
      <c r="F1461" t="s">
        <v>22</v>
      </c>
      <c r="G1461" t="s">
        <v>24</v>
      </c>
      <c r="H1461" t="s">
        <v>29</v>
      </c>
      <c r="I1461" t="s">
        <v>34</v>
      </c>
      <c r="J1461" t="s">
        <v>39</v>
      </c>
      <c r="K1461" t="s">
        <v>45</v>
      </c>
      <c r="L1461" t="s">
        <v>51</v>
      </c>
      <c r="M1461">
        <v>60771</v>
      </c>
      <c r="N1461">
        <v>0.05</v>
      </c>
      <c r="O1461">
        <v>8959</v>
      </c>
      <c r="P1461">
        <v>8</v>
      </c>
      <c r="Q1461" t="s">
        <v>55</v>
      </c>
      <c r="R1461" t="s">
        <v>59</v>
      </c>
    </row>
    <row r="1462" spans="1:18">
      <c r="A1462">
        <v>11461</v>
      </c>
      <c r="B1462" s="2">
        <v>45657</v>
      </c>
      <c r="C1462" s="2">
        <v>45659</v>
      </c>
      <c r="D1462" s="2">
        <v>45663</v>
      </c>
      <c r="E1462" t="s">
        <v>19</v>
      </c>
      <c r="F1462" t="s">
        <v>22</v>
      </c>
      <c r="G1462" t="s">
        <v>25</v>
      </c>
      <c r="H1462" t="s">
        <v>25</v>
      </c>
      <c r="I1462" t="s">
        <v>34</v>
      </c>
      <c r="J1462" t="s">
        <v>41</v>
      </c>
      <c r="K1462" t="s">
        <v>45</v>
      </c>
      <c r="L1462" t="s">
        <v>53</v>
      </c>
      <c r="M1462">
        <v>72683</v>
      </c>
      <c r="N1462">
        <v>0.33</v>
      </c>
      <c r="O1462">
        <v>6933</v>
      </c>
      <c r="P1462">
        <v>9</v>
      </c>
      <c r="Q1462" t="s">
        <v>58</v>
      </c>
      <c r="R1462" t="s">
        <v>62</v>
      </c>
    </row>
    <row r="1463" spans="1:18">
      <c r="A1463">
        <v>11462</v>
      </c>
      <c r="B1463" s="2">
        <v>45658</v>
      </c>
      <c r="C1463" s="2">
        <v>45660</v>
      </c>
      <c r="D1463" s="2">
        <v>45664</v>
      </c>
      <c r="E1463" t="s">
        <v>20</v>
      </c>
      <c r="F1463" t="s">
        <v>22</v>
      </c>
      <c r="G1463" t="s">
        <v>28</v>
      </c>
      <c r="H1463" t="s">
        <v>31</v>
      </c>
      <c r="I1463" t="s">
        <v>36</v>
      </c>
      <c r="J1463" t="s">
        <v>42</v>
      </c>
      <c r="K1463" t="s">
        <v>49</v>
      </c>
      <c r="L1463" t="s">
        <v>52</v>
      </c>
      <c r="M1463">
        <v>27329</v>
      </c>
      <c r="N1463">
        <v>0.22</v>
      </c>
      <c r="O1463">
        <v>13700</v>
      </c>
      <c r="P1463">
        <v>14</v>
      </c>
      <c r="Q1463" t="s">
        <v>58</v>
      </c>
      <c r="R1463" t="s">
        <v>59</v>
      </c>
    </row>
    <row r="1464" spans="1:18">
      <c r="A1464">
        <v>11463</v>
      </c>
      <c r="B1464" s="2">
        <v>45659</v>
      </c>
      <c r="C1464" s="2">
        <v>45661</v>
      </c>
      <c r="D1464" s="2">
        <v>45665</v>
      </c>
      <c r="E1464" t="s">
        <v>19</v>
      </c>
      <c r="F1464" t="s">
        <v>22</v>
      </c>
      <c r="G1464" t="s">
        <v>27</v>
      </c>
      <c r="H1464" t="s">
        <v>32</v>
      </c>
      <c r="I1464" t="s">
        <v>36</v>
      </c>
      <c r="J1464" t="s">
        <v>38</v>
      </c>
      <c r="K1464" t="s">
        <v>49</v>
      </c>
      <c r="L1464" t="s">
        <v>51</v>
      </c>
      <c r="M1464">
        <v>61855</v>
      </c>
      <c r="N1464">
        <v>0.15</v>
      </c>
      <c r="O1464">
        <v>1010</v>
      </c>
      <c r="P1464">
        <v>21</v>
      </c>
      <c r="Q1464" t="s">
        <v>57</v>
      </c>
      <c r="R1464" t="s">
        <v>61</v>
      </c>
    </row>
    <row r="1465" spans="1:18">
      <c r="A1465">
        <v>11464</v>
      </c>
      <c r="B1465" s="2">
        <v>45660</v>
      </c>
      <c r="C1465" s="2">
        <v>45662</v>
      </c>
      <c r="D1465" s="2">
        <v>45666</v>
      </c>
      <c r="E1465" t="s">
        <v>21</v>
      </c>
      <c r="F1465" t="s">
        <v>22</v>
      </c>
      <c r="G1465" t="s">
        <v>23</v>
      </c>
      <c r="H1465" t="s">
        <v>30</v>
      </c>
      <c r="I1465" t="s">
        <v>36</v>
      </c>
      <c r="J1465" t="s">
        <v>39</v>
      </c>
      <c r="K1465" t="s">
        <v>46</v>
      </c>
      <c r="L1465" t="s">
        <v>53</v>
      </c>
      <c r="M1465">
        <v>15033</v>
      </c>
      <c r="N1465">
        <v>0.08</v>
      </c>
      <c r="O1465">
        <v>401</v>
      </c>
      <c r="P1465">
        <v>7</v>
      </c>
      <c r="Q1465" t="s">
        <v>56</v>
      </c>
      <c r="R1465" t="s">
        <v>61</v>
      </c>
    </row>
    <row r="1466" spans="1:18">
      <c r="A1466">
        <v>11465</v>
      </c>
      <c r="B1466" s="2">
        <v>45661</v>
      </c>
      <c r="C1466" s="2">
        <v>45663</v>
      </c>
      <c r="D1466" s="2">
        <v>45667</v>
      </c>
      <c r="E1466" t="s">
        <v>18</v>
      </c>
      <c r="F1466" t="s">
        <v>22</v>
      </c>
      <c r="G1466" t="s">
        <v>26</v>
      </c>
      <c r="H1466" t="s">
        <v>33</v>
      </c>
      <c r="I1466" t="s">
        <v>35</v>
      </c>
      <c r="J1466" t="s">
        <v>40</v>
      </c>
      <c r="K1466" t="s">
        <v>46</v>
      </c>
      <c r="L1466" t="s">
        <v>51</v>
      </c>
      <c r="M1466">
        <v>35277</v>
      </c>
      <c r="N1466">
        <v>0.01</v>
      </c>
      <c r="O1466">
        <v>4920</v>
      </c>
      <c r="P1466">
        <v>22</v>
      </c>
      <c r="Q1466" t="s">
        <v>58</v>
      </c>
      <c r="R1466" t="s">
        <v>60</v>
      </c>
    </row>
    <row r="1467" spans="1:18">
      <c r="A1467">
        <v>11466</v>
      </c>
      <c r="B1467" s="2">
        <v>45662</v>
      </c>
      <c r="C1467" s="2">
        <v>45664</v>
      </c>
      <c r="D1467" s="2">
        <v>45668</v>
      </c>
      <c r="E1467" t="s">
        <v>18</v>
      </c>
      <c r="F1467" t="s">
        <v>22</v>
      </c>
      <c r="G1467" t="s">
        <v>27</v>
      </c>
      <c r="H1467" t="s">
        <v>30</v>
      </c>
      <c r="I1467" t="s">
        <v>36</v>
      </c>
      <c r="J1467" t="s">
        <v>37</v>
      </c>
      <c r="K1467" t="s">
        <v>50</v>
      </c>
      <c r="L1467" t="s">
        <v>51</v>
      </c>
      <c r="M1467">
        <v>6791</v>
      </c>
      <c r="N1467">
        <v>0.18</v>
      </c>
      <c r="O1467">
        <v>7280</v>
      </c>
      <c r="P1467">
        <v>6</v>
      </c>
      <c r="Q1467" t="s">
        <v>58</v>
      </c>
      <c r="R1467" t="s">
        <v>59</v>
      </c>
    </row>
    <row r="1468" spans="1:18">
      <c r="A1468">
        <v>11467</v>
      </c>
      <c r="B1468" s="2">
        <v>45663</v>
      </c>
      <c r="C1468" s="2">
        <v>45665</v>
      </c>
      <c r="D1468" s="2">
        <v>45669</v>
      </c>
      <c r="E1468" t="s">
        <v>20</v>
      </c>
      <c r="F1468" t="s">
        <v>22</v>
      </c>
      <c r="G1468" t="s">
        <v>25</v>
      </c>
      <c r="H1468" t="s">
        <v>31</v>
      </c>
      <c r="I1468" t="s">
        <v>35</v>
      </c>
      <c r="J1468" t="s">
        <v>38</v>
      </c>
      <c r="K1468" t="s">
        <v>48</v>
      </c>
      <c r="L1468" t="s">
        <v>53</v>
      </c>
      <c r="M1468">
        <v>38308</v>
      </c>
      <c r="N1468">
        <v>0.19</v>
      </c>
      <c r="O1468">
        <v>16331</v>
      </c>
      <c r="P1468">
        <v>13</v>
      </c>
      <c r="Q1468" t="s">
        <v>54</v>
      </c>
      <c r="R1468" t="s">
        <v>62</v>
      </c>
    </row>
    <row r="1469" spans="1:18">
      <c r="A1469">
        <v>11468</v>
      </c>
      <c r="B1469" s="2">
        <v>45664</v>
      </c>
      <c r="C1469" s="2">
        <v>45666</v>
      </c>
      <c r="D1469" s="2">
        <v>45670</v>
      </c>
      <c r="E1469" t="s">
        <v>21</v>
      </c>
      <c r="F1469" t="s">
        <v>22</v>
      </c>
      <c r="G1469" t="s">
        <v>25</v>
      </c>
      <c r="H1469" t="s">
        <v>30</v>
      </c>
      <c r="I1469" t="s">
        <v>35</v>
      </c>
      <c r="J1469" t="s">
        <v>40</v>
      </c>
      <c r="K1469" t="s">
        <v>47</v>
      </c>
      <c r="L1469" t="s">
        <v>53</v>
      </c>
      <c r="M1469">
        <v>68381</v>
      </c>
      <c r="N1469">
        <v>0.01</v>
      </c>
      <c r="O1469">
        <v>16641</v>
      </c>
      <c r="P1469">
        <v>14</v>
      </c>
      <c r="Q1469" t="s">
        <v>56</v>
      </c>
      <c r="R1469" t="s">
        <v>62</v>
      </c>
    </row>
    <row r="1470" spans="1:18">
      <c r="A1470">
        <v>11469</v>
      </c>
      <c r="B1470" s="2">
        <v>45665</v>
      </c>
      <c r="C1470" s="2">
        <v>45667</v>
      </c>
      <c r="D1470" s="2">
        <v>45671</v>
      </c>
      <c r="E1470" t="s">
        <v>19</v>
      </c>
      <c r="F1470" t="s">
        <v>22</v>
      </c>
      <c r="G1470" t="s">
        <v>28</v>
      </c>
      <c r="H1470" t="s">
        <v>29</v>
      </c>
      <c r="I1470" t="s">
        <v>36</v>
      </c>
      <c r="J1470" t="s">
        <v>43</v>
      </c>
      <c r="K1470" t="s">
        <v>49</v>
      </c>
      <c r="L1470" t="s">
        <v>53</v>
      </c>
      <c r="M1470">
        <v>54039</v>
      </c>
      <c r="N1470">
        <v>0.33</v>
      </c>
      <c r="O1470">
        <v>9405</v>
      </c>
      <c r="P1470">
        <v>2</v>
      </c>
      <c r="Q1470" t="s">
        <v>55</v>
      </c>
      <c r="R1470" t="s">
        <v>61</v>
      </c>
    </row>
    <row r="1471" spans="1:18">
      <c r="A1471">
        <v>11470</v>
      </c>
      <c r="B1471" s="2">
        <v>45666</v>
      </c>
      <c r="C1471" s="2">
        <v>45668</v>
      </c>
      <c r="D1471" s="2">
        <v>45672</v>
      </c>
      <c r="E1471" t="s">
        <v>19</v>
      </c>
      <c r="F1471" t="s">
        <v>22</v>
      </c>
      <c r="G1471" t="s">
        <v>24</v>
      </c>
      <c r="H1471" t="s">
        <v>31</v>
      </c>
      <c r="I1471" t="s">
        <v>36</v>
      </c>
      <c r="J1471" t="s">
        <v>37</v>
      </c>
      <c r="K1471" t="s">
        <v>48</v>
      </c>
      <c r="L1471" t="s">
        <v>51</v>
      </c>
      <c r="M1471">
        <v>26896</v>
      </c>
      <c r="N1471">
        <v>0.12</v>
      </c>
      <c r="O1471">
        <v>17472</v>
      </c>
      <c r="P1471">
        <v>4</v>
      </c>
      <c r="Q1471" t="s">
        <v>54</v>
      </c>
      <c r="R1471" t="s">
        <v>61</v>
      </c>
    </row>
    <row r="1472" spans="1:18">
      <c r="A1472">
        <v>11471</v>
      </c>
      <c r="B1472" s="2">
        <v>45667</v>
      </c>
      <c r="C1472" s="2">
        <v>45669</v>
      </c>
      <c r="D1472" s="2">
        <v>45673</v>
      </c>
      <c r="E1472" t="s">
        <v>18</v>
      </c>
      <c r="F1472" t="s">
        <v>22</v>
      </c>
      <c r="G1472" t="s">
        <v>27</v>
      </c>
      <c r="H1472" t="s">
        <v>33</v>
      </c>
      <c r="I1472" t="s">
        <v>36</v>
      </c>
      <c r="J1472" t="s">
        <v>39</v>
      </c>
      <c r="K1472" t="s">
        <v>50</v>
      </c>
      <c r="L1472" t="s">
        <v>51</v>
      </c>
      <c r="M1472">
        <v>66832</v>
      </c>
      <c r="N1472">
        <v>0.36</v>
      </c>
      <c r="O1472">
        <v>17136</v>
      </c>
      <c r="P1472">
        <v>22</v>
      </c>
      <c r="Q1472" t="s">
        <v>58</v>
      </c>
      <c r="R1472" t="s">
        <v>61</v>
      </c>
    </row>
    <row r="1473" spans="1:18">
      <c r="A1473">
        <v>11472</v>
      </c>
      <c r="B1473" s="2">
        <v>45668</v>
      </c>
      <c r="C1473" s="2">
        <v>45670</v>
      </c>
      <c r="D1473" s="2">
        <v>45674</v>
      </c>
      <c r="E1473" t="s">
        <v>21</v>
      </c>
      <c r="F1473" t="s">
        <v>22</v>
      </c>
      <c r="G1473" t="s">
        <v>25</v>
      </c>
      <c r="H1473" t="s">
        <v>32</v>
      </c>
      <c r="I1473" t="s">
        <v>36</v>
      </c>
      <c r="J1473" t="s">
        <v>43</v>
      </c>
      <c r="K1473" t="s">
        <v>50</v>
      </c>
      <c r="L1473" t="s">
        <v>52</v>
      </c>
      <c r="M1473">
        <v>24317</v>
      </c>
      <c r="N1473">
        <v>0.01</v>
      </c>
      <c r="O1473">
        <v>9873</v>
      </c>
      <c r="P1473">
        <v>5</v>
      </c>
      <c r="Q1473" t="s">
        <v>57</v>
      </c>
      <c r="R1473" t="s">
        <v>62</v>
      </c>
    </row>
    <row r="1474" spans="1:18">
      <c r="A1474">
        <v>11473</v>
      </c>
      <c r="B1474" s="2">
        <v>45669</v>
      </c>
      <c r="C1474" s="2">
        <v>45671</v>
      </c>
      <c r="D1474" s="2">
        <v>45675</v>
      </c>
      <c r="E1474" t="s">
        <v>18</v>
      </c>
      <c r="F1474" t="s">
        <v>22</v>
      </c>
      <c r="G1474" t="s">
        <v>28</v>
      </c>
      <c r="H1474" t="s">
        <v>29</v>
      </c>
      <c r="I1474" t="s">
        <v>35</v>
      </c>
      <c r="J1474" t="s">
        <v>38</v>
      </c>
      <c r="K1474" t="s">
        <v>46</v>
      </c>
      <c r="L1474" t="s">
        <v>51</v>
      </c>
      <c r="M1474">
        <v>18668</v>
      </c>
      <c r="N1474">
        <v>0.01</v>
      </c>
      <c r="O1474">
        <v>14609</v>
      </c>
      <c r="P1474">
        <v>17</v>
      </c>
      <c r="Q1474" t="s">
        <v>54</v>
      </c>
      <c r="R1474" t="s">
        <v>60</v>
      </c>
    </row>
    <row r="1475" spans="1:18">
      <c r="A1475">
        <v>11474</v>
      </c>
      <c r="B1475" s="2">
        <v>45670</v>
      </c>
      <c r="C1475" s="2">
        <v>45672</v>
      </c>
      <c r="D1475" s="2">
        <v>45676</v>
      </c>
      <c r="E1475" t="s">
        <v>18</v>
      </c>
      <c r="F1475" t="s">
        <v>22</v>
      </c>
      <c r="G1475" t="s">
        <v>23</v>
      </c>
      <c r="H1475" t="s">
        <v>32</v>
      </c>
      <c r="I1475" t="s">
        <v>35</v>
      </c>
      <c r="J1475" t="s">
        <v>40</v>
      </c>
      <c r="K1475" t="s">
        <v>48</v>
      </c>
      <c r="L1475" t="s">
        <v>53</v>
      </c>
      <c r="M1475">
        <v>26691</v>
      </c>
      <c r="N1475">
        <v>0.24</v>
      </c>
      <c r="O1475">
        <v>4247</v>
      </c>
      <c r="P1475">
        <v>2</v>
      </c>
      <c r="Q1475" t="s">
        <v>55</v>
      </c>
      <c r="R1475" t="s">
        <v>60</v>
      </c>
    </row>
    <row r="1476" spans="1:18">
      <c r="A1476">
        <v>11475</v>
      </c>
      <c r="B1476" s="2">
        <v>45671</v>
      </c>
      <c r="C1476" s="2">
        <v>45673</v>
      </c>
      <c r="D1476" s="2">
        <v>45677</v>
      </c>
      <c r="E1476" t="s">
        <v>19</v>
      </c>
      <c r="F1476" t="s">
        <v>22</v>
      </c>
      <c r="G1476" t="s">
        <v>24</v>
      </c>
      <c r="H1476" t="s">
        <v>29</v>
      </c>
      <c r="I1476" t="s">
        <v>35</v>
      </c>
      <c r="J1476" t="s">
        <v>42</v>
      </c>
      <c r="K1476" t="s">
        <v>47</v>
      </c>
      <c r="L1476" t="s">
        <v>52</v>
      </c>
      <c r="M1476">
        <v>64516</v>
      </c>
      <c r="N1476">
        <v>0.28000000000000003</v>
      </c>
      <c r="O1476">
        <v>8417</v>
      </c>
      <c r="P1476">
        <v>15</v>
      </c>
      <c r="Q1476" t="s">
        <v>55</v>
      </c>
      <c r="R1476" t="s">
        <v>62</v>
      </c>
    </row>
    <row r="1477" spans="1:18">
      <c r="A1477">
        <v>11476</v>
      </c>
      <c r="B1477" s="2">
        <v>45672</v>
      </c>
      <c r="C1477" s="2">
        <v>45674</v>
      </c>
      <c r="D1477" s="2">
        <v>45678</v>
      </c>
      <c r="E1477" t="s">
        <v>18</v>
      </c>
      <c r="F1477" t="s">
        <v>22</v>
      </c>
      <c r="G1477" t="s">
        <v>26</v>
      </c>
      <c r="H1477" t="s">
        <v>32</v>
      </c>
      <c r="I1477" t="s">
        <v>34</v>
      </c>
      <c r="J1477" t="s">
        <v>38</v>
      </c>
      <c r="K1477" t="s">
        <v>45</v>
      </c>
      <c r="L1477" t="s">
        <v>52</v>
      </c>
      <c r="M1477">
        <v>3373</v>
      </c>
      <c r="N1477">
        <v>0.32</v>
      </c>
      <c r="O1477">
        <v>4896</v>
      </c>
      <c r="P1477">
        <v>14</v>
      </c>
      <c r="Q1477" t="s">
        <v>58</v>
      </c>
      <c r="R1477" t="s">
        <v>59</v>
      </c>
    </row>
    <row r="1478" spans="1:18">
      <c r="A1478">
        <v>11477</v>
      </c>
      <c r="B1478" s="2">
        <v>45673</v>
      </c>
      <c r="C1478" s="2">
        <v>45675</v>
      </c>
      <c r="D1478" s="2">
        <v>45679</v>
      </c>
      <c r="E1478" t="s">
        <v>20</v>
      </c>
      <c r="F1478" t="s">
        <v>22</v>
      </c>
      <c r="G1478" t="s">
        <v>25</v>
      </c>
      <c r="H1478" t="s">
        <v>31</v>
      </c>
      <c r="I1478" t="s">
        <v>34</v>
      </c>
      <c r="J1478" t="s">
        <v>40</v>
      </c>
      <c r="K1478" t="s">
        <v>49</v>
      </c>
      <c r="L1478" t="s">
        <v>51</v>
      </c>
      <c r="M1478">
        <v>1743</v>
      </c>
      <c r="N1478">
        <v>0.18</v>
      </c>
      <c r="O1478">
        <v>4705</v>
      </c>
      <c r="P1478">
        <v>21</v>
      </c>
      <c r="Q1478" t="s">
        <v>55</v>
      </c>
      <c r="R1478" t="s">
        <v>61</v>
      </c>
    </row>
    <row r="1479" spans="1:18">
      <c r="A1479">
        <v>11478</v>
      </c>
      <c r="B1479" s="2">
        <v>45674</v>
      </c>
      <c r="C1479" s="2">
        <v>45676</v>
      </c>
      <c r="D1479" s="2">
        <v>45680</v>
      </c>
      <c r="E1479" t="s">
        <v>19</v>
      </c>
      <c r="F1479" t="s">
        <v>22</v>
      </c>
      <c r="G1479" t="s">
        <v>25</v>
      </c>
      <c r="H1479" t="s">
        <v>30</v>
      </c>
      <c r="I1479" t="s">
        <v>35</v>
      </c>
      <c r="J1479" t="s">
        <v>42</v>
      </c>
      <c r="K1479" t="s">
        <v>44</v>
      </c>
      <c r="L1479" t="s">
        <v>53</v>
      </c>
      <c r="M1479">
        <v>70019</v>
      </c>
      <c r="N1479">
        <v>7.0000000000000007E-2</v>
      </c>
      <c r="O1479">
        <v>17913</v>
      </c>
      <c r="P1479">
        <v>20</v>
      </c>
      <c r="Q1479" t="s">
        <v>57</v>
      </c>
      <c r="R1479" t="s">
        <v>59</v>
      </c>
    </row>
    <row r="1480" spans="1:18">
      <c r="A1480">
        <v>11479</v>
      </c>
      <c r="B1480" s="2">
        <v>45675</v>
      </c>
      <c r="C1480" s="2">
        <v>45677</v>
      </c>
      <c r="D1480" s="2">
        <v>45681</v>
      </c>
      <c r="E1480" t="s">
        <v>20</v>
      </c>
      <c r="F1480" t="s">
        <v>22</v>
      </c>
      <c r="G1480" t="s">
        <v>25</v>
      </c>
      <c r="H1480" t="s">
        <v>25</v>
      </c>
      <c r="I1480" t="s">
        <v>34</v>
      </c>
      <c r="J1480" t="s">
        <v>38</v>
      </c>
      <c r="K1480" t="s">
        <v>50</v>
      </c>
      <c r="L1480" t="s">
        <v>53</v>
      </c>
      <c r="M1480">
        <v>17926</v>
      </c>
      <c r="N1480">
        <v>0.24</v>
      </c>
      <c r="O1480">
        <v>14597</v>
      </c>
      <c r="P1480">
        <v>14</v>
      </c>
      <c r="Q1480" t="s">
        <v>58</v>
      </c>
      <c r="R1480" t="s">
        <v>61</v>
      </c>
    </row>
    <row r="1481" spans="1:18">
      <c r="A1481">
        <v>11480</v>
      </c>
      <c r="B1481" s="2">
        <v>45676</v>
      </c>
      <c r="C1481" s="2">
        <v>45678</v>
      </c>
      <c r="D1481" s="2">
        <v>45682</v>
      </c>
      <c r="E1481" t="s">
        <v>19</v>
      </c>
      <c r="F1481" t="s">
        <v>22</v>
      </c>
      <c r="G1481" t="s">
        <v>28</v>
      </c>
      <c r="H1481" t="s">
        <v>29</v>
      </c>
      <c r="I1481" t="s">
        <v>36</v>
      </c>
      <c r="J1481" t="s">
        <v>37</v>
      </c>
      <c r="K1481" t="s">
        <v>50</v>
      </c>
      <c r="L1481" t="s">
        <v>52</v>
      </c>
      <c r="M1481">
        <v>53178</v>
      </c>
      <c r="N1481">
        <v>0.1</v>
      </c>
      <c r="O1481">
        <v>12583</v>
      </c>
      <c r="P1481">
        <v>13</v>
      </c>
      <c r="Q1481" t="s">
        <v>55</v>
      </c>
      <c r="R1481" t="s">
        <v>59</v>
      </c>
    </row>
    <row r="1482" spans="1:18">
      <c r="A1482">
        <v>11481</v>
      </c>
      <c r="B1482" s="2">
        <v>45677</v>
      </c>
      <c r="C1482" s="2">
        <v>45679</v>
      </c>
      <c r="D1482" s="2">
        <v>45683</v>
      </c>
      <c r="E1482" t="s">
        <v>21</v>
      </c>
      <c r="F1482" t="s">
        <v>22</v>
      </c>
      <c r="G1482" t="s">
        <v>27</v>
      </c>
      <c r="H1482" t="s">
        <v>25</v>
      </c>
      <c r="I1482" t="s">
        <v>34</v>
      </c>
      <c r="J1482" t="s">
        <v>41</v>
      </c>
      <c r="K1482" t="s">
        <v>48</v>
      </c>
      <c r="L1482" t="s">
        <v>53</v>
      </c>
      <c r="M1482">
        <v>52866</v>
      </c>
      <c r="N1482">
        <v>0.17</v>
      </c>
      <c r="O1482">
        <v>14033</v>
      </c>
      <c r="P1482">
        <v>24</v>
      </c>
      <c r="Q1482" t="s">
        <v>56</v>
      </c>
      <c r="R1482" t="s">
        <v>62</v>
      </c>
    </row>
    <row r="1483" spans="1:18">
      <c r="A1483">
        <v>11482</v>
      </c>
      <c r="B1483" s="2">
        <v>45678</v>
      </c>
      <c r="C1483" s="2">
        <v>45680</v>
      </c>
      <c r="D1483" s="2">
        <v>45684</v>
      </c>
      <c r="E1483" t="s">
        <v>19</v>
      </c>
      <c r="F1483" t="s">
        <v>22</v>
      </c>
      <c r="G1483" t="s">
        <v>28</v>
      </c>
      <c r="H1483" t="s">
        <v>29</v>
      </c>
      <c r="I1483" t="s">
        <v>36</v>
      </c>
      <c r="J1483" t="s">
        <v>41</v>
      </c>
      <c r="K1483" t="s">
        <v>50</v>
      </c>
      <c r="L1483" t="s">
        <v>53</v>
      </c>
      <c r="M1483">
        <v>859</v>
      </c>
      <c r="N1483">
        <v>0.25</v>
      </c>
      <c r="O1483">
        <v>6346</v>
      </c>
      <c r="P1483">
        <v>16</v>
      </c>
      <c r="Q1483" t="s">
        <v>55</v>
      </c>
      <c r="R1483" t="s">
        <v>60</v>
      </c>
    </row>
    <row r="1484" spans="1:18">
      <c r="A1484">
        <v>11483</v>
      </c>
      <c r="B1484" s="2">
        <v>45679</v>
      </c>
      <c r="C1484" s="2">
        <v>45681</v>
      </c>
      <c r="D1484" s="2">
        <v>45685</v>
      </c>
      <c r="E1484" t="s">
        <v>18</v>
      </c>
      <c r="F1484" t="s">
        <v>22</v>
      </c>
      <c r="G1484" t="s">
        <v>23</v>
      </c>
      <c r="H1484" t="s">
        <v>32</v>
      </c>
      <c r="I1484" t="s">
        <v>34</v>
      </c>
      <c r="J1484" t="s">
        <v>41</v>
      </c>
      <c r="K1484" t="s">
        <v>48</v>
      </c>
      <c r="L1484" t="s">
        <v>51</v>
      </c>
      <c r="M1484">
        <v>52967</v>
      </c>
      <c r="N1484">
        <v>0.2</v>
      </c>
      <c r="O1484">
        <v>11154</v>
      </c>
      <c r="P1484">
        <v>17</v>
      </c>
      <c r="Q1484" t="s">
        <v>54</v>
      </c>
      <c r="R1484" t="s">
        <v>59</v>
      </c>
    </row>
    <row r="1485" spans="1:18">
      <c r="A1485">
        <v>11484</v>
      </c>
      <c r="B1485" s="2">
        <v>45680</v>
      </c>
      <c r="C1485" s="2">
        <v>45682</v>
      </c>
      <c r="D1485" s="2">
        <v>45686</v>
      </c>
      <c r="E1485" t="s">
        <v>20</v>
      </c>
      <c r="F1485" t="s">
        <v>22</v>
      </c>
      <c r="G1485" t="s">
        <v>28</v>
      </c>
      <c r="H1485" t="s">
        <v>31</v>
      </c>
      <c r="I1485" t="s">
        <v>34</v>
      </c>
      <c r="J1485" t="s">
        <v>41</v>
      </c>
      <c r="K1485" t="s">
        <v>46</v>
      </c>
      <c r="L1485" t="s">
        <v>51</v>
      </c>
      <c r="M1485">
        <v>29157</v>
      </c>
      <c r="N1485">
        <v>0.28000000000000003</v>
      </c>
      <c r="O1485">
        <v>9589</v>
      </c>
      <c r="P1485">
        <v>11</v>
      </c>
      <c r="Q1485" t="s">
        <v>58</v>
      </c>
      <c r="R1485" t="s">
        <v>61</v>
      </c>
    </row>
    <row r="1486" spans="1:18">
      <c r="A1486">
        <v>11485</v>
      </c>
      <c r="B1486" s="2">
        <v>45681</v>
      </c>
      <c r="C1486" s="2">
        <v>45683</v>
      </c>
      <c r="D1486" s="2">
        <v>45687</v>
      </c>
      <c r="E1486" t="s">
        <v>20</v>
      </c>
      <c r="F1486" t="s">
        <v>22</v>
      </c>
      <c r="G1486" t="s">
        <v>25</v>
      </c>
      <c r="H1486" t="s">
        <v>25</v>
      </c>
      <c r="I1486" t="s">
        <v>36</v>
      </c>
      <c r="J1486" t="s">
        <v>40</v>
      </c>
      <c r="K1486" t="s">
        <v>48</v>
      </c>
      <c r="L1486" t="s">
        <v>53</v>
      </c>
      <c r="M1486">
        <v>16673</v>
      </c>
      <c r="N1486">
        <v>0.37</v>
      </c>
      <c r="O1486">
        <v>-47</v>
      </c>
      <c r="P1486">
        <v>17</v>
      </c>
      <c r="Q1486" t="s">
        <v>55</v>
      </c>
      <c r="R1486" t="s">
        <v>59</v>
      </c>
    </row>
    <row r="1487" spans="1:18">
      <c r="A1487">
        <v>11486</v>
      </c>
      <c r="B1487" s="2">
        <v>45682</v>
      </c>
      <c r="C1487" s="2">
        <v>45684</v>
      </c>
      <c r="D1487" s="2">
        <v>45688</v>
      </c>
      <c r="E1487" t="s">
        <v>21</v>
      </c>
      <c r="F1487" t="s">
        <v>22</v>
      </c>
      <c r="G1487" t="s">
        <v>28</v>
      </c>
      <c r="H1487" t="s">
        <v>33</v>
      </c>
      <c r="I1487" t="s">
        <v>36</v>
      </c>
      <c r="J1487" t="s">
        <v>43</v>
      </c>
      <c r="K1487" t="s">
        <v>50</v>
      </c>
      <c r="L1487" t="s">
        <v>51</v>
      </c>
      <c r="M1487">
        <v>31089</v>
      </c>
      <c r="N1487">
        <v>0.37</v>
      </c>
      <c r="O1487">
        <v>6</v>
      </c>
      <c r="P1487">
        <v>24</v>
      </c>
      <c r="Q1487" t="s">
        <v>56</v>
      </c>
      <c r="R1487" t="s">
        <v>59</v>
      </c>
    </row>
    <row r="1488" spans="1:18">
      <c r="A1488">
        <v>11487</v>
      </c>
      <c r="B1488" s="2">
        <v>45683</v>
      </c>
      <c r="C1488" s="2">
        <v>45685</v>
      </c>
      <c r="D1488" s="2">
        <v>45689</v>
      </c>
      <c r="E1488" t="s">
        <v>21</v>
      </c>
      <c r="F1488" t="s">
        <v>22</v>
      </c>
      <c r="G1488" t="s">
        <v>28</v>
      </c>
      <c r="H1488" t="s">
        <v>31</v>
      </c>
      <c r="I1488" t="s">
        <v>35</v>
      </c>
      <c r="J1488" t="s">
        <v>37</v>
      </c>
      <c r="K1488" t="s">
        <v>49</v>
      </c>
      <c r="L1488" t="s">
        <v>52</v>
      </c>
      <c r="M1488">
        <v>71854</v>
      </c>
      <c r="N1488">
        <v>0.37</v>
      </c>
      <c r="O1488">
        <v>3522</v>
      </c>
      <c r="P1488">
        <v>19</v>
      </c>
      <c r="Q1488" t="s">
        <v>56</v>
      </c>
      <c r="R1488" t="s">
        <v>60</v>
      </c>
    </row>
    <row r="1489" spans="1:18">
      <c r="A1489">
        <v>11488</v>
      </c>
      <c r="B1489" s="2">
        <v>45684</v>
      </c>
      <c r="C1489" s="2">
        <v>45686</v>
      </c>
      <c r="D1489" s="2">
        <v>45690</v>
      </c>
      <c r="E1489" t="s">
        <v>21</v>
      </c>
      <c r="F1489" t="s">
        <v>22</v>
      </c>
      <c r="G1489" t="s">
        <v>24</v>
      </c>
      <c r="H1489" t="s">
        <v>32</v>
      </c>
      <c r="I1489" t="s">
        <v>34</v>
      </c>
      <c r="J1489" t="s">
        <v>42</v>
      </c>
      <c r="K1489" t="s">
        <v>49</v>
      </c>
      <c r="L1489" t="s">
        <v>51</v>
      </c>
      <c r="M1489">
        <v>54602</v>
      </c>
      <c r="N1489">
        <v>0.12</v>
      </c>
      <c r="O1489">
        <v>5383</v>
      </c>
      <c r="P1489">
        <v>12</v>
      </c>
      <c r="Q1489" t="s">
        <v>58</v>
      </c>
      <c r="R1489" t="s">
        <v>61</v>
      </c>
    </row>
    <row r="1490" spans="1:18">
      <c r="A1490">
        <v>11489</v>
      </c>
      <c r="B1490" s="2">
        <v>45685</v>
      </c>
      <c r="C1490" s="2">
        <v>45687</v>
      </c>
      <c r="D1490" s="2">
        <v>45691</v>
      </c>
      <c r="E1490" t="s">
        <v>19</v>
      </c>
      <c r="F1490" t="s">
        <v>22</v>
      </c>
      <c r="G1490" t="s">
        <v>25</v>
      </c>
      <c r="H1490" t="s">
        <v>31</v>
      </c>
      <c r="I1490" t="s">
        <v>36</v>
      </c>
      <c r="J1490" t="s">
        <v>41</v>
      </c>
      <c r="K1490" t="s">
        <v>50</v>
      </c>
      <c r="L1490" t="s">
        <v>51</v>
      </c>
      <c r="M1490">
        <v>50327</v>
      </c>
      <c r="N1490">
        <v>0.33</v>
      </c>
      <c r="O1490">
        <v>6318</v>
      </c>
      <c r="P1490">
        <v>15</v>
      </c>
      <c r="Q1490" t="s">
        <v>55</v>
      </c>
      <c r="R1490" t="s">
        <v>60</v>
      </c>
    </row>
    <row r="1491" spans="1:18">
      <c r="A1491">
        <v>11490</v>
      </c>
      <c r="B1491" s="2">
        <v>45686</v>
      </c>
      <c r="C1491" s="2">
        <v>45688</v>
      </c>
      <c r="D1491" s="2">
        <v>45692</v>
      </c>
      <c r="E1491" t="s">
        <v>18</v>
      </c>
      <c r="F1491" t="s">
        <v>22</v>
      </c>
      <c r="G1491" t="s">
        <v>23</v>
      </c>
      <c r="H1491" t="s">
        <v>29</v>
      </c>
      <c r="I1491" t="s">
        <v>35</v>
      </c>
      <c r="J1491" t="s">
        <v>42</v>
      </c>
      <c r="K1491" t="s">
        <v>47</v>
      </c>
      <c r="L1491" t="s">
        <v>51</v>
      </c>
      <c r="M1491">
        <v>59403</v>
      </c>
      <c r="N1491">
        <v>0.32</v>
      </c>
      <c r="O1491">
        <v>770</v>
      </c>
      <c r="P1491">
        <v>18</v>
      </c>
      <c r="Q1491" t="s">
        <v>56</v>
      </c>
      <c r="R1491" t="s">
        <v>61</v>
      </c>
    </row>
    <row r="1492" spans="1:18">
      <c r="A1492">
        <v>11491</v>
      </c>
      <c r="B1492" s="2">
        <v>45687</v>
      </c>
      <c r="C1492" s="2">
        <v>45689</v>
      </c>
      <c r="D1492" s="2">
        <v>45693</v>
      </c>
      <c r="E1492" t="s">
        <v>20</v>
      </c>
      <c r="F1492" t="s">
        <v>22</v>
      </c>
      <c r="G1492" t="s">
        <v>24</v>
      </c>
      <c r="H1492" t="s">
        <v>31</v>
      </c>
      <c r="I1492" t="s">
        <v>35</v>
      </c>
      <c r="J1492" t="s">
        <v>38</v>
      </c>
      <c r="K1492" t="s">
        <v>44</v>
      </c>
      <c r="L1492" t="s">
        <v>52</v>
      </c>
      <c r="M1492">
        <v>4118</v>
      </c>
      <c r="N1492">
        <v>0.24</v>
      </c>
      <c r="O1492">
        <v>19632</v>
      </c>
      <c r="P1492">
        <v>18</v>
      </c>
      <c r="Q1492" t="s">
        <v>54</v>
      </c>
      <c r="R1492" t="s">
        <v>60</v>
      </c>
    </row>
    <row r="1493" spans="1:18">
      <c r="A1493">
        <v>11492</v>
      </c>
      <c r="B1493" s="2">
        <v>45688</v>
      </c>
      <c r="C1493" s="2">
        <v>45690</v>
      </c>
      <c r="D1493" s="2">
        <v>45694</v>
      </c>
      <c r="E1493" t="s">
        <v>20</v>
      </c>
      <c r="F1493" t="s">
        <v>22</v>
      </c>
      <c r="G1493" t="s">
        <v>25</v>
      </c>
      <c r="H1493" t="s">
        <v>32</v>
      </c>
      <c r="I1493" t="s">
        <v>36</v>
      </c>
      <c r="J1493" t="s">
        <v>39</v>
      </c>
      <c r="K1493" t="s">
        <v>47</v>
      </c>
      <c r="L1493" t="s">
        <v>51</v>
      </c>
      <c r="M1493">
        <v>2644</v>
      </c>
      <c r="N1493">
        <v>0.06</v>
      </c>
      <c r="O1493">
        <v>14644</v>
      </c>
      <c r="P1493">
        <v>15</v>
      </c>
      <c r="Q1493" t="s">
        <v>54</v>
      </c>
      <c r="R1493" t="s">
        <v>60</v>
      </c>
    </row>
    <row r="1494" spans="1:18">
      <c r="A1494">
        <v>11493</v>
      </c>
      <c r="B1494" s="2">
        <v>45689</v>
      </c>
      <c r="C1494" s="2">
        <v>45691</v>
      </c>
      <c r="D1494" s="2">
        <v>45695</v>
      </c>
      <c r="E1494" t="s">
        <v>18</v>
      </c>
      <c r="F1494" t="s">
        <v>22</v>
      </c>
      <c r="G1494" t="s">
        <v>24</v>
      </c>
      <c r="H1494" t="s">
        <v>30</v>
      </c>
      <c r="I1494" t="s">
        <v>35</v>
      </c>
      <c r="J1494" t="s">
        <v>43</v>
      </c>
      <c r="K1494" t="s">
        <v>47</v>
      </c>
      <c r="L1494" t="s">
        <v>51</v>
      </c>
      <c r="M1494">
        <v>43561</v>
      </c>
      <c r="N1494">
        <v>0.19</v>
      </c>
      <c r="O1494">
        <v>19054</v>
      </c>
      <c r="P1494">
        <v>8</v>
      </c>
      <c r="Q1494" t="s">
        <v>57</v>
      </c>
      <c r="R1494" t="s">
        <v>59</v>
      </c>
    </row>
    <row r="1495" spans="1:18">
      <c r="A1495">
        <v>11494</v>
      </c>
      <c r="B1495" s="2">
        <v>45690</v>
      </c>
      <c r="C1495" s="2">
        <v>45692</v>
      </c>
      <c r="D1495" s="2">
        <v>45696</v>
      </c>
      <c r="E1495" t="s">
        <v>19</v>
      </c>
      <c r="F1495" t="s">
        <v>22</v>
      </c>
      <c r="G1495" t="s">
        <v>26</v>
      </c>
      <c r="H1495" t="s">
        <v>31</v>
      </c>
      <c r="I1495" t="s">
        <v>36</v>
      </c>
      <c r="J1495" t="s">
        <v>40</v>
      </c>
      <c r="K1495" t="s">
        <v>47</v>
      </c>
      <c r="L1495" t="s">
        <v>51</v>
      </c>
      <c r="M1495">
        <v>57081</v>
      </c>
      <c r="N1495">
        <v>0.28999999999999998</v>
      </c>
      <c r="O1495">
        <v>5324</v>
      </c>
      <c r="P1495">
        <v>20</v>
      </c>
      <c r="Q1495" t="s">
        <v>56</v>
      </c>
      <c r="R1495" t="s">
        <v>62</v>
      </c>
    </row>
    <row r="1496" spans="1:18">
      <c r="A1496">
        <v>11495</v>
      </c>
      <c r="B1496" s="2">
        <v>45691</v>
      </c>
      <c r="C1496" s="2">
        <v>45693</v>
      </c>
      <c r="D1496" s="2">
        <v>45697</v>
      </c>
      <c r="E1496" t="s">
        <v>21</v>
      </c>
      <c r="F1496" t="s">
        <v>22</v>
      </c>
      <c r="G1496" t="s">
        <v>24</v>
      </c>
      <c r="H1496" t="s">
        <v>30</v>
      </c>
      <c r="I1496" t="s">
        <v>34</v>
      </c>
      <c r="J1496" t="s">
        <v>37</v>
      </c>
      <c r="K1496" t="s">
        <v>46</v>
      </c>
      <c r="L1496" t="s">
        <v>52</v>
      </c>
      <c r="M1496">
        <v>71874</v>
      </c>
      <c r="N1496">
        <v>0.04</v>
      </c>
      <c r="O1496">
        <v>10488</v>
      </c>
      <c r="P1496">
        <v>4</v>
      </c>
      <c r="Q1496" t="s">
        <v>54</v>
      </c>
      <c r="R1496" t="s">
        <v>61</v>
      </c>
    </row>
    <row r="1497" spans="1:18">
      <c r="A1497">
        <v>11496</v>
      </c>
      <c r="B1497" s="2">
        <v>45692</v>
      </c>
      <c r="C1497" s="2">
        <v>45694</v>
      </c>
      <c r="D1497" s="2">
        <v>45698</v>
      </c>
      <c r="E1497" t="s">
        <v>18</v>
      </c>
      <c r="F1497" t="s">
        <v>22</v>
      </c>
      <c r="G1497" t="s">
        <v>27</v>
      </c>
      <c r="H1497" t="s">
        <v>30</v>
      </c>
      <c r="I1497" t="s">
        <v>35</v>
      </c>
      <c r="J1497" t="s">
        <v>38</v>
      </c>
      <c r="K1497" t="s">
        <v>48</v>
      </c>
      <c r="L1497" t="s">
        <v>53</v>
      </c>
      <c r="M1497">
        <v>12970</v>
      </c>
      <c r="N1497">
        <v>0.03</v>
      </c>
      <c r="O1497">
        <v>-725</v>
      </c>
      <c r="P1497">
        <v>23</v>
      </c>
      <c r="Q1497" t="s">
        <v>55</v>
      </c>
      <c r="R1497" t="s">
        <v>62</v>
      </c>
    </row>
    <row r="1498" spans="1:18">
      <c r="A1498">
        <v>11497</v>
      </c>
      <c r="B1498" s="2">
        <v>45693</v>
      </c>
      <c r="C1498" s="2">
        <v>45695</v>
      </c>
      <c r="D1498" s="2">
        <v>45699</v>
      </c>
      <c r="E1498" t="s">
        <v>18</v>
      </c>
      <c r="F1498" t="s">
        <v>22</v>
      </c>
      <c r="G1498" t="s">
        <v>28</v>
      </c>
      <c r="H1498" t="s">
        <v>32</v>
      </c>
      <c r="I1498" t="s">
        <v>35</v>
      </c>
      <c r="J1498" t="s">
        <v>38</v>
      </c>
      <c r="K1498" t="s">
        <v>47</v>
      </c>
      <c r="L1498" t="s">
        <v>53</v>
      </c>
      <c r="M1498">
        <v>21820</v>
      </c>
      <c r="N1498">
        <v>7.0000000000000007E-2</v>
      </c>
      <c r="O1498">
        <v>7319</v>
      </c>
      <c r="P1498">
        <v>10</v>
      </c>
      <c r="Q1498" t="s">
        <v>54</v>
      </c>
      <c r="R1498" t="s">
        <v>62</v>
      </c>
    </row>
    <row r="1499" spans="1:18">
      <c r="A1499">
        <v>11498</v>
      </c>
      <c r="B1499" s="2">
        <v>45694</v>
      </c>
      <c r="C1499" s="2">
        <v>45696</v>
      </c>
      <c r="D1499" s="2">
        <v>45700</v>
      </c>
      <c r="E1499" t="s">
        <v>21</v>
      </c>
      <c r="F1499" t="s">
        <v>22</v>
      </c>
      <c r="G1499" t="s">
        <v>25</v>
      </c>
      <c r="H1499" t="s">
        <v>25</v>
      </c>
      <c r="I1499" t="s">
        <v>35</v>
      </c>
      <c r="J1499" t="s">
        <v>37</v>
      </c>
      <c r="K1499" t="s">
        <v>46</v>
      </c>
      <c r="L1499" t="s">
        <v>51</v>
      </c>
      <c r="M1499">
        <v>68607</v>
      </c>
      <c r="N1499">
        <v>0.16</v>
      </c>
      <c r="O1499">
        <v>3216</v>
      </c>
      <c r="P1499">
        <v>5</v>
      </c>
      <c r="Q1499" t="s">
        <v>56</v>
      </c>
      <c r="R1499" t="s">
        <v>60</v>
      </c>
    </row>
    <row r="1500" spans="1:18">
      <c r="A1500">
        <v>11499</v>
      </c>
      <c r="B1500" s="2">
        <v>45695</v>
      </c>
      <c r="C1500" s="2">
        <v>45697</v>
      </c>
      <c r="D1500" s="2">
        <v>45701</v>
      </c>
      <c r="E1500" t="s">
        <v>20</v>
      </c>
      <c r="F1500" t="s">
        <v>22</v>
      </c>
      <c r="G1500" t="s">
        <v>23</v>
      </c>
      <c r="H1500" t="s">
        <v>25</v>
      </c>
      <c r="I1500" t="s">
        <v>36</v>
      </c>
      <c r="J1500" t="s">
        <v>41</v>
      </c>
      <c r="K1500" t="s">
        <v>48</v>
      </c>
      <c r="L1500" t="s">
        <v>53</v>
      </c>
      <c r="M1500">
        <v>31973</v>
      </c>
      <c r="N1500">
        <v>0.15</v>
      </c>
      <c r="O1500">
        <v>8887</v>
      </c>
      <c r="P1500">
        <v>22</v>
      </c>
      <c r="Q1500" t="s">
        <v>58</v>
      </c>
      <c r="R1500" t="s">
        <v>60</v>
      </c>
    </row>
    <row r="1501" spans="1:18">
      <c r="A1501">
        <v>11500</v>
      </c>
      <c r="B1501" s="2">
        <v>45696</v>
      </c>
      <c r="C1501" s="2">
        <v>45698</v>
      </c>
      <c r="D1501" s="2">
        <v>45702</v>
      </c>
      <c r="E1501" t="s">
        <v>21</v>
      </c>
      <c r="F1501" t="s">
        <v>22</v>
      </c>
      <c r="G1501" t="s">
        <v>28</v>
      </c>
      <c r="H1501" t="s">
        <v>33</v>
      </c>
      <c r="I1501" t="s">
        <v>34</v>
      </c>
      <c r="J1501" t="s">
        <v>38</v>
      </c>
      <c r="K1501" t="s">
        <v>44</v>
      </c>
      <c r="L1501" t="s">
        <v>53</v>
      </c>
      <c r="M1501">
        <v>4893</v>
      </c>
      <c r="N1501">
        <v>0.13</v>
      </c>
      <c r="O1501">
        <v>-653</v>
      </c>
      <c r="P1501">
        <v>15</v>
      </c>
      <c r="Q1501" t="s">
        <v>58</v>
      </c>
      <c r="R1501" t="s">
        <v>61</v>
      </c>
    </row>
    <row r="1502" spans="1:18">
      <c r="A1502">
        <v>11501</v>
      </c>
      <c r="B1502" s="2">
        <v>45697</v>
      </c>
      <c r="C1502" s="2">
        <v>45699</v>
      </c>
      <c r="D1502" s="2">
        <v>45703</v>
      </c>
      <c r="E1502" t="s">
        <v>21</v>
      </c>
      <c r="F1502" t="s">
        <v>22</v>
      </c>
      <c r="G1502" t="s">
        <v>27</v>
      </c>
      <c r="H1502" t="s">
        <v>30</v>
      </c>
      <c r="I1502" t="s">
        <v>36</v>
      </c>
      <c r="J1502" t="s">
        <v>40</v>
      </c>
      <c r="K1502" t="s">
        <v>50</v>
      </c>
      <c r="L1502" t="s">
        <v>51</v>
      </c>
      <c r="M1502">
        <v>19559</v>
      </c>
      <c r="N1502">
        <v>0.01</v>
      </c>
      <c r="O1502">
        <v>6299</v>
      </c>
      <c r="P1502">
        <v>3</v>
      </c>
      <c r="Q1502" t="s">
        <v>58</v>
      </c>
      <c r="R1502" t="s">
        <v>59</v>
      </c>
    </row>
    <row r="1503" spans="1:18">
      <c r="A1503">
        <v>11502</v>
      </c>
      <c r="B1503" s="2">
        <v>45698</v>
      </c>
      <c r="C1503" s="2">
        <v>45700</v>
      </c>
      <c r="D1503" s="2">
        <v>45704</v>
      </c>
      <c r="E1503" t="s">
        <v>20</v>
      </c>
      <c r="F1503" t="s">
        <v>22</v>
      </c>
      <c r="G1503" t="s">
        <v>25</v>
      </c>
      <c r="H1503" t="s">
        <v>30</v>
      </c>
      <c r="I1503" t="s">
        <v>36</v>
      </c>
      <c r="J1503" t="s">
        <v>37</v>
      </c>
      <c r="K1503" t="s">
        <v>48</v>
      </c>
      <c r="L1503" t="s">
        <v>51</v>
      </c>
      <c r="M1503">
        <v>52519</v>
      </c>
      <c r="N1503">
        <v>0.14000000000000001</v>
      </c>
      <c r="O1503">
        <v>299</v>
      </c>
      <c r="P1503">
        <v>24</v>
      </c>
      <c r="Q1503" t="s">
        <v>58</v>
      </c>
      <c r="R1503" t="s">
        <v>60</v>
      </c>
    </row>
    <row r="1504" spans="1:18">
      <c r="A1504">
        <v>11503</v>
      </c>
      <c r="B1504" s="2">
        <v>45699</v>
      </c>
      <c r="C1504" s="2">
        <v>45701</v>
      </c>
      <c r="D1504" s="2">
        <v>45705</v>
      </c>
      <c r="E1504" t="s">
        <v>21</v>
      </c>
      <c r="F1504" t="s">
        <v>22</v>
      </c>
      <c r="G1504" t="s">
        <v>23</v>
      </c>
      <c r="H1504" t="s">
        <v>30</v>
      </c>
      <c r="I1504" t="s">
        <v>36</v>
      </c>
      <c r="J1504" t="s">
        <v>42</v>
      </c>
      <c r="K1504" t="s">
        <v>49</v>
      </c>
      <c r="L1504" t="s">
        <v>53</v>
      </c>
      <c r="M1504">
        <v>22235</v>
      </c>
      <c r="N1504">
        <v>0.38</v>
      </c>
      <c r="O1504">
        <v>17978</v>
      </c>
      <c r="P1504">
        <v>19</v>
      </c>
      <c r="Q1504" t="s">
        <v>55</v>
      </c>
      <c r="R1504" t="s">
        <v>60</v>
      </c>
    </row>
    <row r="1505" spans="1:18">
      <c r="A1505">
        <v>11504</v>
      </c>
      <c r="B1505" s="2">
        <v>45700</v>
      </c>
      <c r="C1505" s="2">
        <v>45702</v>
      </c>
      <c r="D1505" s="2">
        <v>45706</v>
      </c>
      <c r="E1505" t="s">
        <v>21</v>
      </c>
      <c r="F1505" t="s">
        <v>22</v>
      </c>
      <c r="G1505" t="s">
        <v>26</v>
      </c>
      <c r="H1505" t="s">
        <v>30</v>
      </c>
      <c r="I1505" t="s">
        <v>35</v>
      </c>
      <c r="J1505" t="s">
        <v>37</v>
      </c>
      <c r="K1505" t="s">
        <v>48</v>
      </c>
      <c r="L1505" t="s">
        <v>52</v>
      </c>
      <c r="M1505">
        <v>44201</v>
      </c>
      <c r="N1505">
        <v>0.34</v>
      </c>
      <c r="O1505">
        <v>10403</v>
      </c>
      <c r="P1505">
        <v>6</v>
      </c>
      <c r="Q1505" t="s">
        <v>58</v>
      </c>
      <c r="R1505" t="s">
        <v>59</v>
      </c>
    </row>
    <row r="1506" spans="1:18">
      <c r="A1506">
        <v>11505</v>
      </c>
      <c r="B1506" s="2">
        <v>45701</v>
      </c>
      <c r="C1506" s="2">
        <v>45703</v>
      </c>
      <c r="D1506" s="2">
        <v>45707</v>
      </c>
      <c r="E1506" t="s">
        <v>20</v>
      </c>
      <c r="F1506" t="s">
        <v>22</v>
      </c>
      <c r="G1506" t="s">
        <v>25</v>
      </c>
      <c r="H1506" t="s">
        <v>30</v>
      </c>
      <c r="I1506" t="s">
        <v>34</v>
      </c>
      <c r="J1506" t="s">
        <v>42</v>
      </c>
      <c r="K1506" t="s">
        <v>46</v>
      </c>
      <c r="L1506" t="s">
        <v>52</v>
      </c>
      <c r="M1506">
        <v>17939</v>
      </c>
      <c r="N1506">
        <v>0.33</v>
      </c>
      <c r="O1506">
        <v>11056</v>
      </c>
      <c r="P1506">
        <v>22</v>
      </c>
      <c r="Q1506" t="s">
        <v>57</v>
      </c>
      <c r="R1506" t="s">
        <v>61</v>
      </c>
    </row>
    <row r="1507" spans="1:18">
      <c r="A1507">
        <v>11506</v>
      </c>
      <c r="B1507" s="2">
        <v>45702</v>
      </c>
      <c r="C1507" s="2">
        <v>45704</v>
      </c>
      <c r="D1507" s="2">
        <v>45708</v>
      </c>
      <c r="E1507" t="s">
        <v>20</v>
      </c>
      <c r="F1507" t="s">
        <v>22</v>
      </c>
      <c r="G1507" t="s">
        <v>26</v>
      </c>
      <c r="H1507" t="s">
        <v>29</v>
      </c>
      <c r="I1507" t="s">
        <v>35</v>
      </c>
      <c r="J1507" t="s">
        <v>38</v>
      </c>
      <c r="K1507" t="s">
        <v>50</v>
      </c>
      <c r="L1507" t="s">
        <v>52</v>
      </c>
      <c r="M1507">
        <v>12524</v>
      </c>
      <c r="N1507">
        <v>0.13</v>
      </c>
      <c r="O1507">
        <v>3627</v>
      </c>
      <c r="P1507">
        <v>13</v>
      </c>
      <c r="Q1507" t="s">
        <v>54</v>
      </c>
      <c r="R1507" t="s">
        <v>61</v>
      </c>
    </row>
    <row r="1508" spans="1:18">
      <c r="A1508">
        <v>11507</v>
      </c>
      <c r="B1508" s="2">
        <v>45703</v>
      </c>
      <c r="C1508" s="2">
        <v>45705</v>
      </c>
      <c r="D1508" s="2">
        <v>45709</v>
      </c>
      <c r="E1508" t="s">
        <v>18</v>
      </c>
      <c r="F1508" t="s">
        <v>22</v>
      </c>
      <c r="G1508" t="s">
        <v>27</v>
      </c>
      <c r="H1508" t="s">
        <v>33</v>
      </c>
      <c r="I1508" t="s">
        <v>34</v>
      </c>
      <c r="J1508" t="s">
        <v>37</v>
      </c>
      <c r="K1508" t="s">
        <v>44</v>
      </c>
      <c r="L1508" t="s">
        <v>52</v>
      </c>
      <c r="M1508">
        <v>64124</v>
      </c>
      <c r="N1508">
        <v>0.01</v>
      </c>
      <c r="O1508">
        <v>19173</v>
      </c>
      <c r="P1508">
        <v>12</v>
      </c>
      <c r="Q1508" t="s">
        <v>55</v>
      </c>
      <c r="R1508" t="s">
        <v>59</v>
      </c>
    </row>
    <row r="1509" spans="1:18">
      <c r="A1509">
        <v>11508</v>
      </c>
      <c r="B1509" s="2">
        <v>45704</v>
      </c>
      <c r="C1509" s="2">
        <v>45706</v>
      </c>
      <c r="D1509" s="2">
        <v>45710</v>
      </c>
      <c r="E1509" t="s">
        <v>21</v>
      </c>
      <c r="F1509" t="s">
        <v>22</v>
      </c>
      <c r="G1509" t="s">
        <v>26</v>
      </c>
      <c r="H1509" t="s">
        <v>29</v>
      </c>
      <c r="I1509" t="s">
        <v>34</v>
      </c>
      <c r="J1509" t="s">
        <v>40</v>
      </c>
      <c r="K1509" t="s">
        <v>45</v>
      </c>
      <c r="L1509" t="s">
        <v>52</v>
      </c>
      <c r="M1509">
        <v>27991</v>
      </c>
      <c r="N1509">
        <v>0.38</v>
      </c>
      <c r="O1509">
        <v>4108</v>
      </c>
      <c r="P1509">
        <v>19</v>
      </c>
      <c r="Q1509" t="s">
        <v>54</v>
      </c>
      <c r="R1509" t="s">
        <v>59</v>
      </c>
    </row>
    <row r="1510" spans="1:18">
      <c r="A1510">
        <v>11509</v>
      </c>
      <c r="B1510" s="2">
        <v>45705</v>
      </c>
      <c r="C1510" s="2">
        <v>45707</v>
      </c>
      <c r="D1510" s="2">
        <v>45711</v>
      </c>
      <c r="E1510" t="s">
        <v>18</v>
      </c>
      <c r="F1510" t="s">
        <v>22</v>
      </c>
      <c r="G1510" t="s">
        <v>28</v>
      </c>
      <c r="H1510" t="s">
        <v>32</v>
      </c>
      <c r="I1510" t="s">
        <v>35</v>
      </c>
      <c r="J1510" t="s">
        <v>38</v>
      </c>
      <c r="K1510" t="s">
        <v>48</v>
      </c>
      <c r="L1510" t="s">
        <v>51</v>
      </c>
      <c r="M1510">
        <v>44592</v>
      </c>
      <c r="N1510">
        <v>0.37</v>
      </c>
      <c r="O1510">
        <v>18582</v>
      </c>
      <c r="P1510">
        <v>21</v>
      </c>
      <c r="Q1510" t="s">
        <v>58</v>
      </c>
      <c r="R1510" t="s">
        <v>59</v>
      </c>
    </row>
    <row r="1511" spans="1:18">
      <c r="A1511">
        <v>11510</v>
      </c>
      <c r="B1511" s="2">
        <v>45706</v>
      </c>
      <c r="C1511" s="2">
        <v>45708</v>
      </c>
      <c r="D1511" s="2">
        <v>45712</v>
      </c>
      <c r="E1511" t="s">
        <v>18</v>
      </c>
      <c r="F1511" t="s">
        <v>22</v>
      </c>
      <c r="G1511" t="s">
        <v>25</v>
      </c>
      <c r="H1511" t="s">
        <v>25</v>
      </c>
      <c r="I1511" t="s">
        <v>34</v>
      </c>
      <c r="J1511" t="s">
        <v>40</v>
      </c>
      <c r="K1511" t="s">
        <v>50</v>
      </c>
      <c r="L1511" t="s">
        <v>51</v>
      </c>
      <c r="M1511">
        <v>39945</v>
      </c>
      <c r="N1511">
        <v>0.24</v>
      </c>
      <c r="O1511">
        <v>2192</v>
      </c>
      <c r="P1511">
        <v>2</v>
      </c>
      <c r="Q1511" t="s">
        <v>57</v>
      </c>
      <c r="R1511" t="s">
        <v>61</v>
      </c>
    </row>
    <row r="1512" spans="1:18">
      <c r="A1512">
        <v>11511</v>
      </c>
      <c r="B1512" s="2">
        <v>45707</v>
      </c>
      <c r="C1512" s="2">
        <v>45709</v>
      </c>
      <c r="D1512" s="2">
        <v>45713</v>
      </c>
      <c r="E1512" t="s">
        <v>21</v>
      </c>
      <c r="F1512" t="s">
        <v>22</v>
      </c>
      <c r="G1512" t="s">
        <v>26</v>
      </c>
      <c r="H1512" t="s">
        <v>29</v>
      </c>
      <c r="I1512" t="s">
        <v>35</v>
      </c>
      <c r="J1512" t="s">
        <v>38</v>
      </c>
      <c r="K1512" t="s">
        <v>44</v>
      </c>
      <c r="L1512" t="s">
        <v>53</v>
      </c>
      <c r="M1512">
        <v>5071</v>
      </c>
      <c r="N1512">
        <v>0.22</v>
      </c>
      <c r="O1512">
        <v>4282</v>
      </c>
      <c r="P1512">
        <v>5</v>
      </c>
      <c r="Q1512" t="s">
        <v>56</v>
      </c>
      <c r="R1512" t="s">
        <v>60</v>
      </c>
    </row>
    <row r="1513" spans="1:18">
      <c r="A1513">
        <v>11512</v>
      </c>
      <c r="B1513" s="2">
        <v>45708</v>
      </c>
      <c r="C1513" s="2">
        <v>45710</v>
      </c>
      <c r="D1513" s="2">
        <v>45714</v>
      </c>
      <c r="E1513" t="s">
        <v>21</v>
      </c>
      <c r="F1513" t="s">
        <v>22</v>
      </c>
      <c r="G1513" t="s">
        <v>23</v>
      </c>
      <c r="H1513" t="s">
        <v>32</v>
      </c>
      <c r="I1513" t="s">
        <v>36</v>
      </c>
      <c r="J1513" t="s">
        <v>38</v>
      </c>
      <c r="K1513" t="s">
        <v>50</v>
      </c>
      <c r="L1513" t="s">
        <v>52</v>
      </c>
      <c r="M1513">
        <v>32664</v>
      </c>
      <c r="N1513">
        <v>0.13</v>
      </c>
      <c r="O1513">
        <v>16591</v>
      </c>
      <c r="P1513">
        <v>22</v>
      </c>
      <c r="Q1513" t="s">
        <v>57</v>
      </c>
      <c r="R1513" t="s">
        <v>60</v>
      </c>
    </row>
    <row r="1514" spans="1:18">
      <c r="A1514">
        <v>11513</v>
      </c>
      <c r="B1514" s="2">
        <v>45709</v>
      </c>
      <c r="C1514" s="2">
        <v>45711</v>
      </c>
      <c r="D1514" s="2">
        <v>45715</v>
      </c>
      <c r="E1514" t="s">
        <v>18</v>
      </c>
      <c r="F1514" t="s">
        <v>22</v>
      </c>
      <c r="G1514" t="s">
        <v>25</v>
      </c>
      <c r="H1514" t="s">
        <v>33</v>
      </c>
      <c r="I1514" t="s">
        <v>35</v>
      </c>
      <c r="J1514" t="s">
        <v>38</v>
      </c>
      <c r="K1514" t="s">
        <v>45</v>
      </c>
      <c r="L1514" t="s">
        <v>52</v>
      </c>
      <c r="M1514">
        <v>27983</v>
      </c>
      <c r="N1514">
        <v>0.31</v>
      </c>
      <c r="O1514">
        <v>19073</v>
      </c>
      <c r="P1514">
        <v>6</v>
      </c>
      <c r="Q1514" t="s">
        <v>55</v>
      </c>
      <c r="R1514" t="s">
        <v>59</v>
      </c>
    </row>
    <row r="1515" spans="1:18">
      <c r="A1515">
        <v>11514</v>
      </c>
      <c r="B1515" s="2">
        <v>45710</v>
      </c>
      <c r="C1515" s="2">
        <v>45712</v>
      </c>
      <c r="D1515" s="2">
        <v>45716</v>
      </c>
      <c r="E1515" t="s">
        <v>18</v>
      </c>
      <c r="F1515" t="s">
        <v>22</v>
      </c>
      <c r="G1515" t="s">
        <v>27</v>
      </c>
      <c r="H1515" t="s">
        <v>32</v>
      </c>
      <c r="I1515" t="s">
        <v>35</v>
      </c>
      <c r="J1515" t="s">
        <v>37</v>
      </c>
      <c r="K1515" t="s">
        <v>50</v>
      </c>
      <c r="L1515" t="s">
        <v>52</v>
      </c>
      <c r="M1515">
        <v>24931</v>
      </c>
      <c r="N1515">
        <v>0.21</v>
      </c>
      <c r="O1515">
        <v>10823</v>
      </c>
      <c r="P1515">
        <v>1</v>
      </c>
      <c r="Q1515" t="s">
        <v>55</v>
      </c>
      <c r="R1515" t="s">
        <v>61</v>
      </c>
    </row>
    <row r="1516" spans="1:18">
      <c r="A1516">
        <v>11515</v>
      </c>
      <c r="B1516" s="2">
        <v>45711</v>
      </c>
      <c r="C1516" s="2">
        <v>45713</v>
      </c>
      <c r="D1516" s="2">
        <v>45717</v>
      </c>
      <c r="E1516" t="s">
        <v>21</v>
      </c>
      <c r="F1516" t="s">
        <v>22</v>
      </c>
      <c r="G1516" t="s">
        <v>28</v>
      </c>
      <c r="H1516" t="s">
        <v>30</v>
      </c>
      <c r="I1516" t="s">
        <v>36</v>
      </c>
      <c r="J1516" t="s">
        <v>40</v>
      </c>
      <c r="K1516" t="s">
        <v>44</v>
      </c>
      <c r="L1516" t="s">
        <v>52</v>
      </c>
      <c r="M1516">
        <v>51263</v>
      </c>
      <c r="N1516">
        <v>0.08</v>
      </c>
      <c r="O1516">
        <v>11980</v>
      </c>
      <c r="P1516">
        <v>20</v>
      </c>
      <c r="Q1516" t="s">
        <v>56</v>
      </c>
      <c r="R1516" t="s">
        <v>60</v>
      </c>
    </row>
    <row r="1517" spans="1:18">
      <c r="A1517">
        <v>11516</v>
      </c>
      <c r="B1517" s="2">
        <v>45712</v>
      </c>
      <c r="C1517" s="2">
        <v>45714</v>
      </c>
      <c r="D1517" s="2">
        <v>45718</v>
      </c>
      <c r="E1517" t="s">
        <v>21</v>
      </c>
      <c r="F1517" t="s">
        <v>22</v>
      </c>
      <c r="G1517" t="s">
        <v>28</v>
      </c>
      <c r="H1517" t="s">
        <v>33</v>
      </c>
      <c r="I1517" t="s">
        <v>35</v>
      </c>
      <c r="J1517" t="s">
        <v>41</v>
      </c>
      <c r="K1517" t="s">
        <v>48</v>
      </c>
      <c r="L1517" t="s">
        <v>52</v>
      </c>
      <c r="M1517">
        <v>27591</v>
      </c>
      <c r="N1517">
        <v>0.11</v>
      </c>
      <c r="O1517">
        <v>9858</v>
      </c>
      <c r="P1517">
        <v>6</v>
      </c>
      <c r="Q1517" t="s">
        <v>54</v>
      </c>
      <c r="R1517" t="s">
        <v>62</v>
      </c>
    </row>
    <row r="1518" spans="1:18">
      <c r="A1518">
        <v>11517</v>
      </c>
      <c r="B1518" s="2">
        <v>45713</v>
      </c>
      <c r="C1518" s="2">
        <v>45715</v>
      </c>
      <c r="D1518" s="2">
        <v>45719</v>
      </c>
      <c r="E1518" t="s">
        <v>18</v>
      </c>
      <c r="F1518" t="s">
        <v>22</v>
      </c>
      <c r="G1518" t="s">
        <v>27</v>
      </c>
      <c r="H1518" t="s">
        <v>32</v>
      </c>
      <c r="I1518" t="s">
        <v>35</v>
      </c>
      <c r="J1518" t="s">
        <v>39</v>
      </c>
      <c r="K1518" t="s">
        <v>50</v>
      </c>
      <c r="L1518" t="s">
        <v>53</v>
      </c>
      <c r="M1518">
        <v>8533</v>
      </c>
      <c r="N1518">
        <v>0.02</v>
      </c>
      <c r="O1518">
        <v>1345</v>
      </c>
      <c r="P1518">
        <v>16</v>
      </c>
      <c r="Q1518" t="s">
        <v>54</v>
      </c>
      <c r="R1518" t="s">
        <v>61</v>
      </c>
    </row>
    <row r="1519" spans="1:18">
      <c r="A1519">
        <v>11518</v>
      </c>
      <c r="B1519" s="2">
        <v>45714</v>
      </c>
      <c r="C1519" s="2">
        <v>45716</v>
      </c>
      <c r="D1519" s="2">
        <v>45720</v>
      </c>
      <c r="E1519" t="s">
        <v>19</v>
      </c>
      <c r="F1519" t="s">
        <v>22</v>
      </c>
      <c r="G1519" t="s">
        <v>25</v>
      </c>
      <c r="H1519" t="s">
        <v>32</v>
      </c>
      <c r="I1519" t="s">
        <v>34</v>
      </c>
      <c r="J1519" t="s">
        <v>37</v>
      </c>
      <c r="K1519" t="s">
        <v>45</v>
      </c>
      <c r="L1519" t="s">
        <v>53</v>
      </c>
      <c r="M1519">
        <v>26943</v>
      </c>
      <c r="N1519">
        <v>0.15</v>
      </c>
      <c r="O1519">
        <v>11941</v>
      </c>
      <c r="P1519">
        <v>3</v>
      </c>
      <c r="Q1519" t="s">
        <v>57</v>
      </c>
      <c r="R1519" t="s">
        <v>62</v>
      </c>
    </row>
    <row r="1520" spans="1:18">
      <c r="A1520">
        <v>11519</v>
      </c>
      <c r="B1520" s="2">
        <v>45715</v>
      </c>
      <c r="C1520" s="2">
        <v>45717</v>
      </c>
      <c r="D1520" s="2">
        <v>45721</v>
      </c>
      <c r="E1520" t="s">
        <v>18</v>
      </c>
      <c r="F1520" t="s">
        <v>22</v>
      </c>
      <c r="G1520" t="s">
        <v>27</v>
      </c>
      <c r="H1520" t="s">
        <v>33</v>
      </c>
      <c r="I1520" t="s">
        <v>36</v>
      </c>
      <c r="J1520" t="s">
        <v>43</v>
      </c>
      <c r="K1520" t="s">
        <v>46</v>
      </c>
      <c r="L1520" t="s">
        <v>53</v>
      </c>
      <c r="M1520">
        <v>43205</v>
      </c>
      <c r="N1520">
        <v>0.22</v>
      </c>
      <c r="O1520">
        <v>7335</v>
      </c>
      <c r="P1520">
        <v>14</v>
      </c>
      <c r="Q1520" t="s">
        <v>55</v>
      </c>
      <c r="R1520" t="s">
        <v>61</v>
      </c>
    </row>
    <row r="1521" spans="1:18">
      <c r="A1521">
        <v>11520</v>
      </c>
      <c r="B1521" s="2">
        <v>45716</v>
      </c>
      <c r="C1521" s="2">
        <v>45718</v>
      </c>
      <c r="D1521" s="2">
        <v>45722</v>
      </c>
      <c r="E1521" t="s">
        <v>19</v>
      </c>
      <c r="F1521" t="s">
        <v>22</v>
      </c>
      <c r="G1521" t="s">
        <v>27</v>
      </c>
      <c r="H1521" t="s">
        <v>29</v>
      </c>
      <c r="I1521" t="s">
        <v>35</v>
      </c>
      <c r="J1521" t="s">
        <v>38</v>
      </c>
      <c r="K1521" t="s">
        <v>48</v>
      </c>
      <c r="L1521" t="s">
        <v>53</v>
      </c>
      <c r="M1521">
        <v>16752</v>
      </c>
      <c r="N1521">
        <v>0.3</v>
      </c>
      <c r="O1521">
        <v>17220</v>
      </c>
      <c r="P1521">
        <v>5</v>
      </c>
      <c r="Q1521" t="s">
        <v>55</v>
      </c>
      <c r="R1521" t="s">
        <v>59</v>
      </c>
    </row>
    <row r="1522" spans="1:18">
      <c r="A1522">
        <v>11521</v>
      </c>
      <c r="B1522" s="2">
        <v>45717</v>
      </c>
      <c r="C1522" s="2">
        <v>45719</v>
      </c>
      <c r="D1522" s="2">
        <v>45723</v>
      </c>
      <c r="E1522" t="s">
        <v>19</v>
      </c>
      <c r="F1522" t="s">
        <v>22</v>
      </c>
      <c r="G1522" t="s">
        <v>28</v>
      </c>
      <c r="H1522" t="s">
        <v>25</v>
      </c>
      <c r="I1522" t="s">
        <v>36</v>
      </c>
      <c r="J1522" t="s">
        <v>39</v>
      </c>
      <c r="K1522" t="s">
        <v>50</v>
      </c>
      <c r="L1522" t="s">
        <v>51</v>
      </c>
      <c r="M1522">
        <v>1288</v>
      </c>
      <c r="N1522">
        <v>0.3</v>
      </c>
      <c r="O1522">
        <v>14509</v>
      </c>
      <c r="P1522">
        <v>3</v>
      </c>
      <c r="Q1522" t="s">
        <v>56</v>
      </c>
      <c r="R1522" t="s">
        <v>61</v>
      </c>
    </row>
    <row r="1523" spans="1:18">
      <c r="A1523">
        <v>11522</v>
      </c>
      <c r="B1523" s="2">
        <v>45718</v>
      </c>
      <c r="C1523" s="2">
        <v>45720</v>
      </c>
      <c r="D1523" s="2">
        <v>45724</v>
      </c>
      <c r="E1523" t="s">
        <v>21</v>
      </c>
      <c r="F1523" t="s">
        <v>22</v>
      </c>
      <c r="G1523" t="s">
        <v>24</v>
      </c>
      <c r="H1523" t="s">
        <v>25</v>
      </c>
      <c r="I1523" t="s">
        <v>35</v>
      </c>
      <c r="J1523" t="s">
        <v>41</v>
      </c>
      <c r="K1523" t="s">
        <v>48</v>
      </c>
      <c r="L1523" t="s">
        <v>53</v>
      </c>
      <c r="M1523">
        <v>14884</v>
      </c>
      <c r="N1523">
        <v>0.05</v>
      </c>
      <c r="O1523">
        <v>7780</v>
      </c>
      <c r="P1523">
        <v>12</v>
      </c>
      <c r="Q1523" t="s">
        <v>55</v>
      </c>
      <c r="R1523" t="s">
        <v>60</v>
      </c>
    </row>
    <row r="1524" spans="1:18">
      <c r="A1524">
        <v>11523</v>
      </c>
      <c r="B1524" s="2">
        <v>45719</v>
      </c>
      <c r="C1524" s="2">
        <v>45721</v>
      </c>
      <c r="D1524" s="2">
        <v>45725</v>
      </c>
      <c r="E1524" t="s">
        <v>19</v>
      </c>
      <c r="F1524" t="s">
        <v>22</v>
      </c>
      <c r="G1524" t="s">
        <v>23</v>
      </c>
      <c r="H1524" t="s">
        <v>29</v>
      </c>
      <c r="I1524" t="s">
        <v>36</v>
      </c>
      <c r="J1524" t="s">
        <v>37</v>
      </c>
      <c r="K1524" t="s">
        <v>46</v>
      </c>
      <c r="L1524" t="s">
        <v>51</v>
      </c>
      <c r="M1524">
        <v>9756</v>
      </c>
      <c r="N1524">
        <v>0.24</v>
      </c>
      <c r="O1524">
        <v>15194</v>
      </c>
      <c r="P1524">
        <v>20</v>
      </c>
      <c r="Q1524" t="s">
        <v>58</v>
      </c>
      <c r="R1524" t="s">
        <v>62</v>
      </c>
    </row>
    <row r="1525" spans="1:18">
      <c r="A1525">
        <v>11524</v>
      </c>
      <c r="B1525" s="2">
        <v>45720</v>
      </c>
      <c r="C1525" s="2">
        <v>45722</v>
      </c>
      <c r="D1525" s="2">
        <v>45726</v>
      </c>
      <c r="E1525" t="s">
        <v>21</v>
      </c>
      <c r="F1525" t="s">
        <v>22</v>
      </c>
      <c r="G1525" t="s">
        <v>25</v>
      </c>
      <c r="H1525" t="s">
        <v>30</v>
      </c>
      <c r="I1525" t="s">
        <v>35</v>
      </c>
      <c r="J1525" t="s">
        <v>39</v>
      </c>
      <c r="K1525" t="s">
        <v>50</v>
      </c>
      <c r="L1525" t="s">
        <v>51</v>
      </c>
      <c r="M1525">
        <v>35210</v>
      </c>
      <c r="N1525">
        <v>0.4</v>
      </c>
      <c r="O1525">
        <v>18655</v>
      </c>
      <c r="P1525">
        <v>13</v>
      </c>
      <c r="Q1525" t="s">
        <v>56</v>
      </c>
      <c r="R1525" t="s">
        <v>61</v>
      </c>
    </row>
    <row r="1526" spans="1:18">
      <c r="A1526">
        <v>11525</v>
      </c>
      <c r="B1526" s="2">
        <v>45721</v>
      </c>
      <c r="C1526" s="2">
        <v>45723</v>
      </c>
      <c r="D1526" s="2">
        <v>45727</v>
      </c>
      <c r="E1526" t="s">
        <v>18</v>
      </c>
      <c r="F1526" t="s">
        <v>22</v>
      </c>
      <c r="G1526" t="s">
        <v>27</v>
      </c>
      <c r="H1526" t="s">
        <v>30</v>
      </c>
      <c r="I1526" t="s">
        <v>36</v>
      </c>
      <c r="J1526" t="s">
        <v>42</v>
      </c>
      <c r="K1526" t="s">
        <v>47</v>
      </c>
      <c r="L1526" t="s">
        <v>51</v>
      </c>
      <c r="M1526">
        <v>47103</v>
      </c>
      <c r="N1526">
        <v>0.1</v>
      </c>
      <c r="O1526">
        <v>-703</v>
      </c>
      <c r="P1526">
        <v>23</v>
      </c>
      <c r="Q1526" t="s">
        <v>55</v>
      </c>
      <c r="R1526" t="s">
        <v>59</v>
      </c>
    </row>
    <row r="1527" spans="1:18">
      <c r="A1527">
        <v>11526</v>
      </c>
      <c r="B1527" s="2">
        <v>45722</v>
      </c>
      <c r="C1527" s="2">
        <v>45724</v>
      </c>
      <c r="D1527" s="2">
        <v>45728</v>
      </c>
      <c r="E1527" t="s">
        <v>18</v>
      </c>
      <c r="F1527" t="s">
        <v>22</v>
      </c>
      <c r="G1527" t="s">
        <v>28</v>
      </c>
      <c r="H1527" t="s">
        <v>31</v>
      </c>
      <c r="I1527" t="s">
        <v>35</v>
      </c>
      <c r="J1527" t="s">
        <v>42</v>
      </c>
      <c r="K1527" t="s">
        <v>45</v>
      </c>
      <c r="L1527" t="s">
        <v>52</v>
      </c>
      <c r="M1527">
        <v>64636</v>
      </c>
      <c r="N1527">
        <v>0.16</v>
      </c>
      <c r="O1527">
        <v>18361</v>
      </c>
      <c r="P1527">
        <v>19</v>
      </c>
      <c r="Q1527" t="s">
        <v>55</v>
      </c>
      <c r="R1527" t="s">
        <v>60</v>
      </c>
    </row>
    <row r="1528" spans="1:18">
      <c r="A1528">
        <v>11527</v>
      </c>
      <c r="B1528" s="2">
        <v>45723</v>
      </c>
      <c r="C1528" s="2">
        <v>45725</v>
      </c>
      <c r="D1528" s="2">
        <v>45729</v>
      </c>
      <c r="E1528" t="s">
        <v>18</v>
      </c>
      <c r="F1528" t="s">
        <v>22</v>
      </c>
      <c r="G1528" t="s">
        <v>24</v>
      </c>
      <c r="H1528" t="s">
        <v>25</v>
      </c>
      <c r="I1528" t="s">
        <v>34</v>
      </c>
      <c r="J1528" t="s">
        <v>42</v>
      </c>
      <c r="K1528" t="s">
        <v>46</v>
      </c>
      <c r="L1528" t="s">
        <v>51</v>
      </c>
      <c r="M1528">
        <v>73742</v>
      </c>
      <c r="N1528">
        <v>0.33</v>
      </c>
      <c r="O1528">
        <v>6959</v>
      </c>
      <c r="P1528">
        <v>10</v>
      </c>
      <c r="Q1528" t="s">
        <v>57</v>
      </c>
      <c r="R1528" t="s">
        <v>62</v>
      </c>
    </row>
    <row r="1529" spans="1:18">
      <c r="A1529">
        <v>11528</v>
      </c>
      <c r="B1529" s="2">
        <v>45724</v>
      </c>
      <c r="C1529" s="2">
        <v>45726</v>
      </c>
      <c r="D1529" s="2">
        <v>45730</v>
      </c>
      <c r="E1529" t="s">
        <v>20</v>
      </c>
      <c r="F1529" t="s">
        <v>22</v>
      </c>
      <c r="G1529" t="s">
        <v>28</v>
      </c>
      <c r="H1529" t="s">
        <v>30</v>
      </c>
      <c r="I1529" t="s">
        <v>36</v>
      </c>
      <c r="J1529" t="s">
        <v>41</v>
      </c>
      <c r="K1529" t="s">
        <v>46</v>
      </c>
      <c r="L1529" t="s">
        <v>51</v>
      </c>
      <c r="M1529">
        <v>72517</v>
      </c>
      <c r="N1529">
        <v>0.09</v>
      </c>
      <c r="O1529">
        <v>12321</v>
      </c>
      <c r="P1529">
        <v>5</v>
      </c>
      <c r="Q1529" t="s">
        <v>57</v>
      </c>
      <c r="R1529" t="s">
        <v>59</v>
      </c>
    </row>
    <row r="1530" spans="1:18">
      <c r="A1530">
        <v>11529</v>
      </c>
      <c r="B1530" s="2">
        <v>45725</v>
      </c>
      <c r="C1530" s="2">
        <v>45727</v>
      </c>
      <c r="D1530" s="2">
        <v>45731</v>
      </c>
      <c r="E1530" t="s">
        <v>18</v>
      </c>
      <c r="F1530" t="s">
        <v>22</v>
      </c>
      <c r="G1530" t="s">
        <v>28</v>
      </c>
      <c r="H1530" t="s">
        <v>29</v>
      </c>
      <c r="I1530" t="s">
        <v>34</v>
      </c>
      <c r="J1530" t="s">
        <v>37</v>
      </c>
      <c r="K1530" t="s">
        <v>48</v>
      </c>
      <c r="L1530" t="s">
        <v>51</v>
      </c>
      <c r="M1530">
        <v>55858</v>
      </c>
      <c r="N1530">
        <v>0.32</v>
      </c>
      <c r="O1530">
        <v>6977</v>
      </c>
      <c r="P1530">
        <v>4</v>
      </c>
      <c r="Q1530" t="s">
        <v>57</v>
      </c>
      <c r="R1530" t="s">
        <v>60</v>
      </c>
    </row>
    <row r="1531" spans="1:18">
      <c r="A1531">
        <v>11530</v>
      </c>
      <c r="B1531" s="2">
        <v>45726</v>
      </c>
      <c r="C1531" s="2">
        <v>45728</v>
      </c>
      <c r="D1531" s="2">
        <v>45732</v>
      </c>
      <c r="E1531" t="s">
        <v>19</v>
      </c>
      <c r="F1531" t="s">
        <v>22</v>
      </c>
      <c r="G1531" t="s">
        <v>24</v>
      </c>
      <c r="H1531" t="s">
        <v>30</v>
      </c>
      <c r="I1531" t="s">
        <v>36</v>
      </c>
      <c r="J1531" t="s">
        <v>39</v>
      </c>
      <c r="K1531" t="s">
        <v>45</v>
      </c>
      <c r="L1531" t="s">
        <v>51</v>
      </c>
      <c r="M1531">
        <v>70691</v>
      </c>
      <c r="N1531">
        <v>0.21</v>
      </c>
      <c r="O1531">
        <v>15460</v>
      </c>
      <c r="P1531">
        <v>15</v>
      </c>
      <c r="Q1531" t="s">
        <v>57</v>
      </c>
      <c r="R1531" t="s">
        <v>62</v>
      </c>
    </row>
    <row r="1532" spans="1:18">
      <c r="A1532">
        <v>11531</v>
      </c>
      <c r="B1532" s="2">
        <v>45727</v>
      </c>
      <c r="C1532" s="2">
        <v>45729</v>
      </c>
      <c r="D1532" s="2">
        <v>45733</v>
      </c>
      <c r="E1532" t="s">
        <v>20</v>
      </c>
      <c r="F1532" t="s">
        <v>22</v>
      </c>
      <c r="G1532" t="s">
        <v>25</v>
      </c>
      <c r="H1532" t="s">
        <v>30</v>
      </c>
      <c r="I1532" t="s">
        <v>35</v>
      </c>
      <c r="J1532" t="s">
        <v>43</v>
      </c>
      <c r="K1532" t="s">
        <v>50</v>
      </c>
      <c r="L1532" t="s">
        <v>52</v>
      </c>
      <c r="M1532">
        <v>44663</v>
      </c>
      <c r="N1532">
        <v>0.22</v>
      </c>
      <c r="O1532">
        <v>19214</v>
      </c>
      <c r="P1532">
        <v>22</v>
      </c>
      <c r="Q1532" t="s">
        <v>56</v>
      </c>
      <c r="R1532" t="s">
        <v>59</v>
      </c>
    </row>
    <row r="1533" spans="1:18">
      <c r="A1533">
        <v>11532</v>
      </c>
      <c r="B1533" s="2">
        <v>45728</v>
      </c>
      <c r="C1533" s="2">
        <v>45730</v>
      </c>
      <c r="D1533" s="2">
        <v>45734</v>
      </c>
      <c r="E1533" t="s">
        <v>19</v>
      </c>
      <c r="F1533" t="s">
        <v>22</v>
      </c>
      <c r="G1533" t="s">
        <v>27</v>
      </c>
      <c r="H1533" t="s">
        <v>33</v>
      </c>
      <c r="I1533" t="s">
        <v>34</v>
      </c>
      <c r="J1533" t="s">
        <v>41</v>
      </c>
      <c r="K1533" t="s">
        <v>46</v>
      </c>
      <c r="L1533" t="s">
        <v>51</v>
      </c>
      <c r="M1533">
        <v>4121</v>
      </c>
      <c r="N1533">
        <v>0.25</v>
      </c>
      <c r="O1533">
        <v>17986</v>
      </c>
      <c r="P1533">
        <v>11</v>
      </c>
      <c r="Q1533" t="s">
        <v>54</v>
      </c>
      <c r="R1533" t="s">
        <v>59</v>
      </c>
    </row>
    <row r="1534" spans="1:18">
      <c r="A1534">
        <v>11533</v>
      </c>
      <c r="B1534" s="2">
        <v>45729</v>
      </c>
      <c r="C1534" s="2">
        <v>45731</v>
      </c>
      <c r="D1534" s="2">
        <v>45735</v>
      </c>
      <c r="E1534" t="s">
        <v>19</v>
      </c>
      <c r="F1534" t="s">
        <v>22</v>
      </c>
      <c r="G1534" t="s">
        <v>27</v>
      </c>
      <c r="H1534" t="s">
        <v>29</v>
      </c>
      <c r="I1534" t="s">
        <v>35</v>
      </c>
      <c r="J1534" t="s">
        <v>42</v>
      </c>
      <c r="K1534" t="s">
        <v>50</v>
      </c>
      <c r="L1534" t="s">
        <v>53</v>
      </c>
      <c r="M1534">
        <v>2971</v>
      </c>
      <c r="N1534">
        <v>0.4</v>
      </c>
      <c r="O1534">
        <v>8842</v>
      </c>
      <c r="P1534">
        <v>11</v>
      </c>
      <c r="Q1534" t="s">
        <v>57</v>
      </c>
      <c r="R1534" t="s">
        <v>62</v>
      </c>
    </row>
    <row r="1535" spans="1:18">
      <c r="A1535">
        <v>11534</v>
      </c>
      <c r="B1535" s="2">
        <v>45730</v>
      </c>
      <c r="C1535" s="2">
        <v>45732</v>
      </c>
      <c r="D1535" s="2">
        <v>45736</v>
      </c>
      <c r="E1535" t="s">
        <v>21</v>
      </c>
      <c r="F1535" t="s">
        <v>22</v>
      </c>
      <c r="G1535" t="s">
        <v>24</v>
      </c>
      <c r="H1535" t="s">
        <v>30</v>
      </c>
      <c r="I1535" t="s">
        <v>36</v>
      </c>
      <c r="J1535" t="s">
        <v>43</v>
      </c>
      <c r="K1535" t="s">
        <v>44</v>
      </c>
      <c r="L1535" t="s">
        <v>53</v>
      </c>
      <c r="M1535">
        <v>46390</v>
      </c>
      <c r="N1535">
        <v>0.33</v>
      </c>
      <c r="O1535">
        <v>13198</v>
      </c>
      <c r="P1535">
        <v>8</v>
      </c>
      <c r="Q1535" t="s">
        <v>57</v>
      </c>
      <c r="R1535" t="s">
        <v>62</v>
      </c>
    </row>
    <row r="1536" spans="1:18">
      <c r="A1536">
        <v>11535</v>
      </c>
      <c r="B1536" s="2">
        <v>45731</v>
      </c>
      <c r="C1536" s="2">
        <v>45733</v>
      </c>
      <c r="D1536" s="2">
        <v>45737</v>
      </c>
      <c r="E1536" t="s">
        <v>18</v>
      </c>
      <c r="F1536" t="s">
        <v>22</v>
      </c>
      <c r="G1536" t="s">
        <v>27</v>
      </c>
      <c r="H1536" t="s">
        <v>25</v>
      </c>
      <c r="I1536" t="s">
        <v>35</v>
      </c>
      <c r="J1536" t="s">
        <v>42</v>
      </c>
      <c r="K1536" t="s">
        <v>47</v>
      </c>
      <c r="L1536" t="s">
        <v>53</v>
      </c>
      <c r="M1536">
        <v>73635</v>
      </c>
      <c r="N1536">
        <v>0.22</v>
      </c>
      <c r="O1536">
        <v>19008</v>
      </c>
      <c r="P1536">
        <v>17</v>
      </c>
      <c r="Q1536" t="s">
        <v>57</v>
      </c>
      <c r="R1536" t="s">
        <v>61</v>
      </c>
    </row>
    <row r="1537" spans="1:18">
      <c r="A1537">
        <v>11536</v>
      </c>
      <c r="B1537" s="2">
        <v>45732</v>
      </c>
      <c r="C1537" s="2">
        <v>45734</v>
      </c>
      <c r="D1537" s="2">
        <v>45738</v>
      </c>
      <c r="E1537" t="s">
        <v>18</v>
      </c>
      <c r="F1537" t="s">
        <v>22</v>
      </c>
      <c r="G1537" t="s">
        <v>23</v>
      </c>
      <c r="H1537" t="s">
        <v>25</v>
      </c>
      <c r="I1537" t="s">
        <v>36</v>
      </c>
      <c r="J1537" t="s">
        <v>41</v>
      </c>
      <c r="K1537" t="s">
        <v>45</v>
      </c>
      <c r="L1537" t="s">
        <v>52</v>
      </c>
      <c r="M1537">
        <v>30643</v>
      </c>
      <c r="N1537">
        <v>0.08</v>
      </c>
      <c r="O1537">
        <v>5480</v>
      </c>
      <c r="P1537">
        <v>10</v>
      </c>
      <c r="Q1537" t="s">
        <v>56</v>
      </c>
      <c r="R1537" t="s">
        <v>61</v>
      </c>
    </row>
    <row r="1538" spans="1:18">
      <c r="A1538">
        <v>11537</v>
      </c>
      <c r="B1538" s="2">
        <v>45733</v>
      </c>
      <c r="C1538" s="2">
        <v>45735</v>
      </c>
      <c r="D1538" s="2">
        <v>45739</v>
      </c>
      <c r="E1538" t="s">
        <v>20</v>
      </c>
      <c r="F1538" t="s">
        <v>22</v>
      </c>
      <c r="G1538" t="s">
        <v>27</v>
      </c>
      <c r="H1538" t="s">
        <v>31</v>
      </c>
      <c r="I1538" t="s">
        <v>34</v>
      </c>
      <c r="J1538" t="s">
        <v>39</v>
      </c>
      <c r="K1538" t="s">
        <v>47</v>
      </c>
      <c r="L1538" t="s">
        <v>51</v>
      </c>
      <c r="M1538">
        <v>62974</v>
      </c>
      <c r="N1538">
        <v>0.28999999999999998</v>
      </c>
      <c r="O1538">
        <v>4485</v>
      </c>
      <c r="P1538">
        <v>17</v>
      </c>
      <c r="Q1538" t="s">
        <v>55</v>
      </c>
      <c r="R1538" t="s">
        <v>62</v>
      </c>
    </row>
    <row r="1539" spans="1:18">
      <c r="A1539">
        <v>11538</v>
      </c>
      <c r="B1539" s="2">
        <v>45734</v>
      </c>
      <c r="C1539" s="2">
        <v>45736</v>
      </c>
      <c r="D1539" s="2">
        <v>45740</v>
      </c>
      <c r="E1539" t="s">
        <v>18</v>
      </c>
      <c r="F1539" t="s">
        <v>22</v>
      </c>
      <c r="G1539" t="s">
        <v>24</v>
      </c>
      <c r="H1539" t="s">
        <v>31</v>
      </c>
      <c r="I1539" t="s">
        <v>34</v>
      </c>
      <c r="J1539" t="s">
        <v>39</v>
      </c>
      <c r="K1539" t="s">
        <v>47</v>
      </c>
      <c r="L1539" t="s">
        <v>52</v>
      </c>
      <c r="M1539">
        <v>45854</v>
      </c>
      <c r="N1539">
        <v>0.16</v>
      </c>
      <c r="O1539">
        <v>13178</v>
      </c>
      <c r="P1539">
        <v>1</v>
      </c>
      <c r="Q1539" t="s">
        <v>56</v>
      </c>
      <c r="R1539" t="s">
        <v>61</v>
      </c>
    </row>
    <row r="1540" spans="1:18">
      <c r="A1540">
        <v>11539</v>
      </c>
      <c r="B1540" s="2">
        <v>45735</v>
      </c>
      <c r="C1540" s="2">
        <v>45737</v>
      </c>
      <c r="D1540" s="2">
        <v>45741</v>
      </c>
      <c r="E1540" t="s">
        <v>21</v>
      </c>
      <c r="F1540" t="s">
        <v>22</v>
      </c>
      <c r="G1540" t="s">
        <v>25</v>
      </c>
      <c r="H1540" t="s">
        <v>32</v>
      </c>
      <c r="I1540" t="s">
        <v>34</v>
      </c>
      <c r="J1540" t="s">
        <v>41</v>
      </c>
      <c r="K1540" t="s">
        <v>46</v>
      </c>
      <c r="L1540" t="s">
        <v>52</v>
      </c>
      <c r="M1540">
        <v>9567</v>
      </c>
      <c r="N1540">
        <v>0.16</v>
      </c>
      <c r="O1540">
        <v>8983</v>
      </c>
      <c r="P1540">
        <v>15</v>
      </c>
      <c r="Q1540" t="s">
        <v>57</v>
      </c>
      <c r="R1540" t="s">
        <v>60</v>
      </c>
    </row>
    <row r="1541" spans="1:18">
      <c r="A1541">
        <v>11540</v>
      </c>
      <c r="B1541" s="2">
        <v>45736</v>
      </c>
      <c r="C1541" s="2">
        <v>45738</v>
      </c>
      <c r="D1541" s="2">
        <v>45742</v>
      </c>
      <c r="E1541" t="s">
        <v>19</v>
      </c>
      <c r="F1541" t="s">
        <v>22</v>
      </c>
      <c r="G1541" t="s">
        <v>24</v>
      </c>
      <c r="H1541" t="s">
        <v>30</v>
      </c>
      <c r="I1541" t="s">
        <v>34</v>
      </c>
      <c r="J1541" t="s">
        <v>40</v>
      </c>
      <c r="K1541" t="s">
        <v>45</v>
      </c>
      <c r="L1541" t="s">
        <v>53</v>
      </c>
      <c r="M1541">
        <v>51686</v>
      </c>
      <c r="N1541">
        <v>0.37</v>
      </c>
      <c r="O1541">
        <v>9620</v>
      </c>
      <c r="P1541">
        <v>10</v>
      </c>
      <c r="Q1541" t="s">
        <v>57</v>
      </c>
      <c r="R1541" t="s">
        <v>59</v>
      </c>
    </row>
    <row r="1542" spans="1:18">
      <c r="A1542">
        <v>11541</v>
      </c>
      <c r="B1542" s="2">
        <v>45737</v>
      </c>
      <c r="C1542" s="2">
        <v>45739</v>
      </c>
      <c r="D1542" s="2">
        <v>45743</v>
      </c>
      <c r="E1542" t="s">
        <v>20</v>
      </c>
      <c r="F1542" t="s">
        <v>22</v>
      </c>
      <c r="G1542" t="s">
        <v>24</v>
      </c>
      <c r="H1542" t="s">
        <v>31</v>
      </c>
      <c r="I1542" t="s">
        <v>36</v>
      </c>
      <c r="J1542" t="s">
        <v>38</v>
      </c>
      <c r="K1542" t="s">
        <v>44</v>
      </c>
      <c r="L1542" t="s">
        <v>52</v>
      </c>
      <c r="M1542">
        <v>14571</v>
      </c>
      <c r="N1542">
        <v>0.35</v>
      </c>
      <c r="O1542">
        <v>3236</v>
      </c>
      <c r="P1542">
        <v>21</v>
      </c>
      <c r="Q1542" t="s">
        <v>54</v>
      </c>
      <c r="R1542" t="s">
        <v>60</v>
      </c>
    </row>
    <row r="1543" spans="1:18">
      <c r="A1543">
        <v>11542</v>
      </c>
      <c r="B1543" s="2">
        <v>45738</v>
      </c>
      <c r="C1543" s="2">
        <v>45740</v>
      </c>
      <c r="D1543" s="2">
        <v>45744</v>
      </c>
      <c r="E1543" t="s">
        <v>20</v>
      </c>
      <c r="F1543" t="s">
        <v>22</v>
      </c>
      <c r="G1543" t="s">
        <v>26</v>
      </c>
      <c r="H1543" t="s">
        <v>30</v>
      </c>
      <c r="I1543" t="s">
        <v>34</v>
      </c>
      <c r="J1543" t="s">
        <v>43</v>
      </c>
      <c r="K1543" t="s">
        <v>49</v>
      </c>
      <c r="L1543" t="s">
        <v>51</v>
      </c>
      <c r="M1543">
        <v>17256</v>
      </c>
      <c r="N1543">
        <v>0.31</v>
      </c>
      <c r="O1543">
        <v>8061</v>
      </c>
      <c r="P1543">
        <v>3</v>
      </c>
      <c r="Q1543" t="s">
        <v>58</v>
      </c>
      <c r="R1543" t="s">
        <v>62</v>
      </c>
    </row>
    <row r="1544" spans="1:18">
      <c r="A1544">
        <v>11543</v>
      </c>
      <c r="B1544" s="2">
        <v>45739</v>
      </c>
      <c r="C1544" s="2">
        <v>45741</v>
      </c>
      <c r="D1544" s="2">
        <v>45745</v>
      </c>
      <c r="E1544" t="s">
        <v>19</v>
      </c>
      <c r="F1544" t="s">
        <v>22</v>
      </c>
      <c r="G1544" t="s">
        <v>27</v>
      </c>
      <c r="H1544" t="s">
        <v>29</v>
      </c>
      <c r="I1544" t="s">
        <v>35</v>
      </c>
      <c r="J1544" t="s">
        <v>42</v>
      </c>
      <c r="K1544" t="s">
        <v>44</v>
      </c>
      <c r="L1544" t="s">
        <v>51</v>
      </c>
      <c r="M1544">
        <v>27998</v>
      </c>
      <c r="N1544">
        <v>0.18</v>
      </c>
      <c r="O1544">
        <v>377</v>
      </c>
      <c r="P1544">
        <v>2</v>
      </c>
      <c r="Q1544" t="s">
        <v>58</v>
      </c>
      <c r="R1544" t="s">
        <v>59</v>
      </c>
    </row>
    <row r="1545" spans="1:18">
      <c r="A1545">
        <v>11544</v>
      </c>
      <c r="B1545" s="2">
        <v>45740</v>
      </c>
      <c r="C1545" s="2">
        <v>45742</v>
      </c>
      <c r="D1545" s="2">
        <v>45746</v>
      </c>
      <c r="E1545" t="s">
        <v>18</v>
      </c>
      <c r="F1545" t="s">
        <v>22</v>
      </c>
      <c r="G1545" t="s">
        <v>25</v>
      </c>
      <c r="H1545" t="s">
        <v>29</v>
      </c>
      <c r="I1545" t="s">
        <v>34</v>
      </c>
      <c r="J1545" t="s">
        <v>42</v>
      </c>
      <c r="K1545" t="s">
        <v>47</v>
      </c>
      <c r="L1545" t="s">
        <v>52</v>
      </c>
      <c r="M1545">
        <v>32465</v>
      </c>
      <c r="N1545">
        <v>0.25</v>
      </c>
      <c r="O1545">
        <v>1563</v>
      </c>
      <c r="P1545">
        <v>7</v>
      </c>
      <c r="Q1545" t="s">
        <v>54</v>
      </c>
      <c r="R1545" t="s">
        <v>61</v>
      </c>
    </row>
    <row r="1546" spans="1:18">
      <c r="A1546">
        <v>11545</v>
      </c>
      <c r="B1546" s="2">
        <v>45741</v>
      </c>
      <c r="C1546" s="2">
        <v>45743</v>
      </c>
      <c r="D1546" s="2">
        <v>45747</v>
      </c>
      <c r="E1546" t="s">
        <v>20</v>
      </c>
      <c r="F1546" t="s">
        <v>22</v>
      </c>
      <c r="G1546" t="s">
        <v>27</v>
      </c>
      <c r="H1546" t="s">
        <v>29</v>
      </c>
      <c r="I1546" t="s">
        <v>34</v>
      </c>
      <c r="J1546" t="s">
        <v>37</v>
      </c>
      <c r="K1546" t="s">
        <v>44</v>
      </c>
      <c r="L1546" t="s">
        <v>53</v>
      </c>
      <c r="M1546">
        <v>42685</v>
      </c>
      <c r="N1546">
        <v>0.18</v>
      </c>
      <c r="O1546">
        <v>13114</v>
      </c>
      <c r="P1546">
        <v>17</v>
      </c>
      <c r="Q1546" t="s">
        <v>54</v>
      </c>
      <c r="R1546" t="s">
        <v>61</v>
      </c>
    </row>
    <row r="1547" spans="1:18">
      <c r="A1547">
        <v>11546</v>
      </c>
      <c r="B1547" s="2">
        <v>45742</v>
      </c>
      <c r="C1547" s="2">
        <v>45744</v>
      </c>
      <c r="D1547" s="2">
        <v>45748</v>
      </c>
      <c r="E1547" t="s">
        <v>21</v>
      </c>
      <c r="F1547" t="s">
        <v>22</v>
      </c>
      <c r="G1547" t="s">
        <v>25</v>
      </c>
      <c r="H1547" t="s">
        <v>32</v>
      </c>
      <c r="I1547" t="s">
        <v>35</v>
      </c>
      <c r="J1547" t="s">
        <v>40</v>
      </c>
      <c r="K1547" t="s">
        <v>49</v>
      </c>
      <c r="L1547" t="s">
        <v>53</v>
      </c>
      <c r="M1547">
        <v>58875</v>
      </c>
      <c r="N1547">
        <v>0.2</v>
      </c>
      <c r="O1547">
        <v>9203</v>
      </c>
      <c r="P1547">
        <v>6</v>
      </c>
      <c r="Q1547" t="s">
        <v>55</v>
      </c>
      <c r="R1547" t="s">
        <v>60</v>
      </c>
    </row>
    <row r="1548" spans="1:18">
      <c r="A1548">
        <v>11547</v>
      </c>
      <c r="B1548" s="2">
        <v>45743</v>
      </c>
      <c r="C1548" s="2">
        <v>45745</v>
      </c>
      <c r="D1548" s="2">
        <v>45749</v>
      </c>
      <c r="E1548" t="s">
        <v>19</v>
      </c>
      <c r="F1548" t="s">
        <v>22</v>
      </c>
      <c r="G1548" t="s">
        <v>28</v>
      </c>
      <c r="H1548" t="s">
        <v>30</v>
      </c>
      <c r="I1548" t="s">
        <v>34</v>
      </c>
      <c r="J1548" t="s">
        <v>39</v>
      </c>
      <c r="K1548" t="s">
        <v>47</v>
      </c>
      <c r="L1548" t="s">
        <v>52</v>
      </c>
      <c r="M1548">
        <v>48096</v>
      </c>
      <c r="N1548">
        <v>0.19</v>
      </c>
      <c r="O1548">
        <v>14691</v>
      </c>
      <c r="P1548">
        <v>1</v>
      </c>
      <c r="Q1548" t="s">
        <v>54</v>
      </c>
      <c r="R1548" t="s">
        <v>61</v>
      </c>
    </row>
    <row r="1549" spans="1:18">
      <c r="A1549">
        <v>11548</v>
      </c>
      <c r="B1549" s="2">
        <v>45744</v>
      </c>
      <c r="C1549" s="2">
        <v>45746</v>
      </c>
      <c r="D1549" s="2">
        <v>45750</v>
      </c>
      <c r="E1549" t="s">
        <v>21</v>
      </c>
      <c r="F1549" t="s">
        <v>22</v>
      </c>
      <c r="G1549" t="s">
        <v>28</v>
      </c>
      <c r="H1549" t="s">
        <v>32</v>
      </c>
      <c r="I1549" t="s">
        <v>36</v>
      </c>
      <c r="J1549" t="s">
        <v>43</v>
      </c>
      <c r="K1549" t="s">
        <v>49</v>
      </c>
      <c r="L1549" t="s">
        <v>52</v>
      </c>
      <c r="M1549">
        <v>2974</v>
      </c>
      <c r="N1549">
        <v>0.2</v>
      </c>
      <c r="O1549">
        <v>11733</v>
      </c>
      <c r="P1549">
        <v>17</v>
      </c>
      <c r="Q1549" t="s">
        <v>58</v>
      </c>
      <c r="R1549" t="s">
        <v>60</v>
      </c>
    </row>
    <row r="1550" spans="1:18">
      <c r="A1550">
        <v>11549</v>
      </c>
      <c r="B1550" s="2">
        <v>45745</v>
      </c>
      <c r="C1550" s="2">
        <v>45747</v>
      </c>
      <c r="D1550" s="2">
        <v>45751</v>
      </c>
      <c r="E1550" t="s">
        <v>18</v>
      </c>
      <c r="F1550" t="s">
        <v>22</v>
      </c>
      <c r="G1550" t="s">
        <v>23</v>
      </c>
      <c r="H1550" t="s">
        <v>30</v>
      </c>
      <c r="I1550" t="s">
        <v>36</v>
      </c>
      <c r="J1550" t="s">
        <v>42</v>
      </c>
      <c r="K1550" t="s">
        <v>45</v>
      </c>
      <c r="L1550" t="s">
        <v>52</v>
      </c>
      <c r="M1550">
        <v>28700</v>
      </c>
      <c r="N1550">
        <v>0.14000000000000001</v>
      </c>
      <c r="O1550">
        <v>16172</v>
      </c>
      <c r="P1550">
        <v>22</v>
      </c>
      <c r="Q1550" t="s">
        <v>55</v>
      </c>
      <c r="R1550" t="s">
        <v>61</v>
      </c>
    </row>
    <row r="1551" spans="1:18">
      <c r="A1551">
        <v>11550</v>
      </c>
      <c r="B1551" s="2">
        <v>45746</v>
      </c>
      <c r="C1551" s="2">
        <v>45748</v>
      </c>
      <c r="D1551" s="2">
        <v>45752</v>
      </c>
      <c r="E1551" t="s">
        <v>20</v>
      </c>
      <c r="F1551" t="s">
        <v>22</v>
      </c>
      <c r="G1551" t="s">
        <v>24</v>
      </c>
      <c r="H1551" t="s">
        <v>32</v>
      </c>
      <c r="I1551" t="s">
        <v>36</v>
      </c>
      <c r="J1551" t="s">
        <v>38</v>
      </c>
      <c r="K1551" t="s">
        <v>47</v>
      </c>
      <c r="L1551" t="s">
        <v>53</v>
      </c>
      <c r="M1551">
        <v>10456</v>
      </c>
      <c r="N1551">
        <v>0.32</v>
      </c>
      <c r="O1551">
        <v>16045</v>
      </c>
      <c r="P1551">
        <v>19</v>
      </c>
      <c r="Q1551" t="s">
        <v>54</v>
      </c>
      <c r="R1551" t="s">
        <v>60</v>
      </c>
    </row>
    <row r="1552" spans="1:18">
      <c r="A1552">
        <v>11551</v>
      </c>
      <c r="B1552" s="2">
        <v>45747</v>
      </c>
      <c r="C1552" s="2">
        <v>45749</v>
      </c>
      <c r="D1552" s="2">
        <v>45753</v>
      </c>
      <c r="E1552" t="s">
        <v>20</v>
      </c>
      <c r="F1552" t="s">
        <v>22</v>
      </c>
      <c r="G1552" t="s">
        <v>23</v>
      </c>
      <c r="H1552" t="s">
        <v>33</v>
      </c>
      <c r="I1552" t="s">
        <v>36</v>
      </c>
      <c r="J1552" t="s">
        <v>42</v>
      </c>
      <c r="K1552" t="s">
        <v>47</v>
      </c>
      <c r="L1552" t="s">
        <v>53</v>
      </c>
      <c r="M1552">
        <v>31655</v>
      </c>
      <c r="N1552">
        <v>0.22</v>
      </c>
      <c r="O1552">
        <v>19864</v>
      </c>
      <c r="P1552">
        <v>23</v>
      </c>
      <c r="Q1552" t="s">
        <v>54</v>
      </c>
      <c r="R1552" t="s">
        <v>60</v>
      </c>
    </row>
    <row r="1553" spans="1:18">
      <c r="A1553">
        <v>11552</v>
      </c>
      <c r="B1553" s="2">
        <v>45748</v>
      </c>
      <c r="C1553" s="2">
        <v>45750</v>
      </c>
      <c r="D1553" s="2">
        <v>45754</v>
      </c>
      <c r="E1553" t="s">
        <v>20</v>
      </c>
      <c r="F1553" t="s">
        <v>22</v>
      </c>
      <c r="G1553" t="s">
        <v>23</v>
      </c>
      <c r="H1553" t="s">
        <v>30</v>
      </c>
      <c r="I1553" t="s">
        <v>35</v>
      </c>
      <c r="J1553" t="s">
        <v>40</v>
      </c>
      <c r="K1553" t="s">
        <v>47</v>
      </c>
      <c r="L1553" t="s">
        <v>51</v>
      </c>
      <c r="M1553">
        <v>49055</v>
      </c>
      <c r="N1553">
        <v>0.35</v>
      </c>
      <c r="O1553">
        <v>16391</v>
      </c>
      <c r="P1553">
        <v>6</v>
      </c>
      <c r="Q1553" t="s">
        <v>54</v>
      </c>
      <c r="R1553" t="s">
        <v>59</v>
      </c>
    </row>
    <row r="1554" spans="1:18">
      <c r="A1554">
        <v>11553</v>
      </c>
      <c r="B1554" s="2">
        <v>45749</v>
      </c>
      <c r="C1554" s="2">
        <v>45751</v>
      </c>
      <c r="D1554" s="2">
        <v>45755</v>
      </c>
      <c r="E1554" t="s">
        <v>18</v>
      </c>
      <c r="F1554" t="s">
        <v>22</v>
      </c>
      <c r="G1554" t="s">
        <v>28</v>
      </c>
      <c r="H1554" t="s">
        <v>30</v>
      </c>
      <c r="I1554" t="s">
        <v>36</v>
      </c>
      <c r="J1554" t="s">
        <v>37</v>
      </c>
      <c r="K1554" t="s">
        <v>44</v>
      </c>
      <c r="L1554" t="s">
        <v>51</v>
      </c>
      <c r="M1554">
        <v>66560</v>
      </c>
      <c r="N1554">
        <v>0.39</v>
      </c>
      <c r="O1554">
        <v>3983</v>
      </c>
      <c r="P1554">
        <v>11</v>
      </c>
      <c r="Q1554" t="s">
        <v>55</v>
      </c>
      <c r="R1554" t="s">
        <v>59</v>
      </c>
    </row>
    <row r="1555" spans="1:18">
      <c r="A1555">
        <v>11554</v>
      </c>
      <c r="B1555" s="2">
        <v>45750</v>
      </c>
      <c r="C1555" s="2">
        <v>45752</v>
      </c>
      <c r="D1555" s="2">
        <v>45756</v>
      </c>
      <c r="E1555" t="s">
        <v>21</v>
      </c>
      <c r="F1555" t="s">
        <v>22</v>
      </c>
      <c r="G1555" t="s">
        <v>26</v>
      </c>
      <c r="H1555" t="s">
        <v>31</v>
      </c>
      <c r="I1555" t="s">
        <v>34</v>
      </c>
      <c r="J1555" t="s">
        <v>43</v>
      </c>
      <c r="K1555" t="s">
        <v>47</v>
      </c>
      <c r="L1555" t="s">
        <v>51</v>
      </c>
      <c r="M1555">
        <v>33832</v>
      </c>
      <c r="N1555">
        <v>0.22</v>
      </c>
      <c r="O1555">
        <v>7173</v>
      </c>
      <c r="P1555">
        <v>8</v>
      </c>
      <c r="Q1555" t="s">
        <v>54</v>
      </c>
      <c r="R1555" t="s">
        <v>61</v>
      </c>
    </row>
    <row r="1556" spans="1:18">
      <c r="A1556">
        <v>11555</v>
      </c>
      <c r="B1556" s="2">
        <v>45751</v>
      </c>
      <c r="C1556" s="2">
        <v>45753</v>
      </c>
      <c r="D1556" s="2">
        <v>45757</v>
      </c>
      <c r="E1556" t="s">
        <v>21</v>
      </c>
      <c r="F1556" t="s">
        <v>22</v>
      </c>
      <c r="G1556" t="s">
        <v>26</v>
      </c>
      <c r="H1556" t="s">
        <v>33</v>
      </c>
      <c r="I1556" t="s">
        <v>36</v>
      </c>
      <c r="J1556" t="s">
        <v>39</v>
      </c>
      <c r="K1556" t="s">
        <v>47</v>
      </c>
      <c r="L1556" t="s">
        <v>53</v>
      </c>
      <c r="M1556">
        <v>58800</v>
      </c>
      <c r="N1556">
        <v>0.26</v>
      </c>
      <c r="O1556">
        <v>8199</v>
      </c>
      <c r="P1556">
        <v>18</v>
      </c>
      <c r="Q1556" t="s">
        <v>54</v>
      </c>
      <c r="R1556" t="s">
        <v>62</v>
      </c>
    </row>
    <row r="1557" spans="1:18">
      <c r="A1557">
        <v>11556</v>
      </c>
      <c r="B1557" s="2">
        <v>45752</v>
      </c>
      <c r="C1557" s="2">
        <v>45754</v>
      </c>
      <c r="D1557" s="2">
        <v>45758</v>
      </c>
      <c r="E1557" t="s">
        <v>18</v>
      </c>
      <c r="F1557" t="s">
        <v>22</v>
      </c>
      <c r="G1557" t="s">
        <v>25</v>
      </c>
      <c r="H1557" t="s">
        <v>30</v>
      </c>
      <c r="I1557" t="s">
        <v>36</v>
      </c>
      <c r="J1557" t="s">
        <v>39</v>
      </c>
      <c r="K1557" t="s">
        <v>46</v>
      </c>
      <c r="L1557" t="s">
        <v>53</v>
      </c>
      <c r="M1557">
        <v>21267</v>
      </c>
      <c r="N1557">
        <v>0.27</v>
      </c>
      <c r="O1557">
        <v>-233</v>
      </c>
      <c r="P1557">
        <v>16</v>
      </c>
      <c r="Q1557" t="s">
        <v>58</v>
      </c>
      <c r="R1557" t="s">
        <v>62</v>
      </c>
    </row>
    <row r="1558" spans="1:18">
      <c r="A1558">
        <v>11557</v>
      </c>
      <c r="B1558" s="2">
        <v>45753</v>
      </c>
      <c r="C1558" s="2">
        <v>45755</v>
      </c>
      <c r="D1558" s="2">
        <v>45759</v>
      </c>
      <c r="E1558" t="s">
        <v>19</v>
      </c>
      <c r="F1558" t="s">
        <v>22</v>
      </c>
      <c r="G1558" t="s">
        <v>24</v>
      </c>
      <c r="H1558" t="s">
        <v>33</v>
      </c>
      <c r="I1558" t="s">
        <v>35</v>
      </c>
      <c r="J1558" t="s">
        <v>43</v>
      </c>
      <c r="K1558" t="s">
        <v>44</v>
      </c>
      <c r="L1558" t="s">
        <v>53</v>
      </c>
      <c r="M1558">
        <v>26800</v>
      </c>
      <c r="N1558">
        <v>0.35</v>
      </c>
      <c r="O1558">
        <v>7383</v>
      </c>
      <c r="P1558">
        <v>24</v>
      </c>
      <c r="Q1558" t="s">
        <v>54</v>
      </c>
      <c r="R1558" t="s">
        <v>61</v>
      </c>
    </row>
    <row r="1559" spans="1:18">
      <c r="A1559">
        <v>11558</v>
      </c>
      <c r="B1559" s="2">
        <v>45754</v>
      </c>
      <c r="C1559" s="2">
        <v>45756</v>
      </c>
      <c r="D1559" s="2">
        <v>45760</v>
      </c>
      <c r="E1559" t="s">
        <v>18</v>
      </c>
      <c r="F1559" t="s">
        <v>22</v>
      </c>
      <c r="G1559" t="s">
        <v>28</v>
      </c>
      <c r="H1559" t="s">
        <v>29</v>
      </c>
      <c r="I1559" t="s">
        <v>35</v>
      </c>
      <c r="J1559" t="s">
        <v>37</v>
      </c>
      <c r="K1559" t="s">
        <v>47</v>
      </c>
      <c r="L1559" t="s">
        <v>53</v>
      </c>
      <c r="M1559">
        <v>55438</v>
      </c>
      <c r="N1559">
        <v>0.34</v>
      </c>
      <c r="O1559">
        <v>979</v>
      </c>
      <c r="P1559">
        <v>23</v>
      </c>
      <c r="Q1559" t="s">
        <v>57</v>
      </c>
      <c r="R1559" t="s">
        <v>60</v>
      </c>
    </row>
    <row r="1560" spans="1:18">
      <c r="A1560">
        <v>11559</v>
      </c>
      <c r="B1560" s="2">
        <v>45755</v>
      </c>
      <c r="C1560" s="2">
        <v>45757</v>
      </c>
      <c r="D1560" s="2">
        <v>45761</v>
      </c>
      <c r="E1560" t="s">
        <v>18</v>
      </c>
      <c r="F1560" t="s">
        <v>22</v>
      </c>
      <c r="G1560" t="s">
        <v>23</v>
      </c>
      <c r="H1560" t="s">
        <v>31</v>
      </c>
      <c r="I1560" t="s">
        <v>34</v>
      </c>
      <c r="J1560" t="s">
        <v>42</v>
      </c>
      <c r="K1560" t="s">
        <v>49</v>
      </c>
      <c r="L1560" t="s">
        <v>52</v>
      </c>
      <c r="M1560">
        <v>31262</v>
      </c>
      <c r="N1560">
        <v>0.02</v>
      </c>
      <c r="O1560">
        <v>14408</v>
      </c>
      <c r="P1560">
        <v>17</v>
      </c>
      <c r="Q1560" t="s">
        <v>55</v>
      </c>
      <c r="R1560" t="s">
        <v>60</v>
      </c>
    </row>
    <row r="1561" spans="1:18">
      <c r="A1561">
        <v>11560</v>
      </c>
      <c r="B1561" s="2">
        <v>45756</v>
      </c>
      <c r="C1561" s="2">
        <v>45758</v>
      </c>
      <c r="D1561" s="2">
        <v>45762</v>
      </c>
      <c r="E1561" t="s">
        <v>20</v>
      </c>
      <c r="F1561" t="s">
        <v>22</v>
      </c>
      <c r="G1561" t="s">
        <v>27</v>
      </c>
      <c r="H1561" t="s">
        <v>29</v>
      </c>
      <c r="I1561" t="s">
        <v>36</v>
      </c>
      <c r="J1561" t="s">
        <v>38</v>
      </c>
      <c r="K1561" t="s">
        <v>50</v>
      </c>
      <c r="L1561" t="s">
        <v>53</v>
      </c>
      <c r="M1561">
        <v>19612</v>
      </c>
      <c r="N1561">
        <v>0.25</v>
      </c>
      <c r="O1561">
        <v>7211</v>
      </c>
      <c r="P1561">
        <v>19</v>
      </c>
      <c r="Q1561" t="s">
        <v>58</v>
      </c>
      <c r="R1561" t="s">
        <v>61</v>
      </c>
    </row>
    <row r="1562" spans="1:18">
      <c r="A1562">
        <v>11561</v>
      </c>
      <c r="B1562" s="2">
        <v>45757</v>
      </c>
      <c r="C1562" s="2">
        <v>45759</v>
      </c>
      <c r="D1562" s="2">
        <v>45763</v>
      </c>
      <c r="E1562" t="s">
        <v>20</v>
      </c>
      <c r="F1562" t="s">
        <v>22</v>
      </c>
      <c r="G1562" t="s">
        <v>27</v>
      </c>
      <c r="H1562" t="s">
        <v>25</v>
      </c>
      <c r="I1562" t="s">
        <v>35</v>
      </c>
      <c r="J1562" t="s">
        <v>37</v>
      </c>
      <c r="K1562" t="s">
        <v>50</v>
      </c>
      <c r="L1562" t="s">
        <v>53</v>
      </c>
      <c r="M1562">
        <v>31963</v>
      </c>
      <c r="N1562">
        <v>0.04</v>
      </c>
      <c r="O1562">
        <v>-1839</v>
      </c>
      <c r="P1562">
        <v>10</v>
      </c>
      <c r="Q1562" t="s">
        <v>56</v>
      </c>
      <c r="R1562" t="s">
        <v>61</v>
      </c>
    </row>
    <row r="1563" spans="1:18">
      <c r="A1563">
        <v>11562</v>
      </c>
      <c r="B1563" s="2">
        <v>45758</v>
      </c>
      <c r="C1563" s="2">
        <v>45760</v>
      </c>
      <c r="D1563" s="2">
        <v>45764</v>
      </c>
      <c r="E1563" t="s">
        <v>20</v>
      </c>
      <c r="F1563" t="s">
        <v>22</v>
      </c>
      <c r="G1563" t="s">
        <v>25</v>
      </c>
      <c r="H1563" t="s">
        <v>31</v>
      </c>
      <c r="I1563" t="s">
        <v>35</v>
      </c>
      <c r="J1563" t="s">
        <v>39</v>
      </c>
      <c r="K1563" t="s">
        <v>44</v>
      </c>
      <c r="L1563" t="s">
        <v>51</v>
      </c>
      <c r="M1563">
        <v>70227</v>
      </c>
      <c r="N1563">
        <v>0.18</v>
      </c>
      <c r="O1563">
        <v>10237</v>
      </c>
      <c r="P1563">
        <v>23</v>
      </c>
      <c r="Q1563" t="s">
        <v>54</v>
      </c>
      <c r="R1563" t="s">
        <v>60</v>
      </c>
    </row>
    <row r="1564" spans="1:18">
      <c r="A1564">
        <v>11563</v>
      </c>
      <c r="B1564" s="2">
        <v>45759</v>
      </c>
      <c r="C1564" s="2">
        <v>45761</v>
      </c>
      <c r="D1564" s="2">
        <v>45765</v>
      </c>
      <c r="E1564" t="s">
        <v>21</v>
      </c>
      <c r="F1564" t="s">
        <v>22</v>
      </c>
      <c r="G1564" t="s">
        <v>24</v>
      </c>
      <c r="H1564" t="s">
        <v>31</v>
      </c>
      <c r="I1564" t="s">
        <v>35</v>
      </c>
      <c r="J1564" t="s">
        <v>41</v>
      </c>
      <c r="K1564" t="s">
        <v>50</v>
      </c>
      <c r="L1564" t="s">
        <v>52</v>
      </c>
      <c r="M1564">
        <v>2488</v>
      </c>
      <c r="N1564">
        <v>0.22</v>
      </c>
      <c r="O1564">
        <v>5533</v>
      </c>
      <c r="P1564">
        <v>5</v>
      </c>
      <c r="Q1564" t="s">
        <v>54</v>
      </c>
      <c r="R1564" t="s">
        <v>61</v>
      </c>
    </row>
    <row r="1565" spans="1:18">
      <c r="A1565">
        <v>11564</v>
      </c>
      <c r="B1565" s="2">
        <v>45760</v>
      </c>
      <c r="C1565" s="2">
        <v>45762</v>
      </c>
      <c r="D1565" s="2">
        <v>45766</v>
      </c>
      <c r="E1565" t="s">
        <v>20</v>
      </c>
      <c r="F1565" t="s">
        <v>22</v>
      </c>
      <c r="G1565" t="s">
        <v>28</v>
      </c>
      <c r="H1565" t="s">
        <v>31</v>
      </c>
      <c r="I1565" t="s">
        <v>34</v>
      </c>
      <c r="J1565" t="s">
        <v>43</v>
      </c>
      <c r="K1565" t="s">
        <v>45</v>
      </c>
      <c r="L1565" t="s">
        <v>51</v>
      </c>
      <c r="M1565">
        <v>724</v>
      </c>
      <c r="N1565">
        <v>0.13</v>
      </c>
      <c r="O1565">
        <v>12392</v>
      </c>
      <c r="P1565">
        <v>14</v>
      </c>
      <c r="Q1565" t="s">
        <v>54</v>
      </c>
      <c r="R1565" t="s">
        <v>61</v>
      </c>
    </row>
    <row r="1566" spans="1:18">
      <c r="A1566">
        <v>11565</v>
      </c>
      <c r="B1566" s="2">
        <v>45761</v>
      </c>
      <c r="C1566" s="2">
        <v>45763</v>
      </c>
      <c r="D1566" s="2">
        <v>45767</v>
      </c>
      <c r="E1566" t="s">
        <v>20</v>
      </c>
      <c r="F1566" t="s">
        <v>22</v>
      </c>
      <c r="G1566" t="s">
        <v>27</v>
      </c>
      <c r="H1566" t="s">
        <v>31</v>
      </c>
      <c r="I1566" t="s">
        <v>34</v>
      </c>
      <c r="J1566" t="s">
        <v>42</v>
      </c>
      <c r="K1566" t="s">
        <v>49</v>
      </c>
      <c r="L1566" t="s">
        <v>51</v>
      </c>
      <c r="M1566">
        <v>4115</v>
      </c>
      <c r="N1566">
        <v>0.35</v>
      </c>
      <c r="O1566">
        <v>6659</v>
      </c>
      <c r="P1566">
        <v>5</v>
      </c>
      <c r="Q1566" t="s">
        <v>56</v>
      </c>
      <c r="R1566" t="s">
        <v>62</v>
      </c>
    </row>
    <row r="1567" spans="1:18">
      <c r="A1567">
        <v>11566</v>
      </c>
      <c r="B1567" s="2">
        <v>45762</v>
      </c>
      <c r="C1567" s="2">
        <v>45764</v>
      </c>
      <c r="D1567" s="2">
        <v>45768</v>
      </c>
      <c r="E1567" t="s">
        <v>19</v>
      </c>
      <c r="F1567" t="s">
        <v>22</v>
      </c>
      <c r="G1567" t="s">
        <v>24</v>
      </c>
      <c r="H1567" t="s">
        <v>32</v>
      </c>
      <c r="I1567" t="s">
        <v>36</v>
      </c>
      <c r="J1567" t="s">
        <v>37</v>
      </c>
      <c r="K1567" t="s">
        <v>46</v>
      </c>
      <c r="L1567" t="s">
        <v>52</v>
      </c>
      <c r="M1567">
        <v>18859</v>
      </c>
      <c r="N1567">
        <v>0.28000000000000003</v>
      </c>
      <c r="O1567">
        <v>2981</v>
      </c>
      <c r="P1567">
        <v>10</v>
      </c>
      <c r="Q1567" t="s">
        <v>58</v>
      </c>
      <c r="R1567" t="s">
        <v>61</v>
      </c>
    </row>
    <row r="1568" spans="1:18">
      <c r="A1568">
        <v>11567</v>
      </c>
      <c r="B1568" s="2">
        <v>45763</v>
      </c>
      <c r="C1568" s="2">
        <v>45765</v>
      </c>
      <c r="D1568" s="2">
        <v>45769</v>
      </c>
      <c r="E1568" t="s">
        <v>19</v>
      </c>
      <c r="F1568" t="s">
        <v>22</v>
      </c>
      <c r="G1568" t="s">
        <v>25</v>
      </c>
      <c r="H1568" t="s">
        <v>33</v>
      </c>
      <c r="I1568" t="s">
        <v>35</v>
      </c>
      <c r="J1568" t="s">
        <v>40</v>
      </c>
      <c r="K1568" t="s">
        <v>47</v>
      </c>
      <c r="L1568" t="s">
        <v>51</v>
      </c>
      <c r="M1568">
        <v>12498</v>
      </c>
      <c r="N1568">
        <v>0.33</v>
      </c>
      <c r="O1568">
        <v>8715</v>
      </c>
      <c r="P1568">
        <v>14</v>
      </c>
      <c r="Q1568" t="s">
        <v>54</v>
      </c>
      <c r="R1568" t="s">
        <v>59</v>
      </c>
    </row>
    <row r="1569" spans="1:18">
      <c r="A1569">
        <v>11568</v>
      </c>
      <c r="B1569" s="2">
        <v>45764</v>
      </c>
      <c r="C1569" s="2">
        <v>45766</v>
      </c>
      <c r="D1569" s="2">
        <v>45770</v>
      </c>
      <c r="E1569" t="s">
        <v>21</v>
      </c>
      <c r="F1569" t="s">
        <v>22</v>
      </c>
      <c r="G1569" t="s">
        <v>27</v>
      </c>
      <c r="H1569" t="s">
        <v>31</v>
      </c>
      <c r="I1569" t="s">
        <v>35</v>
      </c>
      <c r="J1569" t="s">
        <v>38</v>
      </c>
      <c r="K1569" t="s">
        <v>48</v>
      </c>
      <c r="L1569" t="s">
        <v>53</v>
      </c>
      <c r="M1569">
        <v>56192</v>
      </c>
      <c r="N1569">
        <v>0.02</v>
      </c>
      <c r="O1569">
        <v>-789</v>
      </c>
      <c r="P1569">
        <v>12</v>
      </c>
      <c r="Q1569" t="s">
        <v>58</v>
      </c>
      <c r="R1569" t="s">
        <v>61</v>
      </c>
    </row>
    <row r="1570" spans="1:18">
      <c r="A1570">
        <v>11569</v>
      </c>
      <c r="B1570" s="2">
        <v>45765</v>
      </c>
      <c r="C1570" s="2">
        <v>45767</v>
      </c>
      <c r="D1570" s="2">
        <v>45771</v>
      </c>
      <c r="E1570" t="s">
        <v>19</v>
      </c>
      <c r="F1570" t="s">
        <v>22</v>
      </c>
      <c r="G1570" t="s">
        <v>28</v>
      </c>
      <c r="H1570" t="s">
        <v>25</v>
      </c>
      <c r="I1570" t="s">
        <v>34</v>
      </c>
      <c r="J1570" t="s">
        <v>42</v>
      </c>
      <c r="K1570" t="s">
        <v>45</v>
      </c>
      <c r="L1570" t="s">
        <v>52</v>
      </c>
      <c r="M1570">
        <v>20563</v>
      </c>
      <c r="N1570">
        <v>0.33</v>
      </c>
      <c r="O1570">
        <v>17007</v>
      </c>
      <c r="P1570">
        <v>16</v>
      </c>
      <c r="Q1570" t="s">
        <v>56</v>
      </c>
      <c r="R1570" t="s">
        <v>61</v>
      </c>
    </row>
    <row r="1571" spans="1:18">
      <c r="A1571">
        <v>11570</v>
      </c>
      <c r="B1571" s="2">
        <v>45766</v>
      </c>
      <c r="C1571" s="2">
        <v>45768</v>
      </c>
      <c r="D1571" s="2">
        <v>45772</v>
      </c>
      <c r="E1571" t="s">
        <v>21</v>
      </c>
      <c r="F1571" t="s">
        <v>22</v>
      </c>
      <c r="G1571" t="s">
        <v>28</v>
      </c>
      <c r="H1571" t="s">
        <v>29</v>
      </c>
      <c r="I1571" t="s">
        <v>34</v>
      </c>
      <c r="J1571" t="s">
        <v>38</v>
      </c>
      <c r="K1571" t="s">
        <v>44</v>
      </c>
      <c r="L1571" t="s">
        <v>53</v>
      </c>
      <c r="M1571">
        <v>56429</v>
      </c>
      <c r="N1571">
        <v>0.28999999999999998</v>
      </c>
      <c r="O1571">
        <v>6121</v>
      </c>
      <c r="P1571">
        <v>4</v>
      </c>
      <c r="Q1571" t="s">
        <v>56</v>
      </c>
      <c r="R1571" t="s">
        <v>61</v>
      </c>
    </row>
    <row r="1572" spans="1:18">
      <c r="A1572">
        <v>11571</v>
      </c>
      <c r="B1572" s="2">
        <v>45767</v>
      </c>
      <c r="C1572" s="2">
        <v>45769</v>
      </c>
      <c r="D1572" s="2">
        <v>45773</v>
      </c>
      <c r="E1572" t="s">
        <v>18</v>
      </c>
      <c r="F1572" t="s">
        <v>22</v>
      </c>
      <c r="G1572" t="s">
        <v>24</v>
      </c>
      <c r="H1572" t="s">
        <v>29</v>
      </c>
      <c r="I1572" t="s">
        <v>36</v>
      </c>
      <c r="J1572" t="s">
        <v>43</v>
      </c>
      <c r="K1572" t="s">
        <v>49</v>
      </c>
      <c r="L1572" t="s">
        <v>53</v>
      </c>
      <c r="M1572">
        <v>32746</v>
      </c>
      <c r="N1572">
        <v>0.25</v>
      </c>
      <c r="O1572">
        <v>7165</v>
      </c>
      <c r="P1572">
        <v>7</v>
      </c>
      <c r="Q1572" t="s">
        <v>56</v>
      </c>
      <c r="R1572" t="s">
        <v>60</v>
      </c>
    </row>
    <row r="1573" spans="1:18">
      <c r="A1573">
        <v>11572</v>
      </c>
      <c r="B1573" s="2">
        <v>45768</v>
      </c>
      <c r="C1573" s="2">
        <v>45770</v>
      </c>
      <c r="D1573" s="2">
        <v>45774</v>
      </c>
      <c r="E1573" t="s">
        <v>19</v>
      </c>
      <c r="F1573" t="s">
        <v>22</v>
      </c>
      <c r="G1573" t="s">
        <v>23</v>
      </c>
      <c r="H1573" t="s">
        <v>29</v>
      </c>
      <c r="I1573" t="s">
        <v>36</v>
      </c>
      <c r="J1573" t="s">
        <v>43</v>
      </c>
      <c r="K1573" t="s">
        <v>45</v>
      </c>
      <c r="L1573" t="s">
        <v>51</v>
      </c>
      <c r="M1573">
        <v>72188</v>
      </c>
      <c r="N1573">
        <v>0.04</v>
      </c>
      <c r="O1573">
        <v>11885</v>
      </c>
      <c r="P1573">
        <v>3</v>
      </c>
      <c r="Q1573" t="s">
        <v>54</v>
      </c>
      <c r="R1573" t="s">
        <v>59</v>
      </c>
    </row>
    <row r="1574" spans="1:18">
      <c r="A1574">
        <v>11573</v>
      </c>
      <c r="B1574" s="2">
        <v>45769</v>
      </c>
      <c r="C1574" s="2">
        <v>45771</v>
      </c>
      <c r="D1574" s="2">
        <v>45775</v>
      </c>
      <c r="E1574" t="s">
        <v>19</v>
      </c>
      <c r="F1574" t="s">
        <v>22</v>
      </c>
      <c r="G1574" t="s">
        <v>23</v>
      </c>
      <c r="H1574" t="s">
        <v>25</v>
      </c>
      <c r="I1574" t="s">
        <v>35</v>
      </c>
      <c r="J1574" t="s">
        <v>37</v>
      </c>
      <c r="K1574" t="s">
        <v>49</v>
      </c>
      <c r="L1574" t="s">
        <v>52</v>
      </c>
      <c r="M1574">
        <v>3579</v>
      </c>
      <c r="N1574">
        <v>0.31</v>
      </c>
      <c r="O1574">
        <v>16870</v>
      </c>
      <c r="P1574">
        <v>2</v>
      </c>
      <c r="Q1574" t="s">
        <v>54</v>
      </c>
      <c r="R1574" t="s">
        <v>62</v>
      </c>
    </row>
    <row r="1575" spans="1:18">
      <c r="A1575">
        <v>11574</v>
      </c>
      <c r="B1575" s="2">
        <v>45770</v>
      </c>
      <c r="C1575" s="2">
        <v>45772</v>
      </c>
      <c r="D1575" s="2">
        <v>45776</v>
      </c>
      <c r="E1575" t="s">
        <v>19</v>
      </c>
      <c r="F1575" t="s">
        <v>22</v>
      </c>
      <c r="G1575" t="s">
        <v>28</v>
      </c>
      <c r="H1575" t="s">
        <v>29</v>
      </c>
      <c r="I1575" t="s">
        <v>35</v>
      </c>
      <c r="J1575" t="s">
        <v>39</v>
      </c>
      <c r="K1575" t="s">
        <v>50</v>
      </c>
      <c r="L1575" t="s">
        <v>52</v>
      </c>
      <c r="M1575">
        <v>25277</v>
      </c>
      <c r="N1575">
        <v>0.4</v>
      </c>
      <c r="O1575">
        <v>-141</v>
      </c>
      <c r="P1575">
        <v>7</v>
      </c>
      <c r="Q1575" t="s">
        <v>54</v>
      </c>
      <c r="R1575" t="s">
        <v>60</v>
      </c>
    </row>
    <row r="1576" spans="1:18">
      <c r="A1576">
        <v>11575</v>
      </c>
      <c r="B1576" s="2">
        <v>45771</v>
      </c>
      <c r="C1576" s="2">
        <v>45773</v>
      </c>
      <c r="D1576" s="2">
        <v>45777</v>
      </c>
      <c r="E1576" t="s">
        <v>19</v>
      </c>
      <c r="F1576" t="s">
        <v>22</v>
      </c>
      <c r="G1576" t="s">
        <v>24</v>
      </c>
      <c r="H1576" t="s">
        <v>29</v>
      </c>
      <c r="I1576" t="s">
        <v>35</v>
      </c>
      <c r="J1576" t="s">
        <v>38</v>
      </c>
      <c r="K1576" t="s">
        <v>46</v>
      </c>
      <c r="L1576" t="s">
        <v>51</v>
      </c>
      <c r="M1576">
        <v>15380</v>
      </c>
      <c r="N1576">
        <v>0.04</v>
      </c>
      <c r="O1576">
        <v>6690</v>
      </c>
      <c r="P1576">
        <v>15</v>
      </c>
      <c r="Q1576" t="s">
        <v>54</v>
      </c>
      <c r="R1576" t="s">
        <v>62</v>
      </c>
    </row>
    <row r="1577" spans="1:18">
      <c r="A1577">
        <v>11576</v>
      </c>
      <c r="B1577" s="2">
        <v>45772</v>
      </c>
      <c r="C1577" s="2">
        <v>45774</v>
      </c>
      <c r="D1577" s="2">
        <v>45778</v>
      </c>
      <c r="E1577" t="s">
        <v>20</v>
      </c>
      <c r="F1577" t="s">
        <v>22</v>
      </c>
      <c r="G1577" t="s">
        <v>27</v>
      </c>
      <c r="H1577" t="s">
        <v>29</v>
      </c>
      <c r="I1577" t="s">
        <v>34</v>
      </c>
      <c r="J1577" t="s">
        <v>38</v>
      </c>
      <c r="K1577" t="s">
        <v>48</v>
      </c>
      <c r="L1577" t="s">
        <v>52</v>
      </c>
      <c r="M1577">
        <v>49720</v>
      </c>
      <c r="N1577">
        <v>0.28000000000000003</v>
      </c>
      <c r="O1577">
        <v>-1297</v>
      </c>
      <c r="P1577">
        <v>1</v>
      </c>
      <c r="Q1577" t="s">
        <v>57</v>
      </c>
      <c r="R1577" t="s">
        <v>59</v>
      </c>
    </row>
    <row r="1578" spans="1:18">
      <c r="A1578">
        <v>11577</v>
      </c>
      <c r="B1578" s="2">
        <v>45773</v>
      </c>
      <c r="C1578" s="2">
        <v>45775</v>
      </c>
      <c r="D1578" s="2">
        <v>45779</v>
      </c>
      <c r="E1578" t="s">
        <v>18</v>
      </c>
      <c r="F1578" t="s">
        <v>22</v>
      </c>
      <c r="G1578" t="s">
        <v>25</v>
      </c>
      <c r="H1578" t="s">
        <v>29</v>
      </c>
      <c r="I1578" t="s">
        <v>34</v>
      </c>
      <c r="J1578" t="s">
        <v>40</v>
      </c>
      <c r="K1578" t="s">
        <v>45</v>
      </c>
      <c r="L1578" t="s">
        <v>52</v>
      </c>
      <c r="M1578">
        <v>7912</v>
      </c>
      <c r="N1578">
        <v>0.1</v>
      </c>
      <c r="O1578">
        <v>16270</v>
      </c>
      <c r="P1578">
        <v>10</v>
      </c>
      <c r="Q1578" t="s">
        <v>56</v>
      </c>
      <c r="R1578" t="s">
        <v>60</v>
      </c>
    </row>
    <row r="1579" spans="1:18">
      <c r="A1579">
        <v>11578</v>
      </c>
      <c r="B1579" s="2">
        <v>45774</v>
      </c>
      <c r="C1579" s="2">
        <v>45776</v>
      </c>
      <c r="D1579" s="2">
        <v>45780</v>
      </c>
      <c r="E1579" t="s">
        <v>20</v>
      </c>
      <c r="F1579" t="s">
        <v>22</v>
      </c>
      <c r="G1579" t="s">
        <v>27</v>
      </c>
      <c r="H1579" t="s">
        <v>29</v>
      </c>
      <c r="I1579" t="s">
        <v>35</v>
      </c>
      <c r="J1579" t="s">
        <v>38</v>
      </c>
      <c r="K1579" t="s">
        <v>47</v>
      </c>
      <c r="L1579" t="s">
        <v>53</v>
      </c>
      <c r="M1579">
        <v>29484</v>
      </c>
      <c r="N1579">
        <v>0.04</v>
      </c>
      <c r="O1579">
        <v>7058</v>
      </c>
      <c r="P1579">
        <v>10</v>
      </c>
      <c r="Q1579" t="s">
        <v>54</v>
      </c>
      <c r="R1579" t="s">
        <v>59</v>
      </c>
    </row>
    <row r="1580" spans="1:18">
      <c r="A1580">
        <v>11579</v>
      </c>
      <c r="B1580" s="2">
        <v>45775</v>
      </c>
      <c r="C1580" s="2">
        <v>45777</v>
      </c>
      <c r="D1580" s="2">
        <v>45781</v>
      </c>
      <c r="E1580" t="s">
        <v>20</v>
      </c>
      <c r="F1580" t="s">
        <v>22</v>
      </c>
      <c r="G1580" t="s">
        <v>28</v>
      </c>
      <c r="H1580" t="s">
        <v>31</v>
      </c>
      <c r="I1580" t="s">
        <v>34</v>
      </c>
      <c r="J1580" t="s">
        <v>43</v>
      </c>
      <c r="K1580" t="s">
        <v>44</v>
      </c>
      <c r="L1580" t="s">
        <v>51</v>
      </c>
      <c r="M1580">
        <v>3946</v>
      </c>
      <c r="N1580">
        <v>0.34</v>
      </c>
      <c r="O1580">
        <v>10967</v>
      </c>
      <c r="P1580">
        <v>23</v>
      </c>
      <c r="Q1580" t="s">
        <v>55</v>
      </c>
      <c r="R1580" t="s">
        <v>60</v>
      </c>
    </row>
    <row r="1581" spans="1:18">
      <c r="A1581">
        <v>11580</v>
      </c>
      <c r="B1581" s="2">
        <v>45776</v>
      </c>
      <c r="C1581" s="2">
        <v>45778</v>
      </c>
      <c r="D1581" s="2">
        <v>45782</v>
      </c>
      <c r="E1581" t="s">
        <v>18</v>
      </c>
      <c r="F1581" t="s">
        <v>22</v>
      </c>
      <c r="G1581" t="s">
        <v>28</v>
      </c>
      <c r="H1581" t="s">
        <v>29</v>
      </c>
      <c r="I1581" t="s">
        <v>34</v>
      </c>
      <c r="J1581" t="s">
        <v>42</v>
      </c>
      <c r="K1581" t="s">
        <v>50</v>
      </c>
      <c r="L1581" t="s">
        <v>52</v>
      </c>
      <c r="M1581">
        <v>31276</v>
      </c>
      <c r="N1581">
        <v>0.09</v>
      </c>
      <c r="O1581">
        <v>14069</v>
      </c>
      <c r="P1581">
        <v>9</v>
      </c>
      <c r="Q1581" t="s">
        <v>54</v>
      </c>
      <c r="R1581" t="s">
        <v>59</v>
      </c>
    </row>
    <row r="1582" spans="1:18">
      <c r="A1582">
        <v>11581</v>
      </c>
      <c r="B1582" s="2">
        <v>45777</v>
      </c>
      <c r="C1582" s="2">
        <v>45779</v>
      </c>
      <c r="D1582" s="2">
        <v>45783</v>
      </c>
      <c r="E1582" t="s">
        <v>20</v>
      </c>
      <c r="F1582" t="s">
        <v>22</v>
      </c>
      <c r="G1582" t="s">
        <v>25</v>
      </c>
      <c r="H1582" t="s">
        <v>30</v>
      </c>
      <c r="I1582" t="s">
        <v>36</v>
      </c>
      <c r="J1582" t="s">
        <v>37</v>
      </c>
      <c r="K1582" t="s">
        <v>50</v>
      </c>
      <c r="L1582" t="s">
        <v>51</v>
      </c>
      <c r="M1582">
        <v>62094</v>
      </c>
      <c r="N1582">
        <v>0.09</v>
      </c>
      <c r="O1582">
        <v>5809</v>
      </c>
      <c r="P1582">
        <v>8</v>
      </c>
      <c r="Q1582" t="s">
        <v>54</v>
      </c>
      <c r="R1582" t="s">
        <v>60</v>
      </c>
    </row>
    <row r="1583" spans="1:18">
      <c r="A1583">
        <v>11582</v>
      </c>
      <c r="B1583" s="2">
        <v>45778</v>
      </c>
      <c r="C1583" s="2">
        <v>45780</v>
      </c>
      <c r="D1583" s="2">
        <v>45784</v>
      </c>
      <c r="E1583" t="s">
        <v>19</v>
      </c>
      <c r="F1583" t="s">
        <v>22</v>
      </c>
      <c r="G1583" t="s">
        <v>24</v>
      </c>
      <c r="H1583" t="s">
        <v>31</v>
      </c>
      <c r="I1583" t="s">
        <v>36</v>
      </c>
      <c r="J1583" t="s">
        <v>41</v>
      </c>
      <c r="K1583" t="s">
        <v>50</v>
      </c>
      <c r="L1583" t="s">
        <v>52</v>
      </c>
      <c r="M1583">
        <v>8126</v>
      </c>
      <c r="N1583">
        <v>0.35</v>
      </c>
      <c r="O1583">
        <v>18741</v>
      </c>
      <c r="P1583">
        <v>18</v>
      </c>
      <c r="Q1583" t="s">
        <v>56</v>
      </c>
      <c r="R1583" t="s">
        <v>59</v>
      </c>
    </row>
    <row r="1584" spans="1:18">
      <c r="A1584">
        <v>11583</v>
      </c>
      <c r="B1584" s="2">
        <v>45779</v>
      </c>
      <c r="C1584" s="2">
        <v>45781</v>
      </c>
      <c r="D1584" s="2">
        <v>45785</v>
      </c>
      <c r="E1584" t="s">
        <v>20</v>
      </c>
      <c r="F1584" t="s">
        <v>22</v>
      </c>
      <c r="G1584" t="s">
        <v>24</v>
      </c>
      <c r="H1584" t="s">
        <v>32</v>
      </c>
      <c r="I1584" t="s">
        <v>35</v>
      </c>
      <c r="J1584" t="s">
        <v>43</v>
      </c>
      <c r="K1584" t="s">
        <v>46</v>
      </c>
      <c r="L1584" t="s">
        <v>51</v>
      </c>
      <c r="M1584">
        <v>3210</v>
      </c>
      <c r="N1584">
        <v>0.39</v>
      </c>
      <c r="O1584">
        <v>709</v>
      </c>
      <c r="P1584">
        <v>13</v>
      </c>
      <c r="Q1584" t="s">
        <v>55</v>
      </c>
      <c r="R1584" t="s">
        <v>59</v>
      </c>
    </row>
    <row r="1585" spans="1:18">
      <c r="A1585">
        <v>11584</v>
      </c>
      <c r="B1585" s="2">
        <v>45780</v>
      </c>
      <c r="C1585" s="2">
        <v>45782</v>
      </c>
      <c r="D1585" s="2">
        <v>45786</v>
      </c>
      <c r="E1585" t="s">
        <v>20</v>
      </c>
      <c r="F1585" t="s">
        <v>22</v>
      </c>
      <c r="G1585" t="s">
        <v>24</v>
      </c>
      <c r="H1585" t="s">
        <v>32</v>
      </c>
      <c r="I1585" t="s">
        <v>36</v>
      </c>
      <c r="J1585" t="s">
        <v>39</v>
      </c>
      <c r="K1585" t="s">
        <v>46</v>
      </c>
      <c r="L1585" t="s">
        <v>51</v>
      </c>
      <c r="M1585">
        <v>24649</v>
      </c>
      <c r="N1585">
        <v>0.28999999999999998</v>
      </c>
      <c r="O1585">
        <v>2878</v>
      </c>
      <c r="P1585">
        <v>20</v>
      </c>
      <c r="Q1585" t="s">
        <v>56</v>
      </c>
      <c r="R1585" t="s">
        <v>60</v>
      </c>
    </row>
    <row r="1586" spans="1:18">
      <c r="A1586">
        <v>11585</v>
      </c>
      <c r="B1586" s="2">
        <v>45781</v>
      </c>
      <c r="C1586" s="2">
        <v>45783</v>
      </c>
      <c r="D1586" s="2">
        <v>45787</v>
      </c>
      <c r="E1586" t="s">
        <v>18</v>
      </c>
      <c r="F1586" t="s">
        <v>22</v>
      </c>
      <c r="G1586" t="s">
        <v>26</v>
      </c>
      <c r="H1586" t="s">
        <v>32</v>
      </c>
      <c r="I1586" t="s">
        <v>36</v>
      </c>
      <c r="J1586" t="s">
        <v>37</v>
      </c>
      <c r="K1586" t="s">
        <v>46</v>
      </c>
      <c r="L1586" t="s">
        <v>52</v>
      </c>
      <c r="M1586">
        <v>23868</v>
      </c>
      <c r="N1586">
        <v>0.18</v>
      </c>
      <c r="O1586">
        <v>2542</v>
      </c>
      <c r="P1586">
        <v>20</v>
      </c>
      <c r="Q1586" t="s">
        <v>56</v>
      </c>
      <c r="R1586" t="s">
        <v>61</v>
      </c>
    </row>
    <row r="1587" spans="1:18">
      <c r="A1587">
        <v>11586</v>
      </c>
      <c r="B1587" s="2">
        <v>45782</v>
      </c>
      <c r="C1587" s="2">
        <v>45784</v>
      </c>
      <c r="D1587" s="2">
        <v>45788</v>
      </c>
      <c r="E1587" t="s">
        <v>19</v>
      </c>
      <c r="F1587" t="s">
        <v>22</v>
      </c>
      <c r="G1587" t="s">
        <v>26</v>
      </c>
      <c r="H1587" t="s">
        <v>33</v>
      </c>
      <c r="I1587" t="s">
        <v>36</v>
      </c>
      <c r="J1587" t="s">
        <v>41</v>
      </c>
      <c r="K1587" t="s">
        <v>47</v>
      </c>
      <c r="L1587" t="s">
        <v>51</v>
      </c>
      <c r="M1587">
        <v>72242</v>
      </c>
      <c r="N1587">
        <v>0.03</v>
      </c>
      <c r="O1587">
        <v>17223</v>
      </c>
      <c r="P1587">
        <v>2</v>
      </c>
      <c r="Q1587" t="s">
        <v>56</v>
      </c>
      <c r="R1587" t="s">
        <v>62</v>
      </c>
    </row>
    <row r="1588" spans="1:18">
      <c r="A1588">
        <v>11587</v>
      </c>
      <c r="B1588" s="2">
        <v>45783</v>
      </c>
      <c r="C1588" s="2">
        <v>45785</v>
      </c>
      <c r="D1588" s="2">
        <v>45789</v>
      </c>
      <c r="E1588" t="s">
        <v>21</v>
      </c>
      <c r="F1588" t="s">
        <v>22</v>
      </c>
      <c r="G1588" t="s">
        <v>24</v>
      </c>
      <c r="H1588" t="s">
        <v>30</v>
      </c>
      <c r="I1588" t="s">
        <v>34</v>
      </c>
      <c r="J1588" t="s">
        <v>37</v>
      </c>
      <c r="K1588" t="s">
        <v>45</v>
      </c>
      <c r="L1588" t="s">
        <v>51</v>
      </c>
      <c r="M1588">
        <v>72488</v>
      </c>
      <c r="N1588">
        <v>0.27</v>
      </c>
      <c r="O1588">
        <v>7500</v>
      </c>
      <c r="P1588">
        <v>20</v>
      </c>
      <c r="Q1588" t="s">
        <v>58</v>
      </c>
      <c r="R1588" t="s">
        <v>59</v>
      </c>
    </row>
    <row r="1589" spans="1:18">
      <c r="A1589">
        <v>11588</v>
      </c>
      <c r="B1589" s="2">
        <v>45784</v>
      </c>
      <c r="C1589" s="2">
        <v>45786</v>
      </c>
      <c r="D1589" s="2">
        <v>45790</v>
      </c>
      <c r="E1589" t="s">
        <v>19</v>
      </c>
      <c r="F1589" t="s">
        <v>22</v>
      </c>
      <c r="G1589" t="s">
        <v>23</v>
      </c>
      <c r="H1589" t="s">
        <v>31</v>
      </c>
      <c r="I1589" t="s">
        <v>34</v>
      </c>
      <c r="J1589" t="s">
        <v>38</v>
      </c>
      <c r="K1589" t="s">
        <v>46</v>
      </c>
      <c r="L1589" t="s">
        <v>52</v>
      </c>
      <c r="M1589">
        <v>49828</v>
      </c>
      <c r="N1589">
        <v>0.33</v>
      </c>
      <c r="O1589">
        <v>10210</v>
      </c>
      <c r="P1589">
        <v>23</v>
      </c>
      <c r="Q1589" t="s">
        <v>56</v>
      </c>
      <c r="R1589" t="s">
        <v>59</v>
      </c>
    </row>
    <row r="1590" spans="1:18">
      <c r="A1590">
        <v>11589</v>
      </c>
      <c r="B1590" s="2">
        <v>45785</v>
      </c>
      <c r="C1590" s="2">
        <v>45787</v>
      </c>
      <c r="D1590" s="2">
        <v>45791</v>
      </c>
      <c r="E1590" t="s">
        <v>18</v>
      </c>
      <c r="F1590" t="s">
        <v>22</v>
      </c>
      <c r="G1590" t="s">
        <v>27</v>
      </c>
      <c r="H1590" t="s">
        <v>32</v>
      </c>
      <c r="I1590" t="s">
        <v>34</v>
      </c>
      <c r="J1590" t="s">
        <v>39</v>
      </c>
      <c r="K1590" t="s">
        <v>50</v>
      </c>
      <c r="L1590" t="s">
        <v>52</v>
      </c>
      <c r="M1590">
        <v>1906</v>
      </c>
      <c r="N1590">
        <v>0.17</v>
      </c>
      <c r="O1590">
        <v>11109</v>
      </c>
      <c r="P1590">
        <v>6</v>
      </c>
      <c r="Q1590" t="s">
        <v>57</v>
      </c>
      <c r="R1590" t="s">
        <v>62</v>
      </c>
    </row>
    <row r="1591" spans="1:18">
      <c r="A1591">
        <v>11590</v>
      </c>
      <c r="B1591" s="2">
        <v>45786</v>
      </c>
      <c r="C1591" s="2">
        <v>45788</v>
      </c>
      <c r="D1591" s="2">
        <v>45792</v>
      </c>
      <c r="E1591" t="s">
        <v>18</v>
      </c>
      <c r="F1591" t="s">
        <v>22</v>
      </c>
      <c r="G1591" t="s">
        <v>23</v>
      </c>
      <c r="H1591" t="s">
        <v>25</v>
      </c>
      <c r="I1591" t="s">
        <v>35</v>
      </c>
      <c r="J1591" t="s">
        <v>40</v>
      </c>
      <c r="K1591" t="s">
        <v>46</v>
      </c>
      <c r="L1591" t="s">
        <v>51</v>
      </c>
      <c r="M1591">
        <v>41146</v>
      </c>
      <c r="N1591">
        <v>0.03</v>
      </c>
      <c r="O1591">
        <v>7453</v>
      </c>
      <c r="P1591">
        <v>13</v>
      </c>
      <c r="Q1591" t="s">
        <v>56</v>
      </c>
      <c r="R1591" t="s">
        <v>59</v>
      </c>
    </row>
    <row r="1592" spans="1:18">
      <c r="A1592">
        <v>11591</v>
      </c>
      <c r="B1592" s="2">
        <v>45787</v>
      </c>
      <c r="C1592" s="2">
        <v>45789</v>
      </c>
      <c r="D1592" s="2">
        <v>45793</v>
      </c>
      <c r="E1592" t="s">
        <v>19</v>
      </c>
      <c r="F1592" t="s">
        <v>22</v>
      </c>
      <c r="G1592" t="s">
        <v>26</v>
      </c>
      <c r="H1592" t="s">
        <v>25</v>
      </c>
      <c r="I1592" t="s">
        <v>34</v>
      </c>
      <c r="J1592" t="s">
        <v>37</v>
      </c>
      <c r="K1592" t="s">
        <v>47</v>
      </c>
      <c r="L1592" t="s">
        <v>52</v>
      </c>
      <c r="M1592">
        <v>51450</v>
      </c>
      <c r="N1592">
        <v>0.17</v>
      </c>
      <c r="O1592">
        <v>7200</v>
      </c>
      <c r="P1592">
        <v>17</v>
      </c>
      <c r="Q1592" t="s">
        <v>57</v>
      </c>
      <c r="R1592" t="s">
        <v>60</v>
      </c>
    </row>
    <row r="1593" spans="1:18">
      <c r="A1593">
        <v>11592</v>
      </c>
      <c r="B1593" s="2">
        <v>45788</v>
      </c>
      <c r="C1593" s="2">
        <v>45790</v>
      </c>
      <c r="D1593" s="2">
        <v>45794</v>
      </c>
      <c r="E1593" t="s">
        <v>21</v>
      </c>
      <c r="F1593" t="s">
        <v>22</v>
      </c>
      <c r="G1593" t="s">
        <v>27</v>
      </c>
      <c r="H1593" t="s">
        <v>32</v>
      </c>
      <c r="I1593" t="s">
        <v>35</v>
      </c>
      <c r="J1593" t="s">
        <v>39</v>
      </c>
      <c r="K1593" t="s">
        <v>49</v>
      </c>
      <c r="L1593" t="s">
        <v>51</v>
      </c>
      <c r="M1593">
        <v>21173</v>
      </c>
      <c r="N1593">
        <v>0.03</v>
      </c>
      <c r="O1593">
        <v>17026</v>
      </c>
      <c r="P1593">
        <v>21</v>
      </c>
      <c r="Q1593" t="s">
        <v>55</v>
      </c>
      <c r="R1593" t="s">
        <v>61</v>
      </c>
    </row>
    <row r="1594" spans="1:18">
      <c r="A1594">
        <v>11593</v>
      </c>
      <c r="B1594" s="2">
        <v>45789</v>
      </c>
      <c r="C1594" s="2">
        <v>45791</v>
      </c>
      <c r="D1594" s="2">
        <v>45795</v>
      </c>
      <c r="E1594" t="s">
        <v>20</v>
      </c>
      <c r="F1594" t="s">
        <v>22</v>
      </c>
      <c r="G1594" t="s">
        <v>24</v>
      </c>
      <c r="H1594" t="s">
        <v>32</v>
      </c>
      <c r="I1594" t="s">
        <v>34</v>
      </c>
      <c r="J1594" t="s">
        <v>41</v>
      </c>
      <c r="K1594" t="s">
        <v>45</v>
      </c>
      <c r="L1594" t="s">
        <v>53</v>
      </c>
      <c r="M1594">
        <v>21357</v>
      </c>
      <c r="N1594">
        <v>0.06</v>
      </c>
      <c r="O1594">
        <v>11622</v>
      </c>
      <c r="P1594">
        <v>14</v>
      </c>
      <c r="Q1594" t="s">
        <v>54</v>
      </c>
      <c r="R1594" t="s">
        <v>59</v>
      </c>
    </row>
    <row r="1595" spans="1:18">
      <c r="A1595">
        <v>11594</v>
      </c>
      <c r="B1595" s="2">
        <v>45790</v>
      </c>
      <c r="C1595" s="2">
        <v>45792</v>
      </c>
      <c r="D1595" s="2">
        <v>45796</v>
      </c>
      <c r="E1595" t="s">
        <v>20</v>
      </c>
      <c r="F1595" t="s">
        <v>22</v>
      </c>
      <c r="G1595" t="s">
        <v>28</v>
      </c>
      <c r="H1595" t="s">
        <v>30</v>
      </c>
      <c r="I1595" t="s">
        <v>35</v>
      </c>
      <c r="J1595" t="s">
        <v>40</v>
      </c>
      <c r="K1595" t="s">
        <v>46</v>
      </c>
      <c r="L1595" t="s">
        <v>53</v>
      </c>
      <c r="M1595">
        <v>34874</v>
      </c>
      <c r="N1595">
        <v>0.09</v>
      </c>
      <c r="O1595">
        <v>-946</v>
      </c>
      <c r="P1595">
        <v>17</v>
      </c>
      <c r="Q1595" t="s">
        <v>58</v>
      </c>
      <c r="R1595" t="s">
        <v>59</v>
      </c>
    </row>
    <row r="1596" spans="1:18">
      <c r="A1596">
        <v>11595</v>
      </c>
      <c r="B1596" s="2">
        <v>45791</v>
      </c>
      <c r="C1596" s="2">
        <v>45793</v>
      </c>
      <c r="D1596" s="2">
        <v>45797</v>
      </c>
      <c r="E1596" t="s">
        <v>19</v>
      </c>
      <c r="F1596" t="s">
        <v>22</v>
      </c>
      <c r="G1596" t="s">
        <v>23</v>
      </c>
      <c r="H1596" t="s">
        <v>31</v>
      </c>
      <c r="I1596" t="s">
        <v>36</v>
      </c>
      <c r="J1596" t="s">
        <v>41</v>
      </c>
      <c r="K1596" t="s">
        <v>47</v>
      </c>
      <c r="L1596" t="s">
        <v>51</v>
      </c>
      <c r="M1596">
        <v>59438</v>
      </c>
      <c r="N1596">
        <v>0.27</v>
      </c>
      <c r="O1596">
        <v>17382</v>
      </c>
      <c r="P1596">
        <v>21</v>
      </c>
      <c r="Q1596" t="s">
        <v>54</v>
      </c>
      <c r="R1596" t="s">
        <v>61</v>
      </c>
    </row>
    <row r="1597" spans="1:18">
      <c r="A1597">
        <v>11596</v>
      </c>
      <c r="B1597" s="2">
        <v>45792</v>
      </c>
      <c r="C1597" s="2">
        <v>45794</v>
      </c>
      <c r="D1597" s="2">
        <v>45798</v>
      </c>
      <c r="E1597" t="s">
        <v>20</v>
      </c>
      <c r="F1597" t="s">
        <v>22</v>
      </c>
      <c r="G1597" t="s">
        <v>26</v>
      </c>
      <c r="H1597" t="s">
        <v>30</v>
      </c>
      <c r="I1597" t="s">
        <v>36</v>
      </c>
      <c r="J1597" t="s">
        <v>37</v>
      </c>
      <c r="K1597" t="s">
        <v>49</v>
      </c>
      <c r="L1597" t="s">
        <v>52</v>
      </c>
      <c r="M1597">
        <v>23564</v>
      </c>
      <c r="N1597">
        <v>0.18</v>
      </c>
      <c r="O1597">
        <v>11309</v>
      </c>
      <c r="P1597">
        <v>12</v>
      </c>
      <c r="Q1597" t="s">
        <v>57</v>
      </c>
      <c r="R1597" t="s">
        <v>60</v>
      </c>
    </row>
    <row r="1598" spans="1:18">
      <c r="A1598">
        <v>11597</v>
      </c>
      <c r="B1598" s="2">
        <v>45793</v>
      </c>
      <c r="C1598" s="2">
        <v>45795</v>
      </c>
      <c r="D1598" s="2">
        <v>45799</v>
      </c>
      <c r="E1598" t="s">
        <v>19</v>
      </c>
      <c r="F1598" t="s">
        <v>22</v>
      </c>
      <c r="G1598" t="s">
        <v>27</v>
      </c>
      <c r="H1598" t="s">
        <v>31</v>
      </c>
      <c r="I1598" t="s">
        <v>35</v>
      </c>
      <c r="J1598" t="s">
        <v>43</v>
      </c>
      <c r="K1598" t="s">
        <v>44</v>
      </c>
      <c r="L1598" t="s">
        <v>51</v>
      </c>
      <c r="M1598">
        <v>3970</v>
      </c>
      <c r="N1598">
        <v>0.28999999999999998</v>
      </c>
      <c r="O1598">
        <v>3217</v>
      </c>
      <c r="P1598">
        <v>14</v>
      </c>
      <c r="Q1598" t="s">
        <v>56</v>
      </c>
      <c r="R1598" t="s">
        <v>62</v>
      </c>
    </row>
    <row r="1599" spans="1:18">
      <c r="A1599">
        <v>11598</v>
      </c>
      <c r="B1599" s="2">
        <v>45794</v>
      </c>
      <c r="C1599" s="2">
        <v>45796</v>
      </c>
      <c r="D1599" s="2">
        <v>45800</v>
      </c>
      <c r="E1599" t="s">
        <v>19</v>
      </c>
      <c r="F1599" t="s">
        <v>22</v>
      </c>
      <c r="G1599" t="s">
        <v>28</v>
      </c>
      <c r="H1599" t="s">
        <v>29</v>
      </c>
      <c r="I1599" t="s">
        <v>36</v>
      </c>
      <c r="J1599" t="s">
        <v>41</v>
      </c>
      <c r="K1599" t="s">
        <v>50</v>
      </c>
      <c r="L1599" t="s">
        <v>53</v>
      </c>
      <c r="M1599">
        <v>35040</v>
      </c>
      <c r="N1599">
        <v>0.33</v>
      </c>
      <c r="O1599">
        <v>3123</v>
      </c>
      <c r="P1599">
        <v>7</v>
      </c>
      <c r="Q1599" t="s">
        <v>56</v>
      </c>
      <c r="R1599" t="s">
        <v>61</v>
      </c>
    </row>
    <row r="1600" spans="1:18">
      <c r="A1600">
        <v>11599</v>
      </c>
      <c r="B1600" s="2">
        <v>45795</v>
      </c>
      <c r="C1600" s="2">
        <v>45797</v>
      </c>
      <c r="D1600" s="2">
        <v>45801</v>
      </c>
      <c r="E1600" t="s">
        <v>18</v>
      </c>
      <c r="F1600" t="s">
        <v>22</v>
      </c>
      <c r="G1600" t="s">
        <v>27</v>
      </c>
      <c r="H1600" t="s">
        <v>31</v>
      </c>
      <c r="I1600" t="s">
        <v>36</v>
      </c>
      <c r="J1600" t="s">
        <v>39</v>
      </c>
      <c r="K1600" t="s">
        <v>49</v>
      </c>
      <c r="L1600" t="s">
        <v>53</v>
      </c>
      <c r="M1600">
        <v>24750</v>
      </c>
      <c r="N1600">
        <v>0.28000000000000003</v>
      </c>
      <c r="O1600">
        <v>11850</v>
      </c>
      <c r="P1600">
        <v>9</v>
      </c>
      <c r="Q1600" t="s">
        <v>54</v>
      </c>
      <c r="R1600" t="s">
        <v>61</v>
      </c>
    </row>
    <row r="1601" spans="1:18">
      <c r="A1601">
        <v>11600</v>
      </c>
      <c r="B1601" s="2">
        <v>45796</v>
      </c>
      <c r="C1601" s="2">
        <v>45798</v>
      </c>
      <c r="D1601" s="2">
        <v>45802</v>
      </c>
      <c r="E1601" t="s">
        <v>20</v>
      </c>
      <c r="F1601" t="s">
        <v>22</v>
      </c>
      <c r="G1601" t="s">
        <v>27</v>
      </c>
      <c r="H1601" t="s">
        <v>29</v>
      </c>
      <c r="I1601" t="s">
        <v>34</v>
      </c>
      <c r="J1601" t="s">
        <v>43</v>
      </c>
      <c r="K1601" t="s">
        <v>44</v>
      </c>
      <c r="L1601" t="s">
        <v>53</v>
      </c>
      <c r="M1601">
        <v>67331</v>
      </c>
      <c r="N1601">
        <v>0.09</v>
      </c>
      <c r="O1601">
        <v>6725</v>
      </c>
      <c r="P1601">
        <v>14</v>
      </c>
      <c r="Q1601" t="s">
        <v>58</v>
      </c>
      <c r="R1601" t="s">
        <v>62</v>
      </c>
    </row>
    <row r="1602" spans="1:18">
      <c r="A1602">
        <v>11601</v>
      </c>
      <c r="B1602" s="2">
        <v>45797</v>
      </c>
      <c r="C1602" s="2">
        <v>45799</v>
      </c>
      <c r="D1602" s="2">
        <v>45803</v>
      </c>
      <c r="E1602" t="s">
        <v>20</v>
      </c>
      <c r="F1602" t="s">
        <v>22</v>
      </c>
      <c r="G1602" t="s">
        <v>25</v>
      </c>
      <c r="H1602" t="s">
        <v>32</v>
      </c>
      <c r="I1602" t="s">
        <v>35</v>
      </c>
      <c r="J1602" t="s">
        <v>38</v>
      </c>
      <c r="K1602" t="s">
        <v>45</v>
      </c>
      <c r="L1602" t="s">
        <v>51</v>
      </c>
      <c r="M1602">
        <v>8432</v>
      </c>
      <c r="N1602">
        <v>0.18</v>
      </c>
      <c r="O1602">
        <v>2186</v>
      </c>
      <c r="P1602">
        <v>9</v>
      </c>
      <c r="Q1602" t="s">
        <v>54</v>
      </c>
      <c r="R1602" t="s">
        <v>61</v>
      </c>
    </row>
    <row r="1603" spans="1:18">
      <c r="A1603">
        <v>11602</v>
      </c>
      <c r="B1603" s="2">
        <v>45798</v>
      </c>
      <c r="C1603" s="2">
        <v>45800</v>
      </c>
      <c r="D1603" s="2">
        <v>45804</v>
      </c>
      <c r="E1603" t="s">
        <v>18</v>
      </c>
      <c r="F1603" t="s">
        <v>22</v>
      </c>
      <c r="G1603" t="s">
        <v>23</v>
      </c>
      <c r="H1603" t="s">
        <v>25</v>
      </c>
      <c r="I1603" t="s">
        <v>34</v>
      </c>
      <c r="J1603" t="s">
        <v>40</v>
      </c>
      <c r="K1603" t="s">
        <v>46</v>
      </c>
      <c r="L1603" t="s">
        <v>53</v>
      </c>
      <c r="M1603">
        <v>71533</v>
      </c>
      <c r="N1603">
        <v>0.34</v>
      </c>
      <c r="O1603">
        <v>19116</v>
      </c>
      <c r="P1603">
        <v>11</v>
      </c>
      <c r="Q1603" t="s">
        <v>54</v>
      </c>
      <c r="R1603" t="s">
        <v>59</v>
      </c>
    </row>
    <row r="1604" spans="1:18">
      <c r="A1604">
        <v>11603</v>
      </c>
      <c r="B1604" s="2">
        <v>45799</v>
      </c>
      <c r="C1604" s="2">
        <v>45801</v>
      </c>
      <c r="D1604" s="2">
        <v>45805</v>
      </c>
      <c r="E1604" t="s">
        <v>20</v>
      </c>
      <c r="F1604" t="s">
        <v>22</v>
      </c>
      <c r="G1604" t="s">
        <v>27</v>
      </c>
      <c r="H1604" t="s">
        <v>33</v>
      </c>
      <c r="I1604" t="s">
        <v>35</v>
      </c>
      <c r="J1604" t="s">
        <v>43</v>
      </c>
      <c r="K1604" t="s">
        <v>50</v>
      </c>
      <c r="L1604" t="s">
        <v>52</v>
      </c>
      <c r="M1604">
        <v>53416</v>
      </c>
      <c r="N1604">
        <v>0.02</v>
      </c>
      <c r="O1604">
        <v>16956</v>
      </c>
      <c r="P1604">
        <v>8</v>
      </c>
      <c r="Q1604" t="s">
        <v>57</v>
      </c>
      <c r="R1604" t="s">
        <v>61</v>
      </c>
    </row>
    <row r="1605" spans="1:18">
      <c r="A1605">
        <v>11604</v>
      </c>
      <c r="B1605" s="2">
        <v>45800</v>
      </c>
      <c r="C1605" s="2">
        <v>45802</v>
      </c>
      <c r="D1605" s="2">
        <v>45806</v>
      </c>
      <c r="E1605" t="s">
        <v>19</v>
      </c>
      <c r="F1605" t="s">
        <v>22</v>
      </c>
      <c r="G1605" t="s">
        <v>24</v>
      </c>
      <c r="H1605" t="s">
        <v>32</v>
      </c>
      <c r="I1605" t="s">
        <v>36</v>
      </c>
      <c r="J1605" t="s">
        <v>39</v>
      </c>
      <c r="K1605" t="s">
        <v>46</v>
      </c>
      <c r="L1605" t="s">
        <v>52</v>
      </c>
      <c r="M1605">
        <v>71812</v>
      </c>
      <c r="N1605">
        <v>0.25</v>
      </c>
      <c r="O1605">
        <v>15743</v>
      </c>
      <c r="P1605">
        <v>17</v>
      </c>
      <c r="Q1605" t="s">
        <v>58</v>
      </c>
      <c r="R1605" t="s">
        <v>59</v>
      </c>
    </row>
    <row r="1606" spans="1:18">
      <c r="A1606">
        <v>11605</v>
      </c>
      <c r="B1606" s="2">
        <v>45801</v>
      </c>
      <c r="C1606" s="2">
        <v>45803</v>
      </c>
      <c r="D1606" s="2">
        <v>45807</v>
      </c>
      <c r="E1606" t="s">
        <v>20</v>
      </c>
      <c r="F1606" t="s">
        <v>22</v>
      </c>
      <c r="G1606" t="s">
        <v>27</v>
      </c>
      <c r="H1606" t="s">
        <v>33</v>
      </c>
      <c r="I1606" t="s">
        <v>34</v>
      </c>
      <c r="J1606" t="s">
        <v>42</v>
      </c>
      <c r="K1606" t="s">
        <v>44</v>
      </c>
      <c r="L1606" t="s">
        <v>51</v>
      </c>
      <c r="M1606">
        <v>15064</v>
      </c>
      <c r="N1606">
        <v>0.04</v>
      </c>
      <c r="O1606">
        <v>19271</v>
      </c>
      <c r="P1606">
        <v>18</v>
      </c>
      <c r="Q1606" t="s">
        <v>54</v>
      </c>
      <c r="R1606" t="s">
        <v>61</v>
      </c>
    </row>
    <row r="1607" spans="1:18">
      <c r="A1607">
        <v>11606</v>
      </c>
      <c r="B1607" s="2">
        <v>45802</v>
      </c>
      <c r="C1607" s="2">
        <v>45804</v>
      </c>
      <c r="D1607" s="2">
        <v>45808</v>
      </c>
      <c r="E1607" t="s">
        <v>20</v>
      </c>
      <c r="F1607" t="s">
        <v>22</v>
      </c>
      <c r="G1607" t="s">
        <v>25</v>
      </c>
      <c r="H1607" t="s">
        <v>29</v>
      </c>
      <c r="I1607" t="s">
        <v>34</v>
      </c>
      <c r="J1607" t="s">
        <v>39</v>
      </c>
      <c r="K1607" t="s">
        <v>44</v>
      </c>
      <c r="L1607" t="s">
        <v>52</v>
      </c>
      <c r="M1607">
        <v>37116</v>
      </c>
      <c r="N1607">
        <v>0.32</v>
      </c>
      <c r="O1607">
        <v>8174</v>
      </c>
      <c r="P1607">
        <v>7</v>
      </c>
      <c r="Q1607" t="s">
        <v>55</v>
      </c>
      <c r="R1607" t="s">
        <v>59</v>
      </c>
    </row>
    <row r="1608" spans="1:18">
      <c r="A1608">
        <v>11607</v>
      </c>
      <c r="B1608" s="2">
        <v>45803</v>
      </c>
      <c r="C1608" s="2">
        <v>45805</v>
      </c>
      <c r="D1608" s="2">
        <v>45809</v>
      </c>
      <c r="E1608" t="s">
        <v>19</v>
      </c>
      <c r="F1608" t="s">
        <v>22</v>
      </c>
      <c r="G1608" t="s">
        <v>26</v>
      </c>
      <c r="H1608" t="s">
        <v>29</v>
      </c>
      <c r="I1608" t="s">
        <v>34</v>
      </c>
      <c r="J1608" t="s">
        <v>38</v>
      </c>
      <c r="K1608" t="s">
        <v>47</v>
      </c>
      <c r="L1608" t="s">
        <v>53</v>
      </c>
      <c r="M1608">
        <v>51380</v>
      </c>
      <c r="N1608">
        <v>0.02</v>
      </c>
      <c r="O1608">
        <v>7538</v>
      </c>
      <c r="P1608">
        <v>4</v>
      </c>
      <c r="Q1608" t="s">
        <v>54</v>
      </c>
      <c r="R1608" t="s">
        <v>60</v>
      </c>
    </row>
    <row r="1609" spans="1:18">
      <c r="A1609">
        <v>11608</v>
      </c>
      <c r="B1609" s="2">
        <v>45804</v>
      </c>
      <c r="C1609" s="2">
        <v>45806</v>
      </c>
      <c r="D1609" s="2">
        <v>45810</v>
      </c>
      <c r="E1609" t="s">
        <v>20</v>
      </c>
      <c r="F1609" t="s">
        <v>22</v>
      </c>
      <c r="G1609" t="s">
        <v>25</v>
      </c>
      <c r="H1609" t="s">
        <v>33</v>
      </c>
      <c r="I1609" t="s">
        <v>35</v>
      </c>
      <c r="J1609" t="s">
        <v>43</v>
      </c>
      <c r="K1609" t="s">
        <v>48</v>
      </c>
      <c r="L1609" t="s">
        <v>51</v>
      </c>
      <c r="M1609">
        <v>15985</v>
      </c>
      <c r="N1609">
        <v>0.28000000000000003</v>
      </c>
      <c r="O1609">
        <v>8604</v>
      </c>
      <c r="P1609">
        <v>2</v>
      </c>
      <c r="Q1609" t="s">
        <v>58</v>
      </c>
      <c r="R1609" t="s">
        <v>62</v>
      </c>
    </row>
    <row r="1610" spans="1:18">
      <c r="A1610">
        <v>11609</v>
      </c>
      <c r="B1610" s="2">
        <v>45805</v>
      </c>
      <c r="C1610" s="2">
        <v>45807</v>
      </c>
      <c r="D1610" s="2">
        <v>45811</v>
      </c>
      <c r="E1610" t="s">
        <v>21</v>
      </c>
      <c r="F1610" t="s">
        <v>22</v>
      </c>
      <c r="G1610" t="s">
        <v>26</v>
      </c>
      <c r="H1610" t="s">
        <v>33</v>
      </c>
      <c r="I1610" t="s">
        <v>34</v>
      </c>
      <c r="J1610" t="s">
        <v>42</v>
      </c>
      <c r="K1610" t="s">
        <v>44</v>
      </c>
      <c r="L1610" t="s">
        <v>51</v>
      </c>
      <c r="M1610">
        <v>52457</v>
      </c>
      <c r="N1610">
        <v>7.0000000000000007E-2</v>
      </c>
      <c r="O1610">
        <v>6612</v>
      </c>
      <c r="P1610">
        <v>23</v>
      </c>
      <c r="Q1610" t="s">
        <v>54</v>
      </c>
      <c r="R1610" t="s">
        <v>60</v>
      </c>
    </row>
    <row r="1611" spans="1:18">
      <c r="A1611">
        <v>11610</v>
      </c>
      <c r="B1611" s="2">
        <v>45806</v>
      </c>
      <c r="C1611" s="2">
        <v>45808</v>
      </c>
      <c r="D1611" s="2">
        <v>45812</v>
      </c>
      <c r="E1611" t="s">
        <v>18</v>
      </c>
      <c r="F1611" t="s">
        <v>22</v>
      </c>
      <c r="G1611" t="s">
        <v>28</v>
      </c>
      <c r="H1611" t="s">
        <v>31</v>
      </c>
      <c r="I1611" t="s">
        <v>34</v>
      </c>
      <c r="J1611" t="s">
        <v>42</v>
      </c>
      <c r="K1611" t="s">
        <v>45</v>
      </c>
      <c r="L1611" t="s">
        <v>51</v>
      </c>
      <c r="M1611">
        <v>17144</v>
      </c>
      <c r="N1611">
        <v>0.05</v>
      </c>
      <c r="O1611">
        <v>9620</v>
      </c>
      <c r="P1611">
        <v>10</v>
      </c>
      <c r="Q1611" t="s">
        <v>55</v>
      </c>
      <c r="R1611" t="s">
        <v>59</v>
      </c>
    </row>
    <row r="1612" spans="1:18">
      <c r="A1612">
        <v>11611</v>
      </c>
      <c r="B1612" s="2">
        <v>45807</v>
      </c>
      <c r="C1612" s="2">
        <v>45809</v>
      </c>
      <c r="D1612" s="2">
        <v>45813</v>
      </c>
      <c r="E1612" t="s">
        <v>18</v>
      </c>
      <c r="F1612" t="s">
        <v>22</v>
      </c>
      <c r="G1612" t="s">
        <v>28</v>
      </c>
      <c r="H1612" t="s">
        <v>33</v>
      </c>
      <c r="I1612" t="s">
        <v>34</v>
      </c>
      <c r="J1612" t="s">
        <v>42</v>
      </c>
      <c r="K1612" t="s">
        <v>44</v>
      </c>
      <c r="L1612" t="s">
        <v>53</v>
      </c>
      <c r="M1612">
        <v>36443</v>
      </c>
      <c r="N1612">
        <v>0.24</v>
      </c>
      <c r="O1612">
        <v>9288</v>
      </c>
      <c r="P1612">
        <v>1</v>
      </c>
      <c r="Q1612" t="s">
        <v>58</v>
      </c>
      <c r="R1612" t="s">
        <v>61</v>
      </c>
    </row>
    <row r="1613" spans="1:18">
      <c r="A1613">
        <v>11612</v>
      </c>
      <c r="B1613" s="2">
        <v>45808</v>
      </c>
      <c r="C1613" s="2">
        <v>45810</v>
      </c>
      <c r="D1613" s="2">
        <v>45814</v>
      </c>
      <c r="E1613" t="s">
        <v>18</v>
      </c>
      <c r="F1613" t="s">
        <v>22</v>
      </c>
      <c r="G1613" t="s">
        <v>24</v>
      </c>
      <c r="H1613" t="s">
        <v>31</v>
      </c>
      <c r="I1613" t="s">
        <v>36</v>
      </c>
      <c r="J1613" t="s">
        <v>41</v>
      </c>
      <c r="K1613" t="s">
        <v>46</v>
      </c>
      <c r="L1613" t="s">
        <v>53</v>
      </c>
      <c r="M1613">
        <v>5996</v>
      </c>
      <c r="N1613">
        <v>0.26</v>
      </c>
      <c r="O1613">
        <v>13652</v>
      </c>
      <c r="P1613">
        <v>11</v>
      </c>
      <c r="Q1613" t="s">
        <v>55</v>
      </c>
      <c r="R1613" t="s">
        <v>59</v>
      </c>
    </row>
    <row r="1614" spans="1:18">
      <c r="A1614">
        <v>11613</v>
      </c>
      <c r="B1614" s="2">
        <v>45809</v>
      </c>
      <c r="C1614" s="2">
        <v>45811</v>
      </c>
      <c r="D1614" s="2">
        <v>45815</v>
      </c>
      <c r="E1614" t="s">
        <v>21</v>
      </c>
      <c r="F1614" t="s">
        <v>22</v>
      </c>
      <c r="G1614" t="s">
        <v>23</v>
      </c>
      <c r="H1614" t="s">
        <v>30</v>
      </c>
      <c r="I1614" t="s">
        <v>35</v>
      </c>
      <c r="J1614" t="s">
        <v>41</v>
      </c>
      <c r="K1614" t="s">
        <v>45</v>
      </c>
      <c r="L1614" t="s">
        <v>51</v>
      </c>
      <c r="M1614">
        <v>16573</v>
      </c>
      <c r="N1614">
        <v>0.15</v>
      </c>
      <c r="O1614">
        <v>6410</v>
      </c>
      <c r="P1614">
        <v>7</v>
      </c>
      <c r="Q1614" t="s">
        <v>54</v>
      </c>
      <c r="R1614" t="s">
        <v>60</v>
      </c>
    </row>
    <row r="1615" spans="1:18">
      <c r="A1615">
        <v>11614</v>
      </c>
      <c r="B1615" s="2">
        <v>45810</v>
      </c>
      <c r="C1615" s="2">
        <v>45812</v>
      </c>
      <c r="D1615" s="2">
        <v>45816</v>
      </c>
      <c r="E1615" t="s">
        <v>21</v>
      </c>
      <c r="F1615" t="s">
        <v>22</v>
      </c>
      <c r="G1615" t="s">
        <v>25</v>
      </c>
      <c r="H1615" t="s">
        <v>32</v>
      </c>
      <c r="I1615" t="s">
        <v>34</v>
      </c>
      <c r="J1615" t="s">
        <v>40</v>
      </c>
      <c r="K1615" t="s">
        <v>46</v>
      </c>
      <c r="L1615" t="s">
        <v>52</v>
      </c>
      <c r="M1615">
        <v>12920</v>
      </c>
      <c r="N1615">
        <v>0.05</v>
      </c>
      <c r="O1615">
        <v>2310</v>
      </c>
      <c r="P1615">
        <v>20</v>
      </c>
      <c r="Q1615" t="s">
        <v>56</v>
      </c>
      <c r="R1615" t="s">
        <v>62</v>
      </c>
    </row>
    <row r="1616" spans="1:18">
      <c r="A1616">
        <v>11615</v>
      </c>
      <c r="B1616" s="2">
        <v>45811</v>
      </c>
      <c r="C1616" s="2">
        <v>45813</v>
      </c>
      <c r="D1616" s="2">
        <v>45817</v>
      </c>
      <c r="E1616" t="s">
        <v>20</v>
      </c>
      <c r="F1616" t="s">
        <v>22</v>
      </c>
      <c r="G1616" t="s">
        <v>26</v>
      </c>
      <c r="H1616" t="s">
        <v>25</v>
      </c>
      <c r="I1616" t="s">
        <v>34</v>
      </c>
      <c r="J1616" t="s">
        <v>39</v>
      </c>
      <c r="K1616" t="s">
        <v>50</v>
      </c>
      <c r="L1616" t="s">
        <v>51</v>
      </c>
      <c r="M1616">
        <v>73157</v>
      </c>
      <c r="N1616">
        <v>0.14000000000000001</v>
      </c>
      <c r="O1616">
        <v>8733</v>
      </c>
      <c r="P1616">
        <v>24</v>
      </c>
      <c r="Q1616" t="s">
        <v>54</v>
      </c>
      <c r="R1616" t="s">
        <v>60</v>
      </c>
    </row>
    <row r="1617" spans="1:18">
      <c r="A1617">
        <v>11616</v>
      </c>
      <c r="B1617" s="2">
        <v>45812</v>
      </c>
      <c r="C1617" s="2">
        <v>45814</v>
      </c>
      <c r="D1617" s="2">
        <v>45818</v>
      </c>
      <c r="E1617" t="s">
        <v>20</v>
      </c>
      <c r="F1617" t="s">
        <v>22</v>
      </c>
      <c r="G1617" t="s">
        <v>27</v>
      </c>
      <c r="H1617" t="s">
        <v>31</v>
      </c>
      <c r="I1617" t="s">
        <v>35</v>
      </c>
      <c r="J1617" t="s">
        <v>43</v>
      </c>
      <c r="K1617" t="s">
        <v>44</v>
      </c>
      <c r="L1617" t="s">
        <v>53</v>
      </c>
      <c r="M1617">
        <v>3422</v>
      </c>
      <c r="N1617">
        <v>0.22</v>
      </c>
      <c r="O1617">
        <v>19513</v>
      </c>
      <c r="P1617">
        <v>11</v>
      </c>
      <c r="Q1617" t="s">
        <v>57</v>
      </c>
      <c r="R1617" t="s">
        <v>59</v>
      </c>
    </row>
    <row r="1618" spans="1:18">
      <c r="A1618">
        <v>11617</v>
      </c>
      <c r="B1618" s="2">
        <v>45813</v>
      </c>
      <c r="C1618" s="2">
        <v>45815</v>
      </c>
      <c r="D1618" s="2">
        <v>45819</v>
      </c>
      <c r="E1618" t="s">
        <v>20</v>
      </c>
      <c r="F1618" t="s">
        <v>22</v>
      </c>
      <c r="G1618" t="s">
        <v>23</v>
      </c>
      <c r="H1618" t="s">
        <v>31</v>
      </c>
      <c r="I1618" t="s">
        <v>36</v>
      </c>
      <c r="J1618" t="s">
        <v>40</v>
      </c>
      <c r="K1618" t="s">
        <v>45</v>
      </c>
      <c r="L1618" t="s">
        <v>51</v>
      </c>
      <c r="M1618">
        <v>58853</v>
      </c>
      <c r="N1618">
        <v>0.1</v>
      </c>
      <c r="O1618">
        <v>4726</v>
      </c>
      <c r="P1618">
        <v>1</v>
      </c>
      <c r="Q1618" t="s">
        <v>55</v>
      </c>
      <c r="R1618" t="s">
        <v>62</v>
      </c>
    </row>
    <row r="1619" spans="1:18">
      <c r="A1619">
        <v>11618</v>
      </c>
      <c r="B1619" s="2">
        <v>45814</v>
      </c>
      <c r="C1619" s="2">
        <v>45816</v>
      </c>
      <c r="D1619" s="2">
        <v>45820</v>
      </c>
      <c r="E1619" t="s">
        <v>18</v>
      </c>
      <c r="F1619" t="s">
        <v>22</v>
      </c>
      <c r="G1619" t="s">
        <v>25</v>
      </c>
      <c r="H1619" t="s">
        <v>33</v>
      </c>
      <c r="I1619" t="s">
        <v>34</v>
      </c>
      <c r="J1619" t="s">
        <v>40</v>
      </c>
      <c r="K1619" t="s">
        <v>46</v>
      </c>
      <c r="L1619" t="s">
        <v>53</v>
      </c>
      <c r="M1619">
        <v>28821</v>
      </c>
      <c r="N1619">
        <v>0.08</v>
      </c>
      <c r="O1619">
        <v>-944</v>
      </c>
      <c r="P1619">
        <v>11</v>
      </c>
      <c r="Q1619" t="s">
        <v>55</v>
      </c>
      <c r="R1619" t="s">
        <v>62</v>
      </c>
    </row>
    <row r="1620" spans="1:18">
      <c r="A1620">
        <v>11619</v>
      </c>
      <c r="B1620" s="2">
        <v>45815</v>
      </c>
      <c r="C1620" s="2">
        <v>45817</v>
      </c>
      <c r="D1620" s="2">
        <v>45821</v>
      </c>
      <c r="E1620" t="s">
        <v>21</v>
      </c>
      <c r="F1620" t="s">
        <v>22</v>
      </c>
      <c r="G1620" t="s">
        <v>26</v>
      </c>
      <c r="H1620" t="s">
        <v>30</v>
      </c>
      <c r="I1620" t="s">
        <v>36</v>
      </c>
      <c r="J1620" t="s">
        <v>42</v>
      </c>
      <c r="K1620" t="s">
        <v>49</v>
      </c>
      <c r="L1620" t="s">
        <v>53</v>
      </c>
      <c r="M1620">
        <v>23025</v>
      </c>
      <c r="N1620">
        <v>0.15</v>
      </c>
      <c r="O1620">
        <v>775</v>
      </c>
      <c r="P1620">
        <v>21</v>
      </c>
      <c r="Q1620" t="s">
        <v>58</v>
      </c>
      <c r="R1620" t="s">
        <v>61</v>
      </c>
    </row>
    <row r="1621" spans="1:18">
      <c r="A1621">
        <v>11620</v>
      </c>
      <c r="B1621" s="2">
        <v>45816</v>
      </c>
      <c r="C1621" s="2">
        <v>45818</v>
      </c>
      <c r="D1621" s="2">
        <v>45822</v>
      </c>
      <c r="E1621" t="s">
        <v>20</v>
      </c>
      <c r="F1621" t="s">
        <v>22</v>
      </c>
      <c r="G1621" t="s">
        <v>27</v>
      </c>
      <c r="H1621" t="s">
        <v>33</v>
      </c>
      <c r="I1621" t="s">
        <v>34</v>
      </c>
      <c r="J1621" t="s">
        <v>38</v>
      </c>
      <c r="K1621" t="s">
        <v>50</v>
      </c>
      <c r="L1621" t="s">
        <v>53</v>
      </c>
      <c r="M1621">
        <v>47827</v>
      </c>
      <c r="N1621">
        <v>0.18</v>
      </c>
      <c r="O1621">
        <v>-1094</v>
      </c>
      <c r="P1621">
        <v>21</v>
      </c>
      <c r="Q1621" t="s">
        <v>55</v>
      </c>
      <c r="R1621" t="s">
        <v>60</v>
      </c>
    </row>
    <row r="1622" spans="1:18">
      <c r="A1622">
        <v>11621</v>
      </c>
      <c r="B1622" s="2">
        <v>45817</v>
      </c>
      <c r="C1622" s="2">
        <v>45819</v>
      </c>
      <c r="D1622" s="2">
        <v>45823</v>
      </c>
      <c r="E1622" t="s">
        <v>19</v>
      </c>
      <c r="F1622" t="s">
        <v>22</v>
      </c>
      <c r="G1622" t="s">
        <v>24</v>
      </c>
      <c r="H1622" t="s">
        <v>29</v>
      </c>
      <c r="I1622" t="s">
        <v>34</v>
      </c>
      <c r="J1622" t="s">
        <v>37</v>
      </c>
      <c r="K1622" t="s">
        <v>45</v>
      </c>
      <c r="L1622" t="s">
        <v>53</v>
      </c>
      <c r="M1622">
        <v>63400</v>
      </c>
      <c r="N1622">
        <v>0.36</v>
      </c>
      <c r="O1622">
        <v>2333</v>
      </c>
      <c r="P1622">
        <v>6</v>
      </c>
      <c r="Q1622" t="s">
        <v>54</v>
      </c>
      <c r="R1622" t="s">
        <v>62</v>
      </c>
    </row>
    <row r="1623" spans="1:18">
      <c r="A1623">
        <v>11622</v>
      </c>
      <c r="B1623" s="2">
        <v>45818</v>
      </c>
      <c r="C1623" s="2">
        <v>45820</v>
      </c>
      <c r="D1623" s="2">
        <v>45824</v>
      </c>
      <c r="E1623" t="s">
        <v>21</v>
      </c>
      <c r="F1623" t="s">
        <v>22</v>
      </c>
      <c r="G1623" t="s">
        <v>25</v>
      </c>
      <c r="H1623" t="s">
        <v>32</v>
      </c>
      <c r="I1623" t="s">
        <v>34</v>
      </c>
      <c r="J1623" t="s">
        <v>40</v>
      </c>
      <c r="K1623" t="s">
        <v>50</v>
      </c>
      <c r="L1623" t="s">
        <v>53</v>
      </c>
      <c r="M1623">
        <v>64985</v>
      </c>
      <c r="N1623">
        <v>0.34</v>
      </c>
      <c r="O1623">
        <v>16860</v>
      </c>
      <c r="P1623">
        <v>23</v>
      </c>
      <c r="Q1623" t="s">
        <v>55</v>
      </c>
      <c r="R1623" t="s">
        <v>60</v>
      </c>
    </row>
    <row r="1624" spans="1:18">
      <c r="A1624">
        <v>11623</v>
      </c>
      <c r="B1624" s="2">
        <v>45819</v>
      </c>
      <c r="C1624" s="2">
        <v>45821</v>
      </c>
      <c r="D1624" s="2">
        <v>45825</v>
      </c>
      <c r="E1624" t="s">
        <v>21</v>
      </c>
      <c r="F1624" t="s">
        <v>22</v>
      </c>
      <c r="G1624" t="s">
        <v>24</v>
      </c>
      <c r="H1624" t="s">
        <v>30</v>
      </c>
      <c r="I1624" t="s">
        <v>36</v>
      </c>
      <c r="J1624" t="s">
        <v>41</v>
      </c>
      <c r="K1624" t="s">
        <v>50</v>
      </c>
      <c r="L1624" t="s">
        <v>53</v>
      </c>
      <c r="M1624">
        <v>17421</v>
      </c>
      <c r="N1624">
        <v>0.05</v>
      </c>
      <c r="O1624">
        <v>18458</v>
      </c>
      <c r="P1624">
        <v>1</v>
      </c>
      <c r="Q1624" t="s">
        <v>54</v>
      </c>
      <c r="R1624" t="s">
        <v>62</v>
      </c>
    </row>
    <row r="1625" spans="1:18">
      <c r="A1625">
        <v>11624</v>
      </c>
      <c r="B1625" s="2">
        <v>45820</v>
      </c>
      <c r="C1625" s="2">
        <v>45822</v>
      </c>
      <c r="D1625" s="2">
        <v>45826</v>
      </c>
      <c r="E1625" t="s">
        <v>20</v>
      </c>
      <c r="F1625" t="s">
        <v>22</v>
      </c>
      <c r="G1625" t="s">
        <v>24</v>
      </c>
      <c r="H1625" t="s">
        <v>30</v>
      </c>
      <c r="I1625" t="s">
        <v>34</v>
      </c>
      <c r="J1625" t="s">
        <v>38</v>
      </c>
      <c r="K1625" t="s">
        <v>48</v>
      </c>
      <c r="L1625" t="s">
        <v>53</v>
      </c>
      <c r="M1625">
        <v>5779</v>
      </c>
      <c r="N1625">
        <v>0.22</v>
      </c>
      <c r="O1625">
        <v>16904</v>
      </c>
      <c r="P1625">
        <v>2</v>
      </c>
      <c r="Q1625" t="s">
        <v>58</v>
      </c>
      <c r="R1625" t="s">
        <v>62</v>
      </c>
    </row>
    <row r="1626" spans="1:18">
      <c r="A1626">
        <v>11625</v>
      </c>
      <c r="B1626" s="2">
        <v>45821</v>
      </c>
      <c r="C1626" s="2">
        <v>45823</v>
      </c>
      <c r="D1626" s="2">
        <v>45827</v>
      </c>
      <c r="E1626" t="s">
        <v>18</v>
      </c>
      <c r="F1626" t="s">
        <v>22</v>
      </c>
      <c r="G1626" t="s">
        <v>23</v>
      </c>
      <c r="H1626" t="s">
        <v>32</v>
      </c>
      <c r="I1626" t="s">
        <v>34</v>
      </c>
      <c r="J1626" t="s">
        <v>41</v>
      </c>
      <c r="K1626" t="s">
        <v>46</v>
      </c>
      <c r="L1626" t="s">
        <v>53</v>
      </c>
      <c r="M1626">
        <v>73860</v>
      </c>
      <c r="N1626">
        <v>0.14000000000000001</v>
      </c>
      <c r="O1626">
        <v>2571</v>
      </c>
      <c r="P1626">
        <v>14</v>
      </c>
      <c r="Q1626" t="s">
        <v>54</v>
      </c>
      <c r="R1626" t="s">
        <v>59</v>
      </c>
    </row>
    <row r="1627" spans="1:18">
      <c r="A1627">
        <v>11626</v>
      </c>
      <c r="B1627" s="2">
        <v>45822</v>
      </c>
      <c r="C1627" s="2">
        <v>45824</v>
      </c>
      <c r="D1627" s="2">
        <v>45828</v>
      </c>
      <c r="E1627" t="s">
        <v>19</v>
      </c>
      <c r="F1627" t="s">
        <v>22</v>
      </c>
      <c r="G1627" t="s">
        <v>23</v>
      </c>
      <c r="H1627" t="s">
        <v>30</v>
      </c>
      <c r="I1627" t="s">
        <v>35</v>
      </c>
      <c r="J1627" t="s">
        <v>40</v>
      </c>
      <c r="K1627" t="s">
        <v>49</v>
      </c>
      <c r="L1627" t="s">
        <v>53</v>
      </c>
      <c r="M1627">
        <v>22127</v>
      </c>
      <c r="N1627">
        <v>0.36</v>
      </c>
      <c r="O1627">
        <v>10969</v>
      </c>
      <c r="P1627">
        <v>10</v>
      </c>
      <c r="Q1627" t="s">
        <v>54</v>
      </c>
      <c r="R1627" t="s">
        <v>62</v>
      </c>
    </row>
    <row r="1628" spans="1:18">
      <c r="A1628">
        <v>11627</v>
      </c>
      <c r="B1628" s="2">
        <v>45823</v>
      </c>
      <c r="C1628" s="2">
        <v>45825</v>
      </c>
      <c r="D1628" s="2">
        <v>45829</v>
      </c>
      <c r="E1628" t="s">
        <v>19</v>
      </c>
      <c r="F1628" t="s">
        <v>22</v>
      </c>
      <c r="G1628" t="s">
        <v>25</v>
      </c>
      <c r="H1628" t="s">
        <v>30</v>
      </c>
      <c r="I1628" t="s">
        <v>36</v>
      </c>
      <c r="J1628" t="s">
        <v>41</v>
      </c>
      <c r="K1628" t="s">
        <v>50</v>
      </c>
      <c r="L1628" t="s">
        <v>53</v>
      </c>
      <c r="M1628">
        <v>41422</v>
      </c>
      <c r="N1628">
        <v>0.1</v>
      </c>
      <c r="O1628">
        <v>10972</v>
      </c>
      <c r="P1628">
        <v>7</v>
      </c>
      <c r="Q1628" t="s">
        <v>54</v>
      </c>
      <c r="R1628" t="s">
        <v>59</v>
      </c>
    </row>
    <row r="1629" spans="1:18">
      <c r="A1629">
        <v>11628</v>
      </c>
      <c r="B1629" s="2">
        <v>45824</v>
      </c>
      <c r="C1629" s="2">
        <v>45826</v>
      </c>
      <c r="D1629" s="2">
        <v>45830</v>
      </c>
      <c r="E1629" t="s">
        <v>21</v>
      </c>
      <c r="F1629" t="s">
        <v>22</v>
      </c>
      <c r="G1629" t="s">
        <v>23</v>
      </c>
      <c r="H1629" t="s">
        <v>33</v>
      </c>
      <c r="I1629" t="s">
        <v>35</v>
      </c>
      <c r="J1629" t="s">
        <v>41</v>
      </c>
      <c r="K1629" t="s">
        <v>47</v>
      </c>
      <c r="L1629" t="s">
        <v>51</v>
      </c>
      <c r="M1629">
        <v>54393</v>
      </c>
      <c r="N1629">
        <v>0.03</v>
      </c>
      <c r="O1629">
        <v>19253</v>
      </c>
      <c r="P1629">
        <v>14</v>
      </c>
      <c r="Q1629" t="s">
        <v>54</v>
      </c>
      <c r="R1629" t="s">
        <v>60</v>
      </c>
    </row>
    <row r="1630" spans="1:18">
      <c r="A1630">
        <v>11629</v>
      </c>
      <c r="B1630" s="2">
        <v>45825</v>
      </c>
      <c r="C1630" s="2">
        <v>45827</v>
      </c>
      <c r="D1630" s="2">
        <v>45831</v>
      </c>
      <c r="E1630" t="s">
        <v>20</v>
      </c>
      <c r="F1630" t="s">
        <v>22</v>
      </c>
      <c r="G1630" t="s">
        <v>25</v>
      </c>
      <c r="H1630" t="s">
        <v>30</v>
      </c>
      <c r="I1630" t="s">
        <v>36</v>
      </c>
      <c r="J1630" t="s">
        <v>41</v>
      </c>
      <c r="K1630" t="s">
        <v>45</v>
      </c>
      <c r="L1630" t="s">
        <v>51</v>
      </c>
      <c r="M1630">
        <v>51206</v>
      </c>
      <c r="N1630">
        <v>0.13</v>
      </c>
      <c r="O1630">
        <v>15513</v>
      </c>
      <c r="P1630">
        <v>22</v>
      </c>
      <c r="Q1630" t="s">
        <v>58</v>
      </c>
      <c r="R1630" t="s">
        <v>61</v>
      </c>
    </row>
    <row r="1631" spans="1:18">
      <c r="A1631">
        <v>11630</v>
      </c>
      <c r="B1631" s="2">
        <v>45826</v>
      </c>
      <c r="C1631" s="2">
        <v>45828</v>
      </c>
      <c r="D1631" s="2">
        <v>45832</v>
      </c>
      <c r="E1631" t="s">
        <v>19</v>
      </c>
      <c r="F1631" t="s">
        <v>22</v>
      </c>
      <c r="G1631" t="s">
        <v>25</v>
      </c>
      <c r="H1631" t="s">
        <v>31</v>
      </c>
      <c r="I1631" t="s">
        <v>35</v>
      </c>
      <c r="J1631" t="s">
        <v>38</v>
      </c>
      <c r="K1631" t="s">
        <v>50</v>
      </c>
      <c r="L1631" t="s">
        <v>51</v>
      </c>
      <c r="M1631">
        <v>8086</v>
      </c>
      <c r="N1631">
        <v>0.34</v>
      </c>
      <c r="O1631">
        <v>9082</v>
      </c>
      <c r="P1631">
        <v>21</v>
      </c>
      <c r="Q1631" t="s">
        <v>57</v>
      </c>
      <c r="R1631" t="s">
        <v>61</v>
      </c>
    </row>
    <row r="1632" spans="1:18">
      <c r="A1632">
        <v>11631</v>
      </c>
      <c r="B1632" s="2">
        <v>45827</v>
      </c>
      <c r="C1632" s="2">
        <v>45829</v>
      </c>
      <c r="D1632" s="2">
        <v>45833</v>
      </c>
      <c r="E1632" t="s">
        <v>19</v>
      </c>
      <c r="F1632" t="s">
        <v>22</v>
      </c>
      <c r="G1632" t="s">
        <v>24</v>
      </c>
      <c r="H1632" t="s">
        <v>31</v>
      </c>
      <c r="I1632" t="s">
        <v>36</v>
      </c>
      <c r="J1632" t="s">
        <v>42</v>
      </c>
      <c r="K1632" t="s">
        <v>49</v>
      </c>
      <c r="L1632" t="s">
        <v>52</v>
      </c>
      <c r="M1632">
        <v>6546</v>
      </c>
      <c r="N1632">
        <v>0.06</v>
      </c>
      <c r="O1632">
        <v>652</v>
      </c>
      <c r="P1632">
        <v>24</v>
      </c>
      <c r="Q1632" t="s">
        <v>56</v>
      </c>
      <c r="R1632" t="s">
        <v>59</v>
      </c>
    </row>
    <row r="1633" spans="1:18">
      <c r="A1633">
        <v>11632</v>
      </c>
      <c r="B1633" s="2">
        <v>45828</v>
      </c>
      <c r="C1633" s="2">
        <v>45830</v>
      </c>
      <c r="D1633" s="2">
        <v>45834</v>
      </c>
      <c r="E1633" t="s">
        <v>19</v>
      </c>
      <c r="F1633" t="s">
        <v>22</v>
      </c>
      <c r="G1633" t="s">
        <v>28</v>
      </c>
      <c r="H1633" t="s">
        <v>29</v>
      </c>
      <c r="I1633" t="s">
        <v>34</v>
      </c>
      <c r="J1633" t="s">
        <v>43</v>
      </c>
      <c r="K1633" t="s">
        <v>46</v>
      </c>
      <c r="L1633" t="s">
        <v>51</v>
      </c>
      <c r="M1633">
        <v>40689</v>
      </c>
      <c r="N1633">
        <v>0.02</v>
      </c>
      <c r="O1633">
        <v>14542</v>
      </c>
      <c r="P1633">
        <v>20</v>
      </c>
      <c r="Q1633" t="s">
        <v>54</v>
      </c>
      <c r="R1633" t="s">
        <v>59</v>
      </c>
    </row>
    <row r="1634" spans="1:18">
      <c r="A1634">
        <v>11633</v>
      </c>
      <c r="B1634" s="2">
        <v>45829</v>
      </c>
      <c r="C1634" s="2">
        <v>45831</v>
      </c>
      <c r="D1634" s="2">
        <v>45835</v>
      </c>
      <c r="E1634" t="s">
        <v>20</v>
      </c>
      <c r="F1634" t="s">
        <v>22</v>
      </c>
      <c r="G1634" t="s">
        <v>26</v>
      </c>
      <c r="H1634" t="s">
        <v>30</v>
      </c>
      <c r="I1634" t="s">
        <v>34</v>
      </c>
      <c r="J1634" t="s">
        <v>38</v>
      </c>
      <c r="K1634" t="s">
        <v>45</v>
      </c>
      <c r="L1634" t="s">
        <v>53</v>
      </c>
      <c r="M1634">
        <v>67025</v>
      </c>
      <c r="N1634">
        <v>0.39</v>
      </c>
      <c r="O1634">
        <v>15270</v>
      </c>
      <c r="P1634">
        <v>1</v>
      </c>
      <c r="Q1634" t="s">
        <v>54</v>
      </c>
      <c r="R1634" t="s">
        <v>59</v>
      </c>
    </row>
    <row r="1635" spans="1:18">
      <c r="A1635">
        <v>11634</v>
      </c>
      <c r="B1635" s="2">
        <v>45830</v>
      </c>
      <c r="C1635" s="2">
        <v>45832</v>
      </c>
      <c r="D1635" s="2">
        <v>45836</v>
      </c>
      <c r="E1635" t="s">
        <v>21</v>
      </c>
      <c r="F1635" t="s">
        <v>22</v>
      </c>
      <c r="G1635" t="s">
        <v>28</v>
      </c>
      <c r="H1635" t="s">
        <v>32</v>
      </c>
      <c r="I1635" t="s">
        <v>36</v>
      </c>
      <c r="J1635" t="s">
        <v>40</v>
      </c>
      <c r="K1635" t="s">
        <v>44</v>
      </c>
      <c r="L1635" t="s">
        <v>51</v>
      </c>
      <c r="M1635">
        <v>22312</v>
      </c>
      <c r="N1635">
        <v>0.35</v>
      </c>
      <c r="O1635">
        <v>14062</v>
      </c>
      <c r="P1635">
        <v>19</v>
      </c>
      <c r="Q1635" t="s">
        <v>54</v>
      </c>
      <c r="R1635" t="s">
        <v>62</v>
      </c>
    </row>
    <row r="1636" spans="1:18">
      <c r="A1636">
        <v>11635</v>
      </c>
      <c r="B1636" s="2">
        <v>45831</v>
      </c>
      <c r="C1636" s="2">
        <v>45833</v>
      </c>
      <c r="D1636" s="2">
        <v>45837</v>
      </c>
      <c r="E1636" t="s">
        <v>20</v>
      </c>
      <c r="F1636" t="s">
        <v>22</v>
      </c>
      <c r="G1636" t="s">
        <v>25</v>
      </c>
      <c r="H1636" t="s">
        <v>32</v>
      </c>
      <c r="I1636" t="s">
        <v>36</v>
      </c>
      <c r="J1636" t="s">
        <v>42</v>
      </c>
      <c r="K1636" t="s">
        <v>46</v>
      </c>
      <c r="L1636" t="s">
        <v>51</v>
      </c>
      <c r="M1636">
        <v>54218</v>
      </c>
      <c r="N1636">
        <v>0.28000000000000003</v>
      </c>
      <c r="O1636">
        <v>10709</v>
      </c>
      <c r="P1636">
        <v>4</v>
      </c>
      <c r="Q1636" t="s">
        <v>56</v>
      </c>
      <c r="R1636" t="s">
        <v>59</v>
      </c>
    </row>
    <row r="1637" spans="1:18">
      <c r="A1637">
        <v>11636</v>
      </c>
      <c r="B1637" s="2">
        <v>45832</v>
      </c>
      <c r="C1637" s="2">
        <v>45834</v>
      </c>
      <c r="D1637" s="2">
        <v>45838</v>
      </c>
      <c r="E1637" t="s">
        <v>21</v>
      </c>
      <c r="F1637" t="s">
        <v>22</v>
      </c>
      <c r="G1637" t="s">
        <v>28</v>
      </c>
      <c r="H1637" t="s">
        <v>30</v>
      </c>
      <c r="I1637" t="s">
        <v>35</v>
      </c>
      <c r="J1637" t="s">
        <v>42</v>
      </c>
      <c r="K1637" t="s">
        <v>44</v>
      </c>
      <c r="L1637" t="s">
        <v>51</v>
      </c>
      <c r="M1637">
        <v>66786</v>
      </c>
      <c r="N1637">
        <v>0.27</v>
      </c>
      <c r="O1637">
        <v>9862</v>
      </c>
      <c r="P1637">
        <v>16</v>
      </c>
      <c r="Q1637" t="s">
        <v>54</v>
      </c>
      <c r="R1637" t="s">
        <v>60</v>
      </c>
    </row>
    <row r="1638" spans="1:18">
      <c r="A1638">
        <v>11637</v>
      </c>
      <c r="B1638" s="2">
        <v>45833</v>
      </c>
      <c r="C1638" s="2">
        <v>45835</v>
      </c>
      <c r="D1638" s="2">
        <v>45839</v>
      </c>
      <c r="E1638" t="s">
        <v>20</v>
      </c>
      <c r="F1638" t="s">
        <v>22</v>
      </c>
      <c r="G1638" t="s">
        <v>25</v>
      </c>
      <c r="H1638" t="s">
        <v>29</v>
      </c>
      <c r="I1638" t="s">
        <v>35</v>
      </c>
      <c r="J1638" t="s">
        <v>42</v>
      </c>
      <c r="K1638" t="s">
        <v>48</v>
      </c>
      <c r="L1638" t="s">
        <v>51</v>
      </c>
      <c r="M1638">
        <v>30263</v>
      </c>
      <c r="N1638">
        <v>0.35</v>
      </c>
      <c r="O1638">
        <v>18853</v>
      </c>
      <c r="P1638">
        <v>3</v>
      </c>
      <c r="Q1638" t="s">
        <v>58</v>
      </c>
      <c r="R1638" t="s">
        <v>60</v>
      </c>
    </row>
    <row r="1639" spans="1:18">
      <c r="A1639">
        <v>11638</v>
      </c>
      <c r="B1639" s="2">
        <v>45834</v>
      </c>
      <c r="C1639" s="2">
        <v>45836</v>
      </c>
      <c r="D1639" s="2">
        <v>45840</v>
      </c>
      <c r="E1639" t="s">
        <v>21</v>
      </c>
      <c r="F1639" t="s">
        <v>22</v>
      </c>
      <c r="G1639" t="s">
        <v>27</v>
      </c>
      <c r="H1639" t="s">
        <v>29</v>
      </c>
      <c r="I1639" t="s">
        <v>34</v>
      </c>
      <c r="J1639" t="s">
        <v>41</v>
      </c>
      <c r="K1639" t="s">
        <v>49</v>
      </c>
      <c r="L1639" t="s">
        <v>51</v>
      </c>
      <c r="M1639">
        <v>20573</v>
      </c>
      <c r="N1639">
        <v>0.38</v>
      </c>
      <c r="O1639">
        <v>16336</v>
      </c>
      <c r="P1639">
        <v>13</v>
      </c>
      <c r="Q1639" t="s">
        <v>56</v>
      </c>
      <c r="R1639" t="s">
        <v>62</v>
      </c>
    </row>
    <row r="1640" spans="1:18">
      <c r="A1640">
        <v>11639</v>
      </c>
      <c r="B1640" s="2">
        <v>45835</v>
      </c>
      <c r="C1640" s="2">
        <v>45837</v>
      </c>
      <c r="D1640" s="2">
        <v>45841</v>
      </c>
      <c r="E1640" t="s">
        <v>20</v>
      </c>
      <c r="F1640" t="s">
        <v>22</v>
      </c>
      <c r="G1640" t="s">
        <v>28</v>
      </c>
      <c r="H1640" t="s">
        <v>30</v>
      </c>
      <c r="I1640" t="s">
        <v>34</v>
      </c>
      <c r="J1640" t="s">
        <v>42</v>
      </c>
      <c r="K1640" t="s">
        <v>45</v>
      </c>
      <c r="L1640" t="s">
        <v>51</v>
      </c>
      <c r="M1640">
        <v>32889</v>
      </c>
      <c r="N1640">
        <v>0.15</v>
      </c>
      <c r="O1640">
        <v>9382</v>
      </c>
      <c r="P1640">
        <v>18</v>
      </c>
      <c r="Q1640" t="s">
        <v>57</v>
      </c>
      <c r="R1640" t="s">
        <v>59</v>
      </c>
    </row>
    <row r="1641" spans="1:18">
      <c r="A1641">
        <v>11640</v>
      </c>
      <c r="B1641" s="2">
        <v>45836</v>
      </c>
      <c r="C1641" s="2">
        <v>45838</v>
      </c>
      <c r="D1641" s="2">
        <v>45842</v>
      </c>
      <c r="E1641" t="s">
        <v>18</v>
      </c>
      <c r="F1641" t="s">
        <v>22</v>
      </c>
      <c r="G1641" t="s">
        <v>27</v>
      </c>
      <c r="H1641" t="s">
        <v>29</v>
      </c>
      <c r="I1641" t="s">
        <v>34</v>
      </c>
      <c r="J1641" t="s">
        <v>40</v>
      </c>
      <c r="K1641" t="s">
        <v>44</v>
      </c>
      <c r="L1641" t="s">
        <v>51</v>
      </c>
      <c r="M1641">
        <v>22811</v>
      </c>
      <c r="N1641">
        <v>0.23</v>
      </c>
      <c r="O1641">
        <v>8662</v>
      </c>
      <c r="P1641">
        <v>22</v>
      </c>
      <c r="Q1641" t="s">
        <v>55</v>
      </c>
      <c r="R1641" t="s">
        <v>60</v>
      </c>
    </row>
    <row r="1642" spans="1:18">
      <c r="A1642">
        <v>11641</v>
      </c>
      <c r="B1642" s="2">
        <v>45837</v>
      </c>
      <c r="C1642" s="2">
        <v>45839</v>
      </c>
      <c r="D1642" s="2">
        <v>45843</v>
      </c>
      <c r="E1642" t="s">
        <v>18</v>
      </c>
      <c r="F1642" t="s">
        <v>22</v>
      </c>
      <c r="G1642" t="s">
        <v>28</v>
      </c>
      <c r="H1642" t="s">
        <v>30</v>
      </c>
      <c r="I1642" t="s">
        <v>35</v>
      </c>
      <c r="J1642" t="s">
        <v>38</v>
      </c>
      <c r="K1642" t="s">
        <v>47</v>
      </c>
      <c r="L1642" t="s">
        <v>53</v>
      </c>
      <c r="M1642">
        <v>42891</v>
      </c>
      <c r="N1642">
        <v>0.22</v>
      </c>
      <c r="O1642">
        <v>19675</v>
      </c>
      <c r="P1642">
        <v>12</v>
      </c>
      <c r="Q1642" t="s">
        <v>55</v>
      </c>
      <c r="R1642" t="s">
        <v>61</v>
      </c>
    </row>
    <row r="1643" spans="1:18">
      <c r="A1643">
        <v>11642</v>
      </c>
      <c r="B1643" s="2">
        <v>45838</v>
      </c>
      <c r="C1643" s="2">
        <v>45840</v>
      </c>
      <c r="D1643" s="2">
        <v>45844</v>
      </c>
      <c r="E1643" t="s">
        <v>19</v>
      </c>
      <c r="F1643" t="s">
        <v>22</v>
      </c>
      <c r="G1643" t="s">
        <v>25</v>
      </c>
      <c r="H1643" t="s">
        <v>29</v>
      </c>
      <c r="I1643" t="s">
        <v>36</v>
      </c>
      <c r="J1643" t="s">
        <v>39</v>
      </c>
      <c r="K1643" t="s">
        <v>44</v>
      </c>
      <c r="L1643" t="s">
        <v>52</v>
      </c>
      <c r="M1643">
        <v>25165</v>
      </c>
      <c r="N1643">
        <v>0.23</v>
      </c>
      <c r="O1643">
        <v>11732</v>
      </c>
      <c r="P1643">
        <v>22</v>
      </c>
      <c r="Q1643" t="s">
        <v>55</v>
      </c>
      <c r="R1643" t="s">
        <v>59</v>
      </c>
    </row>
    <row r="1644" spans="1:18">
      <c r="A1644">
        <v>11643</v>
      </c>
      <c r="B1644" s="2">
        <v>45839</v>
      </c>
      <c r="C1644" s="2">
        <v>45841</v>
      </c>
      <c r="D1644" s="2">
        <v>45845</v>
      </c>
      <c r="E1644" t="s">
        <v>18</v>
      </c>
      <c r="F1644" t="s">
        <v>22</v>
      </c>
      <c r="G1644" t="s">
        <v>26</v>
      </c>
      <c r="H1644" t="s">
        <v>30</v>
      </c>
      <c r="I1644" t="s">
        <v>34</v>
      </c>
      <c r="J1644" t="s">
        <v>42</v>
      </c>
      <c r="K1644" t="s">
        <v>49</v>
      </c>
      <c r="L1644" t="s">
        <v>51</v>
      </c>
      <c r="M1644">
        <v>24874</v>
      </c>
      <c r="N1644">
        <v>0.33</v>
      </c>
      <c r="O1644">
        <v>11227</v>
      </c>
      <c r="P1644">
        <v>22</v>
      </c>
      <c r="Q1644" t="s">
        <v>57</v>
      </c>
      <c r="R1644" t="s">
        <v>60</v>
      </c>
    </row>
    <row r="1645" spans="1:18">
      <c r="A1645">
        <v>11644</v>
      </c>
      <c r="B1645" s="2">
        <v>45840</v>
      </c>
      <c r="C1645" s="2">
        <v>45842</v>
      </c>
      <c r="D1645" s="2">
        <v>45846</v>
      </c>
      <c r="E1645" t="s">
        <v>21</v>
      </c>
      <c r="F1645" t="s">
        <v>22</v>
      </c>
      <c r="G1645" t="s">
        <v>23</v>
      </c>
      <c r="H1645" t="s">
        <v>31</v>
      </c>
      <c r="I1645" t="s">
        <v>34</v>
      </c>
      <c r="J1645" t="s">
        <v>41</v>
      </c>
      <c r="K1645" t="s">
        <v>47</v>
      </c>
      <c r="L1645" t="s">
        <v>52</v>
      </c>
      <c r="M1645">
        <v>9573</v>
      </c>
      <c r="N1645">
        <v>0.3</v>
      </c>
      <c r="O1645">
        <v>16498</v>
      </c>
      <c r="P1645">
        <v>22</v>
      </c>
      <c r="Q1645" t="s">
        <v>54</v>
      </c>
      <c r="R1645" t="s">
        <v>62</v>
      </c>
    </row>
    <row r="1646" spans="1:18">
      <c r="A1646">
        <v>11645</v>
      </c>
      <c r="B1646" s="2">
        <v>45841</v>
      </c>
      <c r="C1646" s="2">
        <v>45843</v>
      </c>
      <c r="D1646" s="2">
        <v>45847</v>
      </c>
      <c r="E1646" t="s">
        <v>19</v>
      </c>
      <c r="F1646" t="s">
        <v>22</v>
      </c>
      <c r="G1646" t="s">
        <v>24</v>
      </c>
      <c r="H1646" t="s">
        <v>31</v>
      </c>
      <c r="I1646" t="s">
        <v>35</v>
      </c>
      <c r="J1646" t="s">
        <v>37</v>
      </c>
      <c r="K1646" t="s">
        <v>50</v>
      </c>
      <c r="L1646" t="s">
        <v>52</v>
      </c>
      <c r="M1646">
        <v>61621</v>
      </c>
      <c r="N1646">
        <v>0.11</v>
      </c>
      <c r="O1646">
        <v>7037</v>
      </c>
      <c r="P1646">
        <v>20</v>
      </c>
      <c r="Q1646" t="s">
        <v>58</v>
      </c>
      <c r="R1646" t="s">
        <v>59</v>
      </c>
    </row>
    <row r="1647" spans="1:18">
      <c r="A1647">
        <v>11646</v>
      </c>
      <c r="B1647" s="2">
        <v>45842</v>
      </c>
      <c r="C1647" s="2">
        <v>45844</v>
      </c>
      <c r="D1647" s="2">
        <v>45848</v>
      </c>
      <c r="E1647" t="s">
        <v>20</v>
      </c>
      <c r="F1647" t="s">
        <v>22</v>
      </c>
      <c r="G1647" t="s">
        <v>23</v>
      </c>
      <c r="H1647" t="s">
        <v>29</v>
      </c>
      <c r="I1647" t="s">
        <v>35</v>
      </c>
      <c r="J1647" t="s">
        <v>41</v>
      </c>
      <c r="K1647" t="s">
        <v>46</v>
      </c>
      <c r="L1647" t="s">
        <v>51</v>
      </c>
      <c r="M1647">
        <v>29526</v>
      </c>
      <c r="N1647">
        <v>0.23</v>
      </c>
      <c r="O1647">
        <v>18781</v>
      </c>
      <c r="P1647">
        <v>15</v>
      </c>
      <c r="Q1647" t="s">
        <v>58</v>
      </c>
      <c r="R1647" t="s">
        <v>62</v>
      </c>
    </row>
    <row r="1648" spans="1:18">
      <c r="A1648">
        <v>11647</v>
      </c>
      <c r="B1648" s="2">
        <v>45843</v>
      </c>
      <c r="C1648" s="2">
        <v>45845</v>
      </c>
      <c r="D1648" s="2">
        <v>45849</v>
      </c>
      <c r="E1648" t="s">
        <v>19</v>
      </c>
      <c r="F1648" t="s">
        <v>22</v>
      </c>
      <c r="G1648" t="s">
        <v>24</v>
      </c>
      <c r="H1648" t="s">
        <v>33</v>
      </c>
      <c r="I1648" t="s">
        <v>35</v>
      </c>
      <c r="J1648" t="s">
        <v>40</v>
      </c>
      <c r="K1648" t="s">
        <v>46</v>
      </c>
      <c r="L1648" t="s">
        <v>52</v>
      </c>
      <c r="M1648">
        <v>21108</v>
      </c>
      <c r="N1648">
        <v>0.02</v>
      </c>
      <c r="O1648">
        <v>19969</v>
      </c>
      <c r="P1648">
        <v>1</v>
      </c>
      <c r="Q1648" t="s">
        <v>57</v>
      </c>
      <c r="R1648" t="s">
        <v>60</v>
      </c>
    </row>
    <row r="1649" spans="1:18">
      <c r="A1649">
        <v>11648</v>
      </c>
      <c r="B1649" s="2">
        <v>45844</v>
      </c>
      <c r="C1649" s="2">
        <v>45846</v>
      </c>
      <c r="D1649" s="2">
        <v>45850</v>
      </c>
      <c r="E1649" t="s">
        <v>18</v>
      </c>
      <c r="F1649" t="s">
        <v>22</v>
      </c>
      <c r="G1649" t="s">
        <v>27</v>
      </c>
      <c r="H1649" t="s">
        <v>32</v>
      </c>
      <c r="I1649" t="s">
        <v>35</v>
      </c>
      <c r="J1649" t="s">
        <v>41</v>
      </c>
      <c r="K1649" t="s">
        <v>46</v>
      </c>
      <c r="L1649" t="s">
        <v>53</v>
      </c>
      <c r="M1649">
        <v>68987</v>
      </c>
      <c r="N1649">
        <v>0.09</v>
      </c>
      <c r="O1649">
        <v>16018</v>
      </c>
      <c r="P1649">
        <v>5</v>
      </c>
      <c r="Q1649" t="s">
        <v>58</v>
      </c>
      <c r="R1649" t="s">
        <v>60</v>
      </c>
    </row>
    <row r="1650" spans="1:18">
      <c r="A1650">
        <v>11649</v>
      </c>
      <c r="B1650" s="2">
        <v>45845</v>
      </c>
      <c r="C1650" s="2">
        <v>45847</v>
      </c>
      <c r="D1650" s="2">
        <v>45851</v>
      </c>
      <c r="E1650" t="s">
        <v>19</v>
      </c>
      <c r="F1650" t="s">
        <v>22</v>
      </c>
      <c r="G1650" t="s">
        <v>28</v>
      </c>
      <c r="H1650" t="s">
        <v>29</v>
      </c>
      <c r="I1650" t="s">
        <v>34</v>
      </c>
      <c r="J1650" t="s">
        <v>39</v>
      </c>
      <c r="K1650" t="s">
        <v>44</v>
      </c>
      <c r="L1650" t="s">
        <v>51</v>
      </c>
      <c r="M1650">
        <v>43780</v>
      </c>
      <c r="N1650">
        <v>0.37</v>
      </c>
      <c r="O1650">
        <v>8837</v>
      </c>
      <c r="P1650">
        <v>8</v>
      </c>
      <c r="Q1650" t="s">
        <v>56</v>
      </c>
      <c r="R1650" t="s">
        <v>59</v>
      </c>
    </row>
    <row r="1651" spans="1:18">
      <c r="A1651">
        <v>11650</v>
      </c>
      <c r="B1651" s="2">
        <v>45846</v>
      </c>
      <c r="C1651" s="2">
        <v>45848</v>
      </c>
      <c r="D1651" s="2">
        <v>45852</v>
      </c>
      <c r="E1651" t="s">
        <v>20</v>
      </c>
      <c r="F1651" t="s">
        <v>22</v>
      </c>
      <c r="G1651" t="s">
        <v>27</v>
      </c>
      <c r="H1651" t="s">
        <v>29</v>
      </c>
      <c r="I1651" t="s">
        <v>36</v>
      </c>
      <c r="J1651" t="s">
        <v>38</v>
      </c>
      <c r="K1651" t="s">
        <v>46</v>
      </c>
      <c r="L1651" t="s">
        <v>52</v>
      </c>
      <c r="M1651">
        <v>52796</v>
      </c>
      <c r="N1651">
        <v>0.13</v>
      </c>
      <c r="O1651">
        <v>4847</v>
      </c>
      <c r="P1651">
        <v>20</v>
      </c>
      <c r="Q1651" t="s">
        <v>57</v>
      </c>
      <c r="R1651" t="s">
        <v>62</v>
      </c>
    </row>
    <row r="1652" spans="1:18">
      <c r="A1652">
        <v>11651</v>
      </c>
      <c r="B1652" s="2">
        <v>45847</v>
      </c>
      <c r="C1652" s="2">
        <v>45849</v>
      </c>
      <c r="D1652" s="2">
        <v>45853</v>
      </c>
      <c r="E1652" t="s">
        <v>21</v>
      </c>
      <c r="F1652" t="s">
        <v>22</v>
      </c>
      <c r="G1652" t="s">
        <v>26</v>
      </c>
      <c r="H1652" t="s">
        <v>32</v>
      </c>
      <c r="I1652" t="s">
        <v>34</v>
      </c>
      <c r="J1652" t="s">
        <v>38</v>
      </c>
      <c r="K1652" t="s">
        <v>45</v>
      </c>
      <c r="L1652" t="s">
        <v>52</v>
      </c>
      <c r="M1652">
        <v>49204</v>
      </c>
      <c r="N1652">
        <v>0.23</v>
      </c>
      <c r="O1652">
        <v>152</v>
      </c>
      <c r="P1652">
        <v>23</v>
      </c>
      <c r="Q1652" t="s">
        <v>57</v>
      </c>
      <c r="R1652" t="s">
        <v>60</v>
      </c>
    </row>
    <row r="1653" spans="1:18">
      <c r="A1653">
        <v>11652</v>
      </c>
      <c r="B1653" s="2">
        <v>45848</v>
      </c>
      <c r="C1653" s="2">
        <v>45850</v>
      </c>
      <c r="D1653" s="2">
        <v>45854</v>
      </c>
      <c r="E1653" t="s">
        <v>20</v>
      </c>
      <c r="F1653" t="s">
        <v>22</v>
      </c>
      <c r="G1653" t="s">
        <v>28</v>
      </c>
      <c r="H1653" t="s">
        <v>29</v>
      </c>
      <c r="I1653" t="s">
        <v>34</v>
      </c>
      <c r="J1653" t="s">
        <v>42</v>
      </c>
      <c r="K1653" t="s">
        <v>49</v>
      </c>
      <c r="L1653" t="s">
        <v>53</v>
      </c>
      <c r="M1653">
        <v>55680</v>
      </c>
      <c r="N1653">
        <v>0.21</v>
      </c>
      <c r="O1653">
        <v>10141</v>
      </c>
      <c r="P1653">
        <v>12</v>
      </c>
      <c r="Q1653" t="s">
        <v>57</v>
      </c>
      <c r="R1653" t="s">
        <v>59</v>
      </c>
    </row>
    <row r="1654" spans="1:18">
      <c r="A1654">
        <v>11653</v>
      </c>
      <c r="B1654" s="2">
        <v>45849</v>
      </c>
      <c r="C1654" s="2">
        <v>45851</v>
      </c>
      <c r="D1654" s="2">
        <v>45855</v>
      </c>
      <c r="E1654" t="s">
        <v>18</v>
      </c>
      <c r="F1654" t="s">
        <v>22</v>
      </c>
      <c r="G1654" t="s">
        <v>23</v>
      </c>
      <c r="H1654" t="s">
        <v>30</v>
      </c>
      <c r="I1654" t="s">
        <v>36</v>
      </c>
      <c r="J1654" t="s">
        <v>39</v>
      </c>
      <c r="K1654" t="s">
        <v>45</v>
      </c>
      <c r="L1654" t="s">
        <v>51</v>
      </c>
      <c r="M1654">
        <v>11139</v>
      </c>
      <c r="N1654">
        <v>0.37</v>
      </c>
      <c r="O1654">
        <v>-1105</v>
      </c>
      <c r="P1654">
        <v>10</v>
      </c>
      <c r="Q1654" t="s">
        <v>57</v>
      </c>
      <c r="R1654" t="s">
        <v>61</v>
      </c>
    </row>
    <row r="1655" spans="1:18">
      <c r="A1655">
        <v>11654</v>
      </c>
      <c r="B1655" s="2">
        <v>45850</v>
      </c>
      <c r="C1655" s="2">
        <v>45852</v>
      </c>
      <c r="D1655" s="2">
        <v>45856</v>
      </c>
      <c r="E1655" t="s">
        <v>18</v>
      </c>
      <c r="F1655" t="s">
        <v>22</v>
      </c>
      <c r="G1655" t="s">
        <v>26</v>
      </c>
      <c r="H1655" t="s">
        <v>29</v>
      </c>
      <c r="I1655" t="s">
        <v>34</v>
      </c>
      <c r="J1655" t="s">
        <v>37</v>
      </c>
      <c r="K1655" t="s">
        <v>44</v>
      </c>
      <c r="L1655" t="s">
        <v>52</v>
      </c>
      <c r="M1655">
        <v>22300</v>
      </c>
      <c r="N1655">
        <v>0.4</v>
      </c>
      <c r="O1655">
        <v>-1997</v>
      </c>
      <c r="P1655">
        <v>24</v>
      </c>
      <c r="Q1655" t="s">
        <v>57</v>
      </c>
      <c r="R1655" t="s">
        <v>60</v>
      </c>
    </row>
    <row r="1656" spans="1:18">
      <c r="A1656">
        <v>11655</v>
      </c>
      <c r="B1656" s="2">
        <v>45851</v>
      </c>
      <c r="C1656" s="2">
        <v>45853</v>
      </c>
      <c r="D1656" s="2">
        <v>45857</v>
      </c>
      <c r="E1656" t="s">
        <v>20</v>
      </c>
      <c r="F1656" t="s">
        <v>22</v>
      </c>
      <c r="G1656" t="s">
        <v>25</v>
      </c>
      <c r="H1656" t="s">
        <v>31</v>
      </c>
      <c r="I1656" t="s">
        <v>35</v>
      </c>
      <c r="J1656" t="s">
        <v>41</v>
      </c>
      <c r="K1656" t="s">
        <v>44</v>
      </c>
      <c r="L1656" t="s">
        <v>52</v>
      </c>
      <c r="M1656">
        <v>21862</v>
      </c>
      <c r="N1656">
        <v>0.12</v>
      </c>
      <c r="O1656">
        <v>10027</v>
      </c>
      <c r="P1656">
        <v>3</v>
      </c>
      <c r="Q1656" t="s">
        <v>54</v>
      </c>
      <c r="R1656" t="s">
        <v>59</v>
      </c>
    </row>
    <row r="1657" spans="1:18">
      <c r="A1657">
        <v>11656</v>
      </c>
      <c r="B1657" s="2">
        <v>45852</v>
      </c>
      <c r="C1657" s="2">
        <v>45854</v>
      </c>
      <c r="D1657" s="2">
        <v>45858</v>
      </c>
      <c r="E1657" t="s">
        <v>20</v>
      </c>
      <c r="F1657" t="s">
        <v>22</v>
      </c>
      <c r="G1657" t="s">
        <v>26</v>
      </c>
      <c r="H1657" t="s">
        <v>32</v>
      </c>
      <c r="I1657" t="s">
        <v>34</v>
      </c>
      <c r="J1657" t="s">
        <v>41</v>
      </c>
      <c r="K1657" t="s">
        <v>46</v>
      </c>
      <c r="L1657" t="s">
        <v>53</v>
      </c>
      <c r="M1657">
        <v>15200</v>
      </c>
      <c r="N1657">
        <v>0.04</v>
      </c>
      <c r="O1657">
        <v>17736</v>
      </c>
      <c r="P1657">
        <v>15</v>
      </c>
      <c r="Q1657" t="s">
        <v>54</v>
      </c>
      <c r="R1657" t="s">
        <v>62</v>
      </c>
    </row>
    <row r="1658" spans="1:18">
      <c r="A1658">
        <v>11657</v>
      </c>
      <c r="B1658" s="2">
        <v>45853</v>
      </c>
      <c r="C1658" s="2">
        <v>45855</v>
      </c>
      <c r="D1658" s="2">
        <v>45859</v>
      </c>
      <c r="E1658" t="s">
        <v>20</v>
      </c>
      <c r="F1658" t="s">
        <v>22</v>
      </c>
      <c r="G1658" t="s">
        <v>28</v>
      </c>
      <c r="H1658" t="s">
        <v>33</v>
      </c>
      <c r="I1658" t="s">
        <v>34</v>
      </c>
      <c r="J1658" t="s">
        <v>43</v>
      </c>
      <c r="K1658" t="s">
        <v>45</v>
      </c>
      <c r="L1658" t="s">
        <v>53</v>
      </c>
      <c r="M1658">
        <v>39677</v>
      </c>
      <c r="N1658">
        <v>0.3</v>
      </c>
      <c r="O1658">
        <v>-572</v>
      </c>
      <c r="P1658">
        <v>13</v>
      </c>
      <c r="Q1658" t="s">
        <v>54</v>
      </c>
      <c r="R1658" t="s">
        <v>60</v>
      </c>
    </row>
    <row r="1659" spans="1:18">
      <c r="A1659">
        <v>11658</v>
      </c>
      <c r="B1659" s="2">
        <v>45854</v>
      </c>
      <c r="C1659" s="2">
        <v>45856</v>
      </c>
      <c r="D1659" s="2">
        <v>45860</v>
      </c>
      <c r="E1659" t="s">
        <v>20</v>
      </c>
      <c r="F1659" t="s">
        <v>22</v>
      </c>
      <c r="G1659" t="s">
        <v>24</v>
      </c>
      <c r="H1659" t="s">
        <v>31</v>
      </c>
      <c r="I1659" t="s">
        <v>35</v>
      </c>
      <c r="J1659" t="s">
        <v>43</v>
      </c>
      <c r="K1659" t="s">
        <v>49</v>
      </c>
      <c r="L1659" t="s">
        <v>51</v>
      </c>
      <c r="M1659">
        <v>23512</v>
      </c>
      <c r="N1659">
        <v>0.26</v>
      </c>
      <c r="O1659">
        <v>1853</v>
      </c>
      <c r="P1659">
        <v>7</v>
      </c>
      <c r="Q1659" t="s">
        <v>54</v>
      </c>
      <c r="R1659" t="s">
        <v>61</v>
      </c>
    </row>
    <row r="1660" spans="1:18">
      <c r="A1660">
        <v>11659</v>
      </c>
      <c r="B1660" s="2">
        <v>45855</v>
      </c>
      <c r="C1660" s="2">
        <v>45857</v>
      </c>
      <c r="D1660" s="2">
        <v>45861</v>
      </c>
      <c r="E1660" t="s">
        <v>20</v>
      </c>
      <c r="F1660" t="s">
        <v>22</v>
      </c>
      <c r="G1660" t="s">
        <v>28</v>
      </c>
      <c r="H1660" t="s">
        <v>29</v>
      </c>
      <c r="I1660" t="s">
        <v>36</v>
      </c>
      <c r="J1660" t="s">
        <v>39</v>
      </c>
      <c r="K1660" t="s">
        <v>44</v>
      </c>
      <c r="L1660" t="s">
        <v>53</v>
      </c>
      <c r="M1660">
        <v>59906</v>
      </c>
      <c r="N1660">
        <v>0.08</v>
      </c>
      <c r="O1660">
        <v>7578</v>
      </c>
      <c r="P1660">
        <v>13</v>
      </c>
      <c r="Q1660" t="s">
        <v>55</v>
      </c>
      <c r="R1660" t="s">
        <v>60</v>
      </c>
    </row>
    <row r="1661" spans="1:18">
      <c r="A1661">
        <v>11660</v>
      </c>
      <c r="B1661" s="2">
        <v>45856</v>
      </c>
      <c r="C1661" s="2">
        <v>45858</v>
      </c>
      <c r="D1661" s="2">
        <v>45862</v>
      </c>
      <c r="E1661" t="s">
        <v>21</v>
      </c>
      <c r="F1661" t="s">
        <v>22</v>
      </c>
      <c r="G1661" t="s">
        <v>23</v>
      </c>
      <c r="H1661" t="s">
        <v>33</v>
      </c>
      <c r="I1661" t="s">
        <v>34</v>
      </c>
      <c r="J1661" t="s">
        <v>37</v>
      </c>
      <c r="K1661" t="s">
        <v>47</v>
      </c>
      <c r="L1661" t="s">
        <v>51</v>
      </c>
      <c r="M1661">
        <v>2954</v>
      </c>
      <c r="N1661">
        <v>0.12</v>
      </c>
      <c r="O1661">
        <v>2561</v>
      </c>
      <c r="P1661">
        <v>16</v>
      </c>
      <c r="Q1661" t="s">
        <v>56</v>
      </c>
      <c r="R1661" t="s">
        <v>62</v>
      </c>
    </row>
    <row r="1662" spans="1:18">
      <c r="A1662">
        <v>11661</v>
      </c>
      <c r="B1662" s="2">
        <v>45857</v>
      </c>
      <c r="C1662" s="2">
        <v>45859</v>
      </c>
      <c r="D1662" s="2">
        <v>45863</v>
      </c>
      <c r="E1662" t="s">
        <v>20</v>
      </c>
      <c r="F1662" t="s">
        <v>22</v>
      </c>
      <c r="G1662" t="s">
        <v>27</v>
      </c>
      <c r="H1662" t="s">
        <v>29</v>
      </c>
      <c r="I1662" t="s">
        <v>36</v>
      </c>
      <c r="J1662" t="s">
        <v>37</v>
      </c>
      <c r="K1662" t="s">
        <v>44</v>
      </c>
      <c r="L1662" t="s">
        <v>53</v>
      </c>
      <c r="M1662">
        <v>26730</v>
      </c>
      <c r="N1662">
        <v>0.37</v>
      </c>
      <c r="O1662">
        <v>3465</v>
      </c>
      <c r="P1662">
        <v>12</v>
      </c>
      <c r="Q1662" t="s">
        <v>56</v>
      </c>
      <c r="R1662" t="s">
        <v>60</v>
      </c>
    </row>
    <row r="1663" spans="1:18">
      <c r="A1663">
        <v>11662</v>
      </c>
      <c r="B1663" s="2">
        <v>45858</v>
      </c>
      <c r="C1663" s="2">
        <v>45860</v>
      </c>
      <c r="D1663" s="2">
        <v>45864</v>
      </c>
      <c r="E1663" t="s">
        <v>21</v>
      </c>
      <c r="F1663" t="s">
        <v>22</v>
      </c>
      <c r="G1663" t="s">
        <v>26</v>
      </c>
      <c r="H1663" t="s">
        <v>31</v>
      </c>
      <c r="I1663" t="s">
        <v>34</v>
      </c>
      <c r="J1663" t="s">
        <v>38</v>
      </c>
      <c r="K1663" t="s">
        <v>50</v>
      </c>
      <c r="L1663" t="s">
        <v>51</v>
      </c>
      <c r="M1663">
        <v>48240</v>
      </c>
      <c r="N1663">
        <v>0.34</v>
      </c>
      <c r="O1663">
        <v>4400</v>
      </c>
      <c r="P1663">
        <v>17</v>
      </c>
      <c r="Q1663" t="s">
        <v>56</v>
      </c>
      <c r="R1663" t="s">
        <v>59</v>
      </c>
    </row>
    <row r="1664" spans="1:18">
      <c r="A1664">
        <v>11663</v>
      </c>
      <c r="B1664" s="2">
        <v>45859</v>
      </c>
      <c r="C1664" s="2">
        <v>45861</v>
      </c>
      <c r="D1664" s="2">
        <v>45865</v>
      </c>
      <c r="E1664" t="s">
        <v>19</v>
      </c>
      <c r="F1664" t="s">
        <v>22</v>
      </c>
      <c r="G1664" t="s">
        <v>25</v>
      </c>
      <c r="H1664" t="s">
        <v>33</v>
      </c>
      <c r="I1664" t="s">
        <v>35</v>
      </c>
      <c r="J1664" t="s">
        <v>39</v>
      </c>
      <c r="K1664" t="s">
        <v>44</v>
      </c>
      <c r="L1664" t="s">
        <v>52</v>
      </c>
      <c r="M1664">
        <v>63861</v>
      </c>
      <c r="N1664">
        <v>0.03</v>
      </c>
      <c r="O1664">
        <v>610</v>
      </c>
      <c r="P1664">
        <v>14</v>
      </c>
      <c r="Q1664" t="s">
        <v>55</v>
      </c>
      <c r="R1664" t="s">
        <v>60</v>
      </c>
    </row>
    <row r="1665" spans="1:18">
      <c r="A1665">
        <v>11664</v>
      </c>
      <c r="B1665" s="2">
        <v>45860</v>
      </c>
      <c r="C1665" s="2">
        <v>45862</v>
      </c>
      <c r="D1665" s="2">
        <v>45866</v>
      </c>
      <c r="E1665" t="s">
        <v>19</v>
      </c>
      <c r="F1665" t="s">
        <v>22</v>
      </c>
      <c r="G1665" t="s">
        <v>26</v>
      </c>
      <c r="H1665" t="s">
        <v>25</v>
      </c>
      <c r="I1665" t="s">
        <v>34</v>
      </c>
      <c r="J1665" t="s">
        <v>37</v>
      </c>
      <c r="K1665" t="s">
        <v>46</v>
      </c>
      <c r="L1665" t="s">
        <v>53</v>
      </c>
      <c r="M1665">
        <v>40668</v>
      </c>
      <c r="N1665">
        <v>0.36</v>
      </c>
      <c r="O1665">
        <v>10625</v>
      </c>
      <c r="P1665">
        <v>17</v>
      </c>
      <c r="Q1665" t="s">
        <v>55</v>
      </c>
      <c r="R1665" t="s">
        <v>59</v>
      </c>
    </row>
    <row r="1666" spans="1:18">
      <c r="A1666">
        <v>11665</v>
      </c>
      <c r="B1666" s="2">
        <v>45861</v>
      </c>
      <c r="C1666" s="2">
        <v>45863</v>
      </c>
      <c r="D1666" s="2">
        <v>45867</v>
      </c>
      <c r="E1666" t="s">
        <v>19</v>
      </c>
      <c r="F1666" t="s">
        <v>22</v>
      </c>
      <c r="G1666" t="s">
        <v>23</v>
      </c>
      <c r="H1666" t="s">
        <v>32</v>
      </c>
      <c r="I1666" t="s">
        <v>36</v>
      </c>
      <c r="J1666" t="s">
        <v>38</v>
      </c>
      <c r="K1666" t="s">
        <v>44</v>
      </c>
      <c r="L1666" t="s">
        <v>52</v>
      </c>
      <c r="M1666">
        <v>69342</v>
      </c>
      <c r="N1666">
        <v>0.35</v>
      </c>
      <c r="O1666">
        <v>11791</v>
      </c>
      <c r="P1666">
        <v>9</v>
      </c>
      <c r="Q1666" t="s">
        <v>54</v>
      </c>
      <c r="R1666" t="s">
        <v>59</v>
      </c>
    </row>
    <row r="1667" spans="1:18">
      <c r="A1667">
        <v>11666</v>
      </c>
      <c r="B1667" s="2">
        <v>45862</v>
      </c>
      <c r="C1667" s="2">
        <v>45864</v>
      </c>
      <c r="D1667" s="2">
        <v>45868</v>
      </c>
      <c r="E1667" t="s">
        <v>19</v>
      </c>
      <c r="F1667" t="s">
        <v>22</v>
      </c>
      <c r="G1667" t="s">
        <v>27</v>
      </c>
      <c r="H1667" t="s">
        <v>25</v>
      </c>
      <c r="I1667" t="s">
        <v>34</v>
      </c>
      <c r="J1667" t="s">
        <v>39</v>
      </c>
      <c r="K1667" t="s">
        <v>49</v>
      </c>
      <c r="L1667" t="s">
        <v>51</v>
      </c>
      <c r="M1667">
        <v>16228</v>
      </c>
      <c r="N1667">
        <v>0.19</v>
      </c>
      <c r="O1667">
        <v>7390</v>
      </c>
      <c r="P1667">
        <v>17</v>
      </c>
      <c r="Q1667" t="s">
        <v>57</v>
      </c>
      <c r="R1667" t="s">
        <v>59</v>
      </c>
    </row>
    <row r="1668" spans="1:18">
      <c r="A1668">
        <v>11667</v>
      </c>
      <c r="B1668" s="2">
        <v>45863</v>
      </c>
      <c r="C1668" s="2">
        <v>45865</v>
      </c>
      <c r="D1668" s="2">
        <v>45869</v>
      </c>
      <c r="E1668" t="s">
        <v>20</v>
      </c>
      <c r="F1668" t="s">
        <v>22</v>
      </c>
      <c r="G1668" t="s">
        <v>27</v>
      </c>
      <c r="H1668" t="s">
        <v>32</v>
      </c>
      <c r="I1668" t="s">
        <v>36</v>
      </c>
      <c r="J1668" t="s">
        <v>39</v>
      </c>
      <c r="K1668" t="s">
        <v>46</v>
      </c>
      <c r="L1668" t="s">
        <v>53</v>
      </c>
      <c r="M1668">
        <v>59347</v>
      </c>
      <c r="N1668">
        <v>7.0000000000000007E-2</v>
      </c>
      <c r="O1668">
        <v>-1686</v>
      </c>
      <c r="P1668">
        <v>17</v>
      </c>
      <c r="Q1668" t="s">
        <v>57</v>
      </c>
      <c r="R1668" t="s">
        <v>62</v>
      </c>
    </row>
    <row r="1669" spans="1:18">
      <c r="A1669">
        <v>11668</v>
      </c>
      <c r="B1669" s="2">
        <v>45864</v>
      </c>
      <c r="C1669" s="2">
        <v>45866</v>
      </c>
      <c r="D1669" s="2">
        <v>45870</v>
      </c>
      <c r="E1669" t="s">
        <v>21</v>
      </c>
      <c r="F1669" t="s">
        <v>22</v>
      </c>
      <c r="G1669" t="s">
        <v>26</v>
      </c>
      <c r="H1669" t="s">
        <v>25</v>
      </c>
      <c r="I1669" t="s">
        <v>34</v>
      </c>
      <c r="J1669" t="s">
        <v>42</v>
      </c>
      <c r="K1669" t="s">
        <v>49</v>
      </c>
      <c r="L1669" t="s">
        <v>52</v>
      </c>
      <c r="M1669">
        <v>65381</v>
      </c>
      <c r="N1669">
        <v>0.05</v>
      </c>
      <c r="O1669">
        <v>-1920</v>
      </c>
      <c r="P1669">
        <v>24</v>
      </c>
      <c r="Q1669" t="s">
        <v>54</v>
      </c>
      <c r="R1669" t="s">
        <v>62</v>
      </c>
    </row>
    <row r="1670" spans="1:18">
      <c r="A1670">
        <v>11669</v>
      </c>
      <c r="B1670" s="2">
        <v>45865</v>
      </c>
      <c r="C1670" s="2">
        <v>45867</v>
      </c>
      <c r="D1670" s="2">
        <v>45871</v>
      </c>
      <c r="E1670" t="s">
        <v>19</v>
      </c>
      <c r="F1670" t="s">
        <v>22</v>
      </c>
      <c r="G1670" t="s">
        <v>26</v>
      </c>
      <c r="H1670" t="s">
        <v>32</v>
      </c>
      <c r="I1670" t="s">
        <v>35</v>
      </c>
      <c r="J1670" t="s">
        <v>41</v>
      </c>
      <c r="K1670" t="s">
        <v>45</v>
      </c>
      <c r="L1670" t="s">
        <v>51</v>
      </c>
      <c r="M1670">
        <v>26845</v>
      </c>
      <c r="N1670">
        <v>0.03</v>
      </c>
      <c r="O1670">
        <v>1884</v>
      </c>
      <c r="P1670">
        <v>24</v>
      </c>
      <c r="Q1670" t="s">
        <v>54</v>
      </c>
      <c r="R1670" t="s">
        <v>61</v>
      </c>
    </row>
    <row r="1671" spans="1:18">
      <c r="A1671">
        <v>11670</v>
      </c>
      <c r="B1671" s="2">
        <v>45866</v>
      </c>
      <c r="C1671" s="2">
        <v>45868</v>
      </c>
      <c r="D1671" s="2">
        <v>45872</v>
      </c>
      <c r="E1671" t="s">
        <v>19</v>
      </c>
      <c r="F1671" t="s">
        <v>22</v>
      </c>
      <c r="G1671" t="s">
        <v>24</v>
      </c>
      <c r="H1671" t="s">
        <v>33</v>
      </c>
      <c r="I1671" t="s">
        <v>36</v>
      </c>
      <c r="J1671" t="s">
        <v>42</v>
      </c>
      <c r="K1671" t="s">
        <v>47</v>
      </c>
      <c r="L1671" t="s">
        <v>53</v>
      </c>
      <c r="M1671">
        <v>45358</v>
      </c>
      <c r="N1671">
        <v>0.21</v>
      </c>
      <c r="O1671">
        <v>18106</v>
      </c>
      <c r="P1671">
        <v>21</v>
      </c>
      <c r="Q1671" t="s">
        <v>55</v>
      </c>
      <c r="R1671" t="s">
        <v>62</v>
      </c>
    </row>
    <row r="1672" spans="1:18">
      <c r="A1672">
        <v>11671</v>
      </c>
      <c r="B1672" s="2">
        <v>45867</v>
      </c>
      <c r="C1672" s="2">
        <v>45869</v>
      </c>
      <c r="D1672" s="2">
        <v>45873</v>
      </c>
      <c r="E1672" t="s">
        <v>19</v>
      </c>
      <c r="F1672" t="s">
        <v>22</v>
      </c>
      <c r="G1672" t="s">
        <v>27</v>
      </c>
      <c r="H1672" t="s">
        <v>30</v>
      </c>
      <c r="I1672" t="s">
        <v>35</v>
      </c>
      <c r="J1672" t="s">
        <v>38</v>
      </c>
      <c r="K1672" t="s">
        <v>45</v>
      </c>
      <c r="L1672" t="s">
        <v>53</v>
      </c>
      <c r="M1672">
        <v>54149</v>
      </c>
      <c r="N1672">
        <v>0.39</v>
      </c>
      <c r="O1672">
        <v>2975</v>
      </c>
      <c r="P1672">
        <v>12</v>
      </c>
      <c r="Q1672" t="s">
        <v>58</v>
      </c>
      <c r="R1672" t="s">
        <v>60</v>
      </c>
    </row>
    <row r="1673" spans="1:18">
      <c r="A1673">
        <v>11672</v>
      </c>
      <c r="B1673" s="2">
        <v>45868</v>
      </c>
      <c r="C1673" s="2">
        <v>45870</v>
      </c>
      <c r="D1673" s="2">
        <v>45874</v>
      </c>
      <c r="E1673" t="s">
        <v>19</v>
      </c>
      <c r="F1673" t="s">
        <v>22</v>
      </c>
      <c r="G1673" t="s">
        <v>23</v>
      </c>
      <c r="H1673" t="s">
        <v>30</v>
      </c>
      <c r="I1673" t="s">
        <v>36</v>
      </c>
      <c r="J1673" t="s">
        <v>39</v>
      </c>
      <c r="K1673" t="s">
        <v>48</v>
      </c>
      <c r="L1673" t="s">
        <v>51</v>
      </c>
      <c r="M1673">
        <v>10784</v>
      </c>
      <c r="N1673">
        <v>0.1</v>
      </c>
      <c r="O1673">
        <v>15570</v>
      </c>
      <c r="P1673">
        <v>11</v>
      </c>
      <c r="Q1673" t="s">
        <v>56</v>
      </c>
      <c r="R1673" t="s">
        <v>61</v>
      </c>
    </row>
    <row r="1674" spans="1:18">
      <c r="A1674">
        <v>11673</v>
      </c>
      <c r="B1674" s="2">
        <v>45869</v>
      </c>
      <c r="C1674" s="2">
        <v>45871</v>
      </c>
      <c r="D1674" s="2">
        <v>45875</v>
      </c>
      <c r="E1674" t="s">
        <v>20</v>
      </c>
      <c r="F1674" t="s">
        <v>22</v>
      </c>
      <c r="G1674" t="s">
        <v>24</v>
      </c>
      <c r="H1674" t="s">
        <v>33</v>
      </c>
      <c r="I1674" t="s">
        <v>35</v>
      </c>
      <c r="J1674" t="s">
        <v>37</v>
      </c>
      <c r="K1674" t="s">
        <v>45</v>
      </c>
      <c r="L1674" t="s">
        <v>52</v>
      </c>
      <c r="M1674">
        <v>12726</v>
      </c>
      <c r="N1674">
        <v>0.18</v>
      </c>
      <c r="O1674">
        <v>17099</v>
      </c>
      <c r="P1674">
        <v>14</v>
      </c>
      <c r="Q1674" t="s">
        <v>54</v>
      </c>
      <c r="R1674" t="s">
        <v>61</v>
      </c>
    </row>
    <row r="1675" spans="1:18">
      <c r="A1675">
        <v>11674</v>
      </c>
      <c r="B1675" s="2">
        <v>45870</v>
      </c>
      <c r="C1675" s="2">
        <v>45872</v>
      </c>
      <c r="D1675" s="2">
        <v>45876</v>
      </c>
      <c r="E1675" t="s">
        <v>20</v>
      </c>
      <c r="F1675" t="s">
        <v>22</v>
      </c>
      <c r="G1675" t="s">
        <v>26</v>
      </c>
      <c r="H1675" t="s">
        <v>31</v>
      </c>
      <c r="I1675" t="s">
        <v>36</v>
      </c>
      <c r="J1675" t="s">
        <v>43</v>
      </c>
      <c r="K1675" t="s">
        <v>50</v>
      </c>
      <c r="L1675" t="s">
        <v>53</v>
      </c>
      <c r="M1675">
        <v>15694</v>
      </c>
      <c r="N1675">
        <v>0.06</v>
      </c>
      <c r="O1675">
        <v>15532</v>
      </c>
      <c r="P1675">
        <v>13</v>
      </c>
      <c r="Q1675" t="s">
        <v>55</v>
      </c>
      <c r="R1675" t="s">
        <v>59</v>
      </c>
    </row>
    <row r="1676" spans="1:18">
      <c r="A1676">
        <v>11675</v>
      </c>
      <c r="B1676" s="2">
        <v>45871</v>
      </c>
      <c r="C1676" s="2">
        <v>45873</v>
      </c>
      <c r="D1676" s="2">
        <v>45877</v>
      </c>
      <c r="E1676" t="s">
        <v>20</v>
      </c>
      <c r="F1676" t="s">
        <v>22</v>
      </c>
      <c r="G1676" t="s">
        <v>23</v>
      </c>
      <c r="H1676" t="s">
        <v>32</v>
      </c>
      <c r="I1676" t="s">
        <v>34</v>
      </c>
      <c r="J1676" t="s">
        <v>39</v>
      </c>
      <c r="K1676" t="s">
        <v>47</v>
      </c>
      <c r="L1676" t="s">
        <v>51</v>
      </c>
      <c r="M1676">
        <v>51336</v>
      </c>
      <c r="N1676">
        <v>0.16</v>
      </c>
      <c r="O1676">
        <v>5197</v>
      </c>
      <c r="P1676">
        <v>9</v>
      </c>
      <c r="Q1676" t="s">
        <v>55</v>
      </c>
      <c r="R1676" t="s">
        <v>61</v>
      </c>
    </row>
    <row r="1677" spans="1:18">
      <c r="A1677">
        <v>11676</v>
      </c>
      <c r="B1677" s="2">
        <v>45872</v>
      </c>
      <c r="C1677" s="2">
        <v>45874</v>
      </c>
      <c r="D1677" s="2">
        <v>45878</v>
      </c>
      <c r="E1677" t="s">
        <v>18</v>
      </c>
      <c r="F1677" t="s">
        <v>22</v>
      </c>
      <c r="G1677" t="s">
        <v>28</v>
      </c>
      <c r="H1677" t="s">
        <v>30</v>
      </c>
      <c r="I1677" t="s">
        <v>34</v>
      </c>
      <c r="J1677" t="s">
        <v>43</v>
      </c>
      <c r="K1677" t="s">
        <v>48</v>
      </c>
      <c r="L1677" t="s">
        <v>53</v>
      </c>
      <c r="M1677">
        <v>70669</v>
      </c>
      <c r="N1677">
        <v>0.06</v>
      </c>
      <c r="O1677">
        <v>568</v>
      </c>
      <c r="P1677">
        <v>17</v>
      </c>
      <c r="Q1677" t="s">
        <v>55</v>
      </c>
      <c r="R1677" t="s">
        <v>62</v>
      </c>
    </row>
    <row r="1678" spans="1:18">
      <c r="A1678">
        <v>11677</v>
      </c>
      <c r="B1678" s="2">
        <v>45873</v>
      </c>
      <c r="C1678" s="2">
        <v>45875</v>
      </c>
      <c r="D1678" s="2">
        <v>45879</v>
      </c>
      <c r="E1678" t="s">
        <v>19</v>
      </c>
      <c r="F1678" t="s">
        <v>22</v>
      </c>
      <c r="G1678" t="s">
        <v>28</v>
      </c>
      <c r="H1678" t="s">
        <v>31</v>
      </c>
      <c r="I1678" t="s">
        <v>34</v>
      </c>
      <c r="J1678" t="s">
        <v>43</v>
      </c>
      <c r="K1678" t="s">
        <v>46</v>
      </c>
      <c r="L1678" t="s">
        <v>52</v>
      </c>
      <c r="M1678">
        <v>42779</v>
      </c>
      <c r="N1678">
        <v>0.19</v>
      </c>
      <c r="O1678">
        <v>10480</v>
      </c>
      <c r="P1678">
        <v>11</v>
      </c>
      <c r="Q1678" t="s">
        <v>58</v>
      </c>
      <c r="R1678" t="s">
        <v>60</v>
      </c>
    </row>
    <row r="1679" spans="1:18">
      <c r="A1679">
        <v>11678</v>
      </c>
      <c r="B1679" s="2">
        <v>45874</v>
      </c>
      <c r="C1679" s="2">
        <v>45876</v>
      </c>
      <c r="D1679" s="2">
        <v>45880</v>
      </c>
      <c r="E1679" t="s">
        <v>20</v>
      </c>
      <c r="F1679" t="s">
        <v>22</v>
      </c>
      <c r="G1679" t="s">
        <v>25</v>
      </c>
      <c r="H1679" t="s">
        <v>29</v>
      </c>
      <c r="I1679" t="s">
        <v>34</v>
      </c>
      <c r="J1679" t="s">
        <v>42</v>
      </c>
      <c r="K1679" t="s">
        <v>50</v>
      </c>
      <c r="L1679" t="s">
        <v>51</v>
      </c>
      <c r="M1679">
        <v>1012</v>
      </c>
      <c r="N1679">
        <v>0.15</v>
      </c>
      <c r="O1679">
        <v>14588</v>
      </c>
      <c r="P1679">
        <v>23</v>
      </c>
      <c r="Q1679" t="s">
        <v>54</v>
      </c>
      <c r="R1679" t="s">
        <v>60</v>
      </c>
    </row>
    <row r="1680" spans="1:18">
      <c r="A1680">
        <v>11679</v>
      </c>
      <c r="B1680" s="2">
        <v>45875</v>
      </c>
      <c r="C1680" s="2">
        <v>45877</v>
      </c>
      <c r="D1680" s="2">
        <v>45881</v>
      </c>
      <c r="E1680" t="s">
        <v>19</v>
      </c>
      <c r="F1680" t="s">
        <v>22</v>
      </c>
      <c r="G1680" t="s">
        <v>24</v>
      </c>
      <c r="H1680" t="s">
        <v>31</v>
      </c>
      <c r="I1680" t="s">
        <v>36</v>
      </c>
      <c r="J1680" t="s">
        <v>41</v>
      </c>
      <c r="K1680" t="s">
        <v>49</v>
      </c>
      <c r="L1680" t="s">
        <v>53</v>
      </c>
      <c r="M1680">
        <v>61309</v>
      </c>
      <c r="N1680">
        <v>0.38</v>
      </c>
      <c r="O1680">
        <v>16931</v>
      </c>
      <c r="P1680">
        <v>3</v>
      </c>
      <c r="Q1680" t="s">
        <v>54</v>
      </c>
      <c r="R1680" t="s">
        <v>59</v>
      </c>
    </row>
    <row r="1681" spans="1:18">
      <c r="A1681">
        <v>11680</v>
      </c>
      <c r="B1681" s="2">
        <v>45876</v>
      </c>
      <c r="C1681" s="2">
        <v>45878</v>
      </c>
      <c r="D1681" s="2">
        <v>45882</v>
      </c>
      <c r="E1681" t="s">
        <v>18</v>
      </c>
      <c r="F1681" t="s">
        <v>22</v>
      </c>
      <c r="G1681" t="s">
        <v>24</v>
      </c>
      <c r="H1681" t="s">
        <v>29</v>
      </c>
      <c r="I1681" t="s">
        <v>35</v>
      </c>
      <c r="J1681" t="s">
        <v>39</v>
      </c>
      <c r="K1681" t="s">
        <v>47</v>
      </c>
      <c r="L1681" t="s">
        <v>51</v>
      </c>
      <c r="M1681">
        <v>23311</v>
      </c>
      <c r="N1681">
        <v>0.14000000000000001</v>
      </c>
      <c r="O1681">
        <v>15344</v>
      </c>
      <c r="P1681">
        <v>11</v>
      </c>
      <c r="Q1681" t="s">
        <v>57</v>
      </c>
      <c r="R1681" t="s">
        <v>60</v>
      </c>
    </row>
    <row r="1682" spans="1:18">
      <c r="A1682">
        <v>11681</v>
      </c>
      <c r="B1682" s="2">
        <v>45877</v>
      </c>
      <c r="C1682" s="2">
        <v>45879</v>
      </c>
      <c r="D1682" s="2">
        <v>45883</v>
      </c>
      <c r="E1682" t="s">
        <v>20</v>
      </c>
      <c r="F1682" t="s">
        <v>22</v>
      </c>
      <c r="G1682" t="s">
        <v>25</v>
      </c>
      <c r="H1682" t="s">
        <v>30</v>
      </c>
      <c r="I1682" t="s">
        <v>36</v>
      </c>
      <c r="J1682" t="s">
        <v>38</v>
      </c>
      <c r="K1682" t="s">
        <v>48</v>
      </c>
      <c r="L1682" t="s">
        <v>51</v>
      </c>
      <c r="M1682">
        <v>8520</v>
      </c>
      <c r="N1682">
        <v>0.23</v>
      </c>
      <c r="O1682">
        <v>13958</v>
      </c>
      <c r="P1682">
        <v>15</v>
      </c>
      <c r="Q1682" t="s">
        <v>57</v>
      </c>
      <c r="R1682" t="s">
        <v>61</v>
      </c>
    </row>
    <row r="1683" spans="1:18">
      <c r="A1683">
        <v>11682</v>
      </c>
      <c r="B1683" s="2">
        <v>45878</v>
      </c>
      <c r="C1683" s="2">
        <v>45880</v>
      </c>
      <c r="D1683" s="2">
        <v>45884</v>
      </c>
      <c r="E1683" t="s">
        <v>21</v>
      </c>
      <c r="F1683" t="s">
        <v>22</v>
      </c>
      <c r="G1683" t="s">
        <v>25</v>
      </c>
      <c r="H1683" t="s">
        <v>30</v>
      </c>
      <c r="I1683" t="s">
        <v>36</v>
      </c>
      <c r="J1683" t="s">
        <v>42</v>
      </c>
      <c r="K1683" t="s">
        <v>44</v>
      </c>
      <c r="L1683" t="s">
        <v>52</v>
      </c>
      <c r="M1683">
        <v>65808</v>
      </c>
      <c r="N1683">
        <v>0.21</v>
      </c>
      <c r="O1683">
        <v>100</v>
      </c>
      <c r="P1683">
        <v>18</v>
      </c>
      <c r="Q1683" t="s">
        <v>54</v>
      </c>
      <c r="R1683" t="s">
        <v>61</v>
      </c>
    </row>
    <row r="1684" spans="1:18">
      <c r="A1684">
        <v>11683</v>
      </c>
      <c r="B1684" s="2">
        <v>45879</v>
      </c>
      <c r="C1684" s="2">
        <v>45881</v>
      </c>
      <c r="D1684" s="2">
        <v>45885</v>
      </c>
      <c r="E1684" t="s">
        <v>21</v>
      </c>
      <c r="F1684" t="s">
        <v>22</v>
      </c>
      <c r="G1684" t="s">
        <v>27</v>
      </c>
      <c r="H1684" t="s">
        <v>30</v>
      </c>
      <c r="I1684" t="s">
        <v>34</v>
      </c>
      <c r="J1684" t="s">
        <v>40</v>
      </c>
      <c r="K1684" t="s">
        <v>44</v>
      </c>
      <c r="L1684" t="s">
        <v>53</v>
      </c>
      <c r="M1684">
        <v>60140</v>
      </c>
      <c r="N1684">
        <v>0.02</v>
      </c>
      <c r="O1684">
        <v>12664</v>
      </c>
      <c r="P1684">
        <v>8</v>
      </c>
      <c r="Q1684" t="s">
        <v>57</v>
      </c>
      <c r="R1684" t="s">
        <v>62</v>
      </c>
    </row>
    <row r="1685" spans="1:18">
      <c r="A1685">
        <v>11684</v>
      </c>
      <c r="B1685" s="2">
        <v>45880</v>
      </c>
      <c r="C1685" s="2">
        <v>45882</v>
      </c>
      <c r="D1685" s="2">
        <v>45886</v>
      </c>
      <c r="E1685" t="s">
        <v>20</v>
      </c>
      <c r="F1685" t="s">
        <v>22</v>
      </c>
      <c r="G1685" t="s">
        <v>25</v>
      </c>
      <c r="H1685" t="s">
        <v>25</v>
      </c>
      <c r="I1685" t="s">
        <v>35</v>
      </c>
      <c r="J1685" t="s">
        <v>37</v>
      </c>
      <c r="K1685" t="s">
        <v>45</v>
      </c>
      <c r="L1685" t="s">
        <v>52</v>
      </c>
      <c r="M1685">
        <v>44874</v>
      </c>
      <c r="N1685">
        <v>0.28999999999999998</v>
      </c>
      <c r="O1685">
        <v>14091</v>
      </c>
      <c r="P1685">
        <v>14</v>
      </c>
      <c r="Q1685" t="s">
        <v>55</v>
      </c>
      <c r="R1685" t="s">
        <v>60</v>
      </c>
    </row>
    <row r="1686" spans="1:18">
      <c r="A1686">
        <v>11685</v>
      </c>
      <c r="B1686" s="2">
        <v>45881</v>
      </c>
      <c r="C1686" s="2">
        <v>45883</v>
      </c>
      <c r="D1686" s="2">
        <v>45887</v>
      </c>
      <c r="E1686" t="s">
        <v>20</v>
      </c>
      <c r="F1686" t="s">
        <v>22</v>
      </c>
      <c r="G1686" t="s">
        <v>24</v>
      </c>
      <c r="H1686" t="s">
        <v>31</v>
      </c>
      <c r="I1686" t="s">
        <v>36</v>
      </c>
      <c r="J1686" t="s">
        <v>37</v>
      </c>
      <c r="K1686" t="s">
        <v>48</v>
      </c>
      <c r="L1686" t="s">
        <v>52</v>
      </c>
      <c r="M1686">
        <v>47083</v>
      </c>
      <c r="N1686">
        <v>0.31</v>
      </c>
      <c r="O1686">
        <v>18337</v>
      </c>
      <c r="P1686">
        <v>14</v>
      </c>
      <c r="Q1686" t="s">
        <v>58</v>
      </c>
      <c r="R1686" t="s">
        <v>62</v>
      </c>
    </row>
    <row r="1687" spans="1:18">
      <c r="A1687">
        <v>11686</v>
      </c>
      <c r="B1687" s="2">
        <v>45882</v>
      </c>
      <c r="C1687" s="2">
        <v>45884</v>
      </c>
      <c r="D1687" s="2">
        <v>45888</v>
      </c>
      <c r="E1687" t="s">
        <v>19</v>
      </c>
      <c r="F1687" t="s">
        <v>22</v>
      </c>
      <c r="G1687" t="s">
        <v>27</v>
      </c>
      <c r="H1687" t="s">
        <v>33</v>
      </c>
      <c r="I1687" t="s">
        <v>36</v>
      </c>
      <c r="J1687" t="s">
        <v>38</v>
      </c>
      <c r="K1687" t="s">
        <v>48</v>
      </c>
      <c r="L1687" t="s">
        <v>51</v>
      </c>
      <c r="M1687">
        <v>28560</v>
      </c>
      <c r="N1687">
        <v>0.13</v>
      </c>
      <c r="O1687">
        <v>12311</v>
      </c>
      <c r="P1687">
        <v>18</v>
      </c>
      <c r="Q1687" t="s">
        <v>58</v>
      </c>
      <c r="R1687" t="s">
        <v>59</v>
      </c>
    </row>
    <row r="1688" spans="1:18">
      <c r="A1688">
        <v>11687</v>
      </c>
      <c r="B1688" s="2">
        <v>45883</v>
      </c>
      <c r="C1688" s="2">
        <v>45885</v>
      </c>
      <c r="D1688" s="2">
        <v>45889</v>
      </c>
      <c r="E1688" t="s">
        <v>18</v>
      </c>
      <c r="F1688" t="s">
        <v>22</v>
      </c>
      <c r="G1688" t="s">
        <v>25</v>
      </c>
      <c r="H1688" t="s">
        <v>33</v>
      </c>
      <c r="I1688" t="s">
        <v>34</v>
      </c>
      <c r="J1688" t="s">
        <v>38</v>
      </c>
      <c r="K1688" t="s">
        <v>47</v>
      </c>
      <c r="L1688" t="s">
        <v>53</v>
      </c>
      <c r="M1688">
        <v>16356</v>
      </c>
      <c r="N1688">
        <v>0.16</v>
      </c>
      <c r="O1688">
        <v>14952</v>
      </c>
      <c r="P1688">
        <v>23</v>
      </c>
      <c r="Q1688" t="s">
        <v>56</v>
      </c>
      <c r="R1688" t="s">
        <v>62</v>
      </c>
    </row>
    <row r="1689" spans="1:18">
      <c r="A1689">
        <v>11688</v>
      </c>
      <c r="B1689" s="2">
        <v>45884</v>
      </c>
      <c r="C1689" s="2">
        <v>45886</v>
      </c>
      <c r="D1689" s="2">
        <v>45890</v>
      </c>
      <c r="E1689" t="s">
        <v>20</v>
      </c>
      <c r="F1689" t="s">
        <v>22</v>
      </c>
      <c r="G1689" t="s">
        <v>23</v>
      </c>
      <c r="H1689" t="s">
        <v>33</v>
      </c>
      <c r="I1689" t="s">
        <v>35</v>
      </c>
      <c r="J1689" t="s">
        <v>42</v>
      </c>
      <c r="K1689" t="s">
        <v>46</v>
      </c>
      <c r="L1689" t="s">
        <v>52</v>
      </c>
      <c r="M1689">
        <v>34134</v>
      </c>
      <c r="N1689">
        <v>0.38</v>
      </c>
      <c r="O1689">
        <v>16770</v>
      </c>
      <c r="P1689">
        <v>13</v>
      </c>
      <c r="Q1689" t="s">
        <v>57</v>
      </c>
      <c r="R1689" t="s">
        <v>62</v>
      </c>
    </row>
    <row r="1690" spans="1:18">
      <c r="A1690">
        <v>11689</v>
      </c>
      <c r="B1690" s="2">
        <v>45885</v>
      </c>
      <c r="C1690" s="2">
        <v>45887</v>
      </c>
      <c r="D1690" s="2">
        <v>45891</v>
      </c>
      <c r="E1690" t="s">
        <v>21</v>
      </c>
      <c r="F1690" t="s">
        <v>22</v>
      </c>
      <c r="G1690" t="s">
        <v>24</v>
      </c>
      <c r="H1690" t="s">
        <v>33</v>
      </c>
      <c r="I1690" t="s">
        <v>35</v>
      </c>
      <c r="J1690" t="s">
        <v>37</v>
      </c>
      <c r="K1690" t="s">
        <v>47</v>
      </c>
      <c r="L1690" t="s">
        <v>53</v>
      </c>
      <c r="M1690">
        <v>22310</v>
      </c>
      <c r="N1690">
        <v>0.17</v>
      </c>
      <c r="O1690">
        <v>14514</v>
      </c>
      <c r="P1690">
        <v>4</v>
      </c>
      <c r="Q1690" t="s">
        <v>55</v>
      </c>
      <c r="R1690" t="s">
        <v>61</v>
      </c>
    </row>
    <row r="1691" spans="1:18">
      <c r="A1691">
        <v>11690</v>
      </c>
      <c r="B1691" s="2">
        <v>45886</v>
      </c>
      <c r="C1691" s="2">
        <v>45888</v>
      </c>
      <c r="D1691" s="2">
        <v>45892</v>
      </c>
      <c r="E1691" t="s">
        <v>20</v>
      </c>
      <c r="F1691" t="s">
        <v>22</v>
      </c>
      <c r="G1691" t="s">
        <v>25</v>
      </c>
      <c r="H1691" t="s">
        <v>25</v>
      </c>
      <c r="I1691" t="s">
        <v>35</v>
      </c>
      <c r="J1691" t="s">
        <v>40</v>
      </c>
      <c r="K1691" t="s">
        <v>47</v>
      </c>
      <c r="L1691" t="s">
        <v>51</v>
      </c>
      <c r="M1691">
        <v>21789</v>
      </c>
      <c r="N1691">
        <v>0.01</v>
      </c>
      <c r="O1691">
        <v>15195</v>
      </c>
      <c r="P1691">
        <v>20</v>
      </c>
      <c r="Q1691" t="s">
        <v>54</v>
      </c>
      <c r="R1691" t="s">
        <v>60</v>
      </c>
    </row>
    <row r="1692" spans="1:18">
      <c r="A1692">
        <v>11691</v>
      </c>
      <c r="B1692" s="2">
        <v>45887</v>
      </c>
      <c r="C1692" s="2">
        <v>45889</v>
      </c>
      <c r="D1692" s="2">
        <v>45893</v>
      </c>
      <c r="E1692" t="s">
        <v>19</v>
      </c>
      <c r="F1692" t="s">
        <v>22</v>
      </c>
      <c r="G1692" t="s">
        <v>24</v>
      </c>
      <c r="H1692" t="s">
        <v>32</v>
      </c>
      <c r="I1692" t="s">
        <v>35</v>
      </c>
      <c r="J1692" t="s">
        <v>40</v>
      </c>
      <c r="K1692" t="s">
        <v>50</v>
      </c>
      <c r="L1692" t="s">
        <v>52</v>
      </c>
      <c r="M1692">
        <v>63386</v>
      </c>
      <c r="N1692">
        <v>0.01</v>
      </c>
      <c r="O1692">
        <v>18512</v>
      </c>
      <c r="P1692">
        <v>24</v>
      </c>
      <c r="Q1692" t="s">
        <v>58</v>
      </c>
      <c r="R1692" t="s">
        <v>60</v>
      </c>
    </row>
    <row r="1693" spans="1:18">
      <c r="A1693">
        <v>11692</v>
      </c>
      <c r="B1693" s="2">
        <v>45888</v>
      </c>
      <c r="C1693" s="2">
        <v>45890</v>
      </c>
      <c r="D1693" s="2">
        <v>45894</v>
      </c>
      <c r="E1693" t="s">
        <v>20</v>
      </c>
      <c r="F1693" t="s">
        <v>22</v>
      </c>
      <c r="G1693" t="s">
        <v>25</v>
      </c>
      <c r="H1693" t="s">
        <v>30</v>
      </c>
      <c r="I1693" t="s">
        <v>34</v>
      </c>
      <c r="J1693" t="s">
        <v>40</v>
      </c>
      <c r="K1693" t="s">
        <v>50</v>
      </c>
      <c r="L1693" t="s">
        <v>53</v>
      </c>
      <c r="M1693">
        <v>36735</v>
      </c>
      <c r="N1693">
        <v>0.25</v>
      </c>
      <c r="O1693">
        <v>15436</v>
      </c>
      <c r="P1693">
        <v>13</v>
      </c>
      <c r="Q1693" t="s">
        <v>55</v>
      </c>
      <c r="R1693" t="s">
        <v>62</v>
      </c>
    </row>
    <row r="1694" spans="1:18">
      <c r="A1694">
        <v>11693</v>
      </c>
      <c r="B1694" s="2">
        <v>45889</v>
      </c>
      <c r="C1694" s="2">
        <v>45891</v>
      </c>
      <c r="D1694" s="2">
        <v>45895</v>
      </c>
      <c r="E1694" t="s">
        <v>19</v>
      </c>
      <c r="F1694" t="s">
        <v>22</v>
      </c>
      <c r="G1694" t="s">
        <v>25</v>
      </c>
      <c r="H1694" t="s">
        <v>33</v>
      </c>
      <c r="I1694" t="s">
        <v>36</v>
      </c>
      <c r="J1694" t="s">
        <v>41</v>
      </c>
      <c r="K1694" t="s">
        <v>49</v>
      </c>
      <c r="L1694" t="s">
        <v>52</v>
      </c>
      <c r="M1694">
        <v>41930</v>
      </c>
      <c r="N1694">
        <v>0.15</v>
      </c>
      <c r="O1694">
        <v>2790</v>
      </c>
      <c r="P1694">
        <v>18</v>
      </c>
      <c r="Q1694" t="s">
        <v>56</v>
      </c>
      <c r="R1694" t="s">
        <v>60</v>
      </c>
    </row>
    <row r="1695" spans="1:18">
      <c r="A1695">
        <v>11694</v>
      </c>
      <c r="B1695" s="2">
        <v>45890</v>
      </c>
      <c r="C1695" s="2">
        <v>45892</v>
      </c>
      <c r="D1695" s="2">
        <v>45896</v>
      </c>
      <c r="E1695" t="s">
        <v>18</v>
      </c>
      <c r="F1695" t="s">
        <v>22</v>
      </c>
      <c r="G1695" t="s">
        <v>27</v>
      </c>
      <c r="H1695" t="s">
        <v>33</v>
      </c>
      <c r="I1695" t="s">
        <v>36</v>
      </c>
      <c r="J1695" t="s">
        <v>42</v>
      </c>
      <c r="K1695" t="s">
        <v>46</v>
      </c>
      <c r="L1695" t="s">
        <v>53</v>
      </c>
      <c r="M1695">
        <v>73301</v>
      </c>
      <c r="N1695">
        <v>0.26</v>
      </c>
      <c r="O1695">
        <v>365</v>
      </c>
      <c r="P1695">
        <v>9</v>
      </c>
      <c r="Q1695" t="s">
        <v>57</v>
      </c>
      <c r="R1695" t="s">
        <v>62</v>
      </c>
    </row>
    <row r="1696" spans="1:18">
      <c r="A1696">
        <v>11695</v>
      </c>
      <c r="B1696" s="2">
        <v>45891</v>
      </c>
      <c r="C1696" s="2">
        <v>45893</v>
      </c>
      <c r="D1696" s="2">
        <v>45897</v>
      </c>
      <c r="E1696" t="s">
        <v>19</v>
      </c>
      <c r="F1696" t="s">
        <v>22</v>
      </c>
      <c r="G1696" t="s">
        <v>26</v>
      </c>
      <c r="H1696" t="s">
        <v>32</v>
      </c>
      <c r="I1696" t="s">
        <v>35</v>
      </c>
      <c r="J1696" t="s">
        <v>42</v>
      </c>
      <c r="K1696" t="s">
        <v>50</v>
      </c>
      <c r="L1696" t="s">
        <v>51</v>
      </c>
      <c r="M1696">
        <v>19173</v>
      </c>
      <c r="N1696">
        <v>0.03</v>
      </c>
      <c r="O1696">
        <v>8400</v>
      </c>
      <c r="P1696">
        <v>6</v>
      </c>
      <c r="Q1696" t="s">
        <v>56</v>
      </c>
      <c r="R1696" t="s">
        <v>59</v>
      </c>
    </row>
    <row r="1697" spans="1:18">
      <c r="A1697">
        <v>11696</v>
      </c>
      <c r="B1697" s="2">
        <v>45892</v>
      </c>
      <c r="C1697" s="2">
        <v>45894</v>
      </c>
      <c r="D1697" s="2">
        <v>45898</v>
      </c>
      <c r="E1697" t="s">
        <v>19</v>
      </c>
      <c r="F1697" t="s">
        <v>22</v>
      </c>
      <c r="G1697" t="s">
        <v>25</v>
      </c>
      <c r="H1697" t="s">
        <v>33</v>
      </c>
      <c r="I1697" t="s">
        <v>35</v>
      </c>
      <c r="J1697" t="s">
        <v>42</v>
      </c>
      <c r="K1697" t="s">
        <v>45</v>
      </c>
      <c r="L1697" t="s">
        <v>53</v>
      </c>
      <c r="M1697">
        <v>27602</v>
      </c>
      <c r="N1697">
        <v>0.37</v>
      </c>
      <c r="O1697">
        <v>10670</v>
      </c>
      <c r="P1697">
        <v>10</v>
      </c>
      <c r="Q1697" t="s">
        <v>56</v>
      </c>
      <c r="R1697" t="s">
        <v>59</v>
      </c>
    </row>
    <row r="1698" spans="1:18">
      <c r="A1698">
        <v>11697</v>
      </c>
      <c r="B1698" s="2">
        <v>45893</v>
      </c>
      <c r="C1698" s="2">
        <v>45895</v>
      </c>
      <c r="D1698" s="2">
        <v>45899</v>
      </c>
      <c r="E1698" t="s">
        <v>19</v>
      </c>
      <c r="F1698" t="s">
        <v>22</v>
      </c>
      <c r="G1698" t="s">
        <v>28</v>
      </c>
      <c r="H1698" t="s">
        <v>30</v>
      </c>
      <c r="I1698" t="s">
        <v>35</v>
      </c>
      <c r="J1698" t="s">
        <v>37</v>
      </c>
      <c r="K1698" t="s">
        <v>50</v>
      </c>
      <c r="L1698" t="s">
        <v>51</v>
      </c>
      <c r="M1698">
        <v>49146</v>
      </c>
      <c r="N1698">
        <v>0.22</v>
      </c>
      <c r="O1698">
        <v>4496</v>
      </c>
      <c r="P1698">
        <v>9</v>
      </c>
      <c r="Q1698" t="s">
        <v>54</v>
      </c>
      <c r="R1698" t="s">
        <v>62</v>
      </c>
    </row>
    <row r="1699" spans="1:18">
      <c r="A1699">
        <v>11698</v>
      </c>
      <c r="B1699" s="2">
        <v>45894</v>
      </c>
      <c r="C1699" s="2">
        <v>45896</v>
      </c>
      <c r="D1699" s="2">
        <v>45900</v>
      </c>
      <c r="E1699" t="s">
        <v>19</v>
      </c>
      <c r="F1699" t="s">
        <v>22</v>
      </c>
      <c r="G1699" t="s">
        <v>25</v>
      </c>
      <c r="H1699" t="s">
        <v>33</v>
      </c>
      <c r="I1699" t="s">
        <v>35</v>
      </c>
      <c r="J1699" t="s">
        <v>38</v>
      </c>
      <c r="K1699" t="s">
        <v>44</v>
      </c>
      <c r="L1699" t="s">
        <v>53</v>
      </c>
      <c r="M1699">
        <v>60199</v>
      </c>
      <c r="N1699">
        <v>0.21</v>
      </c>
      <c r="O1699">
        <v>3364</v>
      </c>
      <c r="P1699">
        <v>19</v>
      </c>
      <c r="Q1699" t="s">
        <v>56</v>
      </c>
      <c r="R1699" t="s">
        <v>61</v>
      </c>
    </row>
    <row r="1700" spans="1:18">
      <c r="A1700">
        <v>11699</v>
      </c>
      <c r="B1700" s="2">
        <v>45895</v>
      </c>
      <c r="C1700" s="2">
        <v>45897</v>
      </c>
      <c r="D1700" s="2">
        <v>45901</v>
      </c>
      <c r="E1700" t="s">
        <v>21</v>
      </c>
      <c r="F1700" t="s">
        <v>22</v>
      </c>
      <c r="G1700" t="s">
        <v>28</v>
      </c>
      <c r="H1700" t="s">
        <v>30</v>
      </c>
      <c r="I1700" t="s">
        <v>36</v>
      </c>
      <c r="J1700" t="s">
        <v>37</v>
      </c>
      <c r="K1700" t="s">
        <v>50</v>
      </c>
      <c r="L1700" t="s">
        <v>53</v>
      </c>
      <c r="M1700">
        <v>23959</v>
      </c>
      <c r="N1700">
        <v>0.35</v>
      </c>
      <c r="O1700">
        <v>13807</v>
      </c>
      <c r="P1700">
        <v>9</v>
      </c>
      <c r="Q1700" t="s">
        <v>56</v>
      </c>
      <c r="R1700" t="s">
        <v>60</v>
      </c>
    </row>
    <row r="1701" spans="1:18">
      <c r="A1701">
        <v>11700</v>
      </c>
      <c r="B1701" s="2">
        <v>45896</v>
      </c>
      <c r="C1701" s="2">
        <v>45898</v>
      </c>
      <c r="D1701" s="2">
        <v>45902</v>
      </c>
      <c r="E1701" t="s">
        <v>18</v>
      </c>
      <c r="F1701" t="s">
        <v>22</v>
      </c>
      <c r="G1701" t="s">
        <v>26</v>
      </c>
      <c r="H1701" t="s">
        <v>31</v>
      </c>
      <c r="I1701" t="s">
        <v>36</v>
      </c>
      <c r="J1701" t="s">
        <v>37</v>
      </c>
      <c r="K1701" t="s">
        <v>50</v>
      </c>
      <c r="L1701" t="s">
        <v>53</v>
      </c>
      <c r="M1701">
        <v>23299</v>
      </c>
      <c r="N1701">
        <v>0.35</v>
      </c>
      <c r="O1701">
        <v>-1691</v>
      </c>
      <c r="P1701">
        <v>22</v>
      </c>
      <c r="Q1701" t="s">
        <v>57</v>
      </c>
      <c r="R1701" t="s">
        <v>62</v>
      </c>
    </row>
    <row r="1702" spans="1:18">
      <c r="A1702">
        <v>11701</v>
      </c>
      <c r="B1702" s="2">
        <v>45897</v>
      </c>
      <c r="C1702" s="2">
        <v>45899</v>
      </c>
      <c r="D1702" s="2">
        <v>45903</v>
      </c>
      <c r="E1702" t="s">
        <v>19</v>
      </c>
      <c r="F1702" t="s">
        <v>22</v>
      </c>
      <c r="G1702" t="s">
        <v>24</v>
      </c>
      <c r="H1702" t="s">
        <v>31</v>
      </c>
      <c r="I1702" t="s">
        <v>35</v>
      </c>
      <c r="J1702" t="s">
        <v>38</v>
      </c>
      <c r="K1702" t="s">
        <v>49</v>
      </c>
      <c r="L1702" t="s">
        <v>51</v>
      </c>
      <c r="M1702">
        <v>11297</v>
      </c>
      <c r="N1702">
        <v>0.3</v>
      </c>
      <c r="O1702">
        <v>-1060</v>
      </c>
      <c r="P1702">
        <v>3</v>
      </c>
      <c r="Q1702" t="s">
        <v>58</v>
      </c>
      <c r="R1702" t="s">
        <v>59</v>
      </c>
    </row>
    <row r="1703" spans="1:18">
      <c r="A1703">
        <v>11702</v>
      </c>
      <c r="B1703" s="2">
        <v>45898</v>
      </c>
      <c r="C1703" s="2">
        <v>45900</v>
      </c>
      <c r="D1703" s="2">
        <v>45904</v>
      </c>
      <c r="E1703" t="s">
        <v>19</v>
      </c>
      <c r="F1703" t="s">
        <v>22</v>
      </c>
      <c r="G1703" t="s">
        <v>28</v>
      </c>
      <c r="H1703" t="s">
        <v>32</v>
      </c>
      <c r="I1703" t="s">
        <v>35</v>
      </c>
      <c r="J1703" t="s">
        <v>40</v>
      </c>
      <c r="K1703" t="s">
        <v>50</v>
      </c>
      <c r="L1703" t="s">
        <v>53</v>
      </c>
      <c r="M1703">
        <v>2003</v>
      </c>
      <c r="N1703">
        <v>0.16</v>
      </c>
      <c r="O1703">
        <v>11691</v>
      </c>
      <c r="P1703">
        <v>5</v>
      </c>
      <c r="Q1703" t="s">
        <v>56</v>
      </c>
      <c r="R1703" t="s">
        <v>60</v>
      </c>
    </row>
    <row r="1704" spans="1:18">
      <c r="A1704">
        <v>11703</v>
      </c>
      <c r="B1704" s="2">
        <v>45899</v>
      </c>
      <c r="C1704" s="2">
        <v>45901</v>
      </c>
      <c r="D1704" s="2">
        <v>45905</v>
      </c>
      <c r="E1704" t="s">
        <v>21</v>
      </c>
      <c r="F1704" t="s">
        <v>22</v>
      </c>
      <c r="G1704" t="s">
        <v>25</v>
      </c>
      <c r="H1704" t="s">
        <v>31</v>
      </c>
      <c r="I1704" t="s">
        <v>36</v>
      </c>
      <c r="J1704" t="s">
        <v>37</v>
      </c>
      <c r="K1704" t="s">
        <v>50</v>
      </c>
      <c r="L1704" t="s">
        <v>52</v>
      </c>
      <c r="M1704">
        <v>74444</v>
      </c>
      <c r="N1704">
        <v>0.15</v>
      </c>
      <c r="O1704">
        <v>10904</v>
      </c>
      <c r="P1704">
        <v>5</v>
      </c>
      <c r="Q1704" t="s">
        <v>56</v>
      </c>
      <c r="R1704" t="s">
        <v>60</v>
      </c>
    </row>
    <row r="1705" spans="1:18">
      <c r="A1705">
        <v>11704</v>
      </c>
      <c r="B1705" s="2">
        <v>45900</v>
      </c>
      <c r="C1705" s="2">
        <v>45902</v>
      </c>
      <c r="D1705" s="2">
        <v>45906</v>
      </c>
      <c r="E1705" t="s">
        <v>20</v>
      </c>
      <c r="F1705" t="s">
        <v>22</v>
      </c>
      <c r="G1705" t="s">
        <v>26</v>
      </c>
      <c r="H1705" t="s">
        <v>31</v>
      </c>
      <c r="I1705" t="s">
        <v>34</v>
      </c>
      <c r="J1705" t="s">
        <v>39</v>
      </c>
      <c r="K1705" t="s">
        <v>45</v>
      </c>
      <c r="L1705" t="s">
        <v>51</v>
      </c>
      <c r="M1705">
        <v>46345</v>
      </c>
      <c r="N1705">
        <v>0.39</v>
      </c>
      <c r="O1705">
        <v>201</v>
      </c>
      <c r="P1705">
        <v>8</v>
      </c>
      <c r="Q1705" t="s">
        <v>55</v>
      </c>
      <c r="R1705" t="s">
        <v>59</v>
      </c>
    </row>
    <row r="1706" spans="1:18">
      <c r="A1706">
        <v>11705</v>
      </c>
      <c r="B1706" s="2">
        <v>45901</v>
      </c>
      <c r="C1706" s="2">
        <v>45903</v>
      </c>
      <c r="D1706" s="2">
        <v>45907</v>
      </c>
      <c r="E1706" t="s">
        <v>21</v>
      </c>
      <c r="F1706" t="s">
        <v>22</v>
      </c>
      <c r="G1706" t="s">
        <v>24</v>
      </c>
      <c r="H1706" t="s">
        <v>31</v>
      </c>
      <c r="I1706" t="s">
        <v>36</v>
      </c>
      <c r="J1706" t="s">
        <v>42</v>
      </c>
      <c r="K1706" t="s">
        <v>50</v>
      </c>
      <c r="L1706" t="s">
        <v>52</v>
      </c>
      <c r="M1706">
        <v>9301</v>
      </c>
      <c r="N1706">
        <v>0.32</v>
      </c>
      <c r="O1706">
        <v>18077</v>
      </c>
      <c r="P1706">
        <v>13</v>
      </c>
      <c r="Q1706" t="s">
        <v>58</v>
      </c>
      <c r="R1706" t="s">
        <v>60</v>
      </c>
    </row>
    <row r="1707" spans="1:18">
      <c r="A1707">
        <v>11706</v>
      </c>
      <c r="B1707" s="2">
        <v>45902</v>
      </c>
      <c r="C1707" s="2">
        <v>45904</v>
      </c>
      <c r="D1707" s="2">
        <v>45908</v>
      </c>
      <c r="E1707" t="s">
        <v>19</v>
      </c>
      <c r="F1707" t="s">
        <v>22</v>
      </c>
      <c r="G1707" t="s">
        <v>23</v>
      </c>
      <c r="H1707" t="s">
        <v>31</v>
      </c>
      <c r="I1707" t="s">
        <v>34</v>
      </c>
      <c r="J1707" t="s">
        <v>40</v>
      </c>
      <c r="K1707" t="s">
        <v>48</v>
      </c>
      <c r="L1707" t="s">
        <v>51</v>
      </c>
      <c r="M1707">
        <v>14595</v>
      </c>
      <c r="N1707">
        <v>0.14000000000000001</v>
      </c>
      <c r="O1707">
        <v>7733</v>
      </c>
      <c r="P1707">
        <v>23</v>
      </c>
      <c r="Q1707" t="s">
        <v>56</v>
      </c>
      <c r="R1707" t="s">
        <v>62</v>
      </c>
    </row>
    <row r="1708" spans="1:18">
      <c r="A1708">
        <v>11707</v>
      </c>
      <c r="B1708" s="2">
        <v>45903</v>
      </c>
      <c r="C1708" s="2">
        <v>45905</v>
      </c>
      <c r="D1708" s="2">
        <v>45909</v>
      </c>
      <c r="E1708" t="s">
        <v>21</v>
      </c>
      <c r="F1708" t="s">
        <v>22</v>
      </c>
      <c r="G1708" t="s">
        <v>24</v>
      </c>
      <c r="H1708" t="s">
        <v>25</v>
      </c>
      <c r="I1708" t="s">
        <v>35</v>
      </c>
      <c r="J1708" t="s">
        <v>40</v>
      </c>
      <c r="K1708" t="s">
        <v>47</v>
      </c>
      <c r="L1708" t="s">
        <v>53</v>
      </c>
      <c r="M1708">
        <v>70356</v>
      </c>
      <c r="N1708">
        <v>0.35</v>
      </c>
      <c r="O1708">
        <v>-608</v>
      </c>
      <c r="P1708">
        <v>6</v>
      </c>
      <c r="Q1708" t="s">
        <v>56</v>
      </c>
      <c r="R1708" t="s">
        <v>61</v>
      </c>
    </row>
    <row r="1709" spans="1:18">
      <c r="A1709">
        <v>11708</v>
      </c>
      <c r="B1709" s="2">
        <v>45904</v>
      </c>
      <c r="C1709" s="2">
        <v>45906</v>
      </c>
      <c r="D1709" s="2">
        <v>45910</v>
      </c>
      <c r="E1709" t="s">
        <v>18</v>
      </c>
      <c r="F1709" t="s">
        <v>22</v>
      </c>
      <c r="G1709" t="s">
        <v>25</v>
      </c>
      <c r="H1709" t="s">
        <v>32</v>
      </c>
      <c r="I1709" t="s">
        <v>34</v>
      </c>
      <c r="J1709" t="s">
        <v>39</v>
      </c>
      <c r="K1709" t="s">
        <v>47</v>
      </c>
      <c r="L1709" t="s">
        <v>52</v>
      </c>
      <c r="M1709">
        <v>45072</v>
      </c>
      <c r="N1709">
        <v>0.18</v>
      </c>
      <c r="O1709">
        <v>2592</v>
      </c>
      <c r="P1709">
        <v>12</v>
      </c>
      <c r="Q1709" t="s">
        <v>57</v>
      </c>
      <c r="R1709" t="s">
        <v>60</v>
      </c>
    </row>
    <row r="1710" spans="1:18">
      <c r="A1710">
        <v>11709</v>
      </c>
      <c r="B1710" s="2">
        <v>45905</v>
      </c>
      <c r="C1710" s="2">
        <v>45907</v>
      </c>
      <c r="D1710" s="2">
        <v>45911</v>
      </c>
      <c r="E1710" t="s">
        <v>21</v>
      </c>
      <c r="F1710" t="s">
        <v>22</v>
      </c>
      <c r="G1710" t="s">
        <v>25</v>
      </c>
      <c r="H1710" t="s">
        <v>32</v>
      </c>
      <c r="I1710" t="s">
        <v>36</v>
      </c>
      <c r="J1710" t="s">
        <v>39</v>
      </c>
      <c r="K1710" t="s">
        <v>45</v>
      </c>
      <c r="L1710" t="s">
        <v>52</v>
      </c>
      <c r="M1710">
        <v>6122</v>
      </c>
      <c r="N1710">
        <v>0.06</v>
      </c>
      <c r="O1710">
        <v>7875</v>
      </c>
      <c r="P1710">
        <v>16</v>
      </c>
      <c r="Q1710" t="s">
        <v>54</v>
      </c>
      <c r="R1710" t="s">
        <v>61</v>
      </c>
    </row>
    <row r="1711" spans="1:18">
      <c r="A1711">
        <v>11710</v>
      </c>
      <c r="B1711" s="2">
        <v>45906</v>
      </c>
      <c r="C1711" s="2">
        <v>45908</v>
      </c>
      <c r="D1711" s="2">
        <v>45912</v>
      </c>
      <c r="E1711" t="s">
        <v>18</v>
      </c>
      <c r="F1711" t="s">
        <v>22</v>
      </c>
      <c r="G1711" t="s">
        <v>28</v>
      </c>
      <c r="H1711" t="s">
        <v>33</v>
      </c>
      <c r="I1711" t="s">
        <v>36</v>
      </c>
      <c r="J1711" t="s">
        <v>41</v>
      </c>
      <c r="K1711" t="s">
        <v>46</v>
      </c>
      <c r="L1711" t="s">
        <v>51</v>
      </c>
      <c r="M1711">
        <v>41159</v>
      </c>
      <c r="N1711">
        <v>0</v>
      </c>
      <c r="O1711">
        <v>5268</v>
      </c>
      <c r="P1711">
        <v>24</v>
      </c>
      <c r="Q1711" t="s">
        <v>55</v>
      </c>
      <c r="R1711" t="s">
        <v>60</v>
      </c>
    </row>
    <row r="1712" spans="1:18">
      <c r="A1712">
        <v>11711</v>
      </c>
      <c r="B1712" s="2">
        <v>45907</v>
      </c>
      <c r="C1712" s="2">
        <v>45909</v>
      </c>
      <c r="D1712" s="2">
        <v>45913</v>
      </c>
      <c r="E1712" t="s">
        <v>20</v>
      </c>
      <c r="F1712" t="s">
        <v>22</v>
      </c>
      <c r="G1712" t="s">
        <v>27</v>
      </c>
      <c r="H1712" t="s">
        <v>30</v>
      </c>
      <c r="I1712" t="s">
        <v>34</v>
      </c>
      <c r="J1712" t="s">
        <v>39</v>
      </c>
      <c r="K1712" t="s">
        <v>48</v>
      </c>
      <c r="L1712" t="s">
        <v>51</v>
      </c>
      <c r="M1712">
        <v>21369</v>
      </c>
      <c r="N1712">
        <v>0.28999999999999998</v>
      </c>
      <c r="O1712">
        <v>1305</v>
      </c>
      <c r="P1712">
        <v>16</v>
      </c>
      <c r="Q1712" t="s">
        <v>54</v>
      </c>
      <c r="R1712" t="s">
        <v>60</v>
      </c>
    </row>
    <row r="1713" spans="1:18">
      <c r="A1713">
        <v>11712</v>
      </c>
      <c r="B1713" s="2">
        <v>45908</v>
      </c>
      <c r="C1713" s="2">
        <v>45910</v>
      </c>
      <c r="D1713" s="2">
        <v>45914</v>
      </c>
      <c r="E1713" t="s">
        <v>19</v>
      </c>
      <c r="F1713" t="s">
        <v>22</v>
      </c>
      <c r="G1713" t="s">
        <v>23</v>
      </c>
      <c r="H1713" t="s">
        <v>31</v>
      </c>
      <c r="I1713" t="s">
        <v>35</v>
      </c>
      <c r="J1713" t="s">
        <v>41</v>
      </c>
      <c r="K1713" t="s">
        <v>45</v>
      </c>
      <c r="L1713" t="s">
        <v>53</v>
      </c>
      <c r="M1713">
        <v>9102</v>
      </c>
      <c r="N1713">
        <v>0.31</v>
      </c>
      <c r="O1713">
        <v>2431</v>
      </c>
      <c r="P1713">
        <v>4</v>
      </c>
      <c r="Q1713" t="s">
        <v>56</v>
      </c>
      <c r="R1713" t="s">
        <v>61</v>
      </c>
    </row>
    <row r="1714" spans="1:18">
      <c r="A1714">
        <v>11713</v>
      </c>
      <c r="B1714" s="2">
        <v>45909</v>
      </c>
      <c r="C1714" s="2">
        <v>45911</v>
      </c>
      <c r="D1714" s="2">
        <v>45915</v>
      </c>
      <c r="E1714" t="s">
        <v>20</v>
      </c>
      <c r="F1714" t="s">
        <v>22</v>
      </c>
      <c r="G1714" t="s">
        <v>24</v>
      </c>
      <c r="H1714" t="s">
        <v>30</v>
      </c>
      <c r="I1714" t="s">
        <v>35</v>
      </c>
      <c r="J1714" t="s">
        <v>38</v>
      </c>
      <c r="K1714" t="s">
        <v>49</v>
      </c>
      <c r="L1714" t="s">
        <v>53</v>
      </c>
      <c r="M1714">
        <v>19300</v>
      </c>
      <c r="N1714">
        <v>0.24</v>
      </c>
      <c r="O1714">
        <v>11050</v>
      </c>
      <c r="P1714">
        <v>8</v>
      </c>
      <c r="Q1714" t="s">
        <v>57</v>
      </c>
      <c r="R1714" t="s">
        <v>60</v>
      </c>
    </row>
    <row r="1715" spans="1:18">
      <c r="A1715">
        <v>11714</v>
      </c>
      <c r="B1715" s="2">
        <v>45910</v>
      </c>
      <c r="C1715" s="2">
        <v>45912</v>
      </c>
      <c r="D1715" s="2">
        <v>45916</v>
      </c>
      <c r="E1715" t="s">
        <v>21</v>
      </c>
      <c r="F1715" t="s">
        <v>22</v>
      </c>
      <c r="G1715" t="s">
        <v>23</v>
      </c>
      <c r="H1715" t="s">
        <v>31</v>
      </c>
      <c r="I1715" t="s">
        <v>36</v>
      </c>
      <c r="J1715" t="s">
        <v>37</v>
      </c>
      <c r="K1715" t="s">
        <v>49</v>
      </c>
      <c r="L1715" t="s">
        <v>51</v>
      </c>
      <c r="M1715">
        <v>10425</v>
      </c>
      <c r="N1715">
        <v>0.24</v>
      </c>
      <c r="O1715">
        <v>11777</v>
      </c>
      <c r="P1715">
        <v>22</v>
      </c>
      <c r="Q1715" t="s">
        <v>54</v>
      </c>
      <c r="R1715" t="s">
        <v>61</v>
      </c>
    </row>
    <row r="1716" spans="1:18">
      <c r="A1716">
        <v>11715</v>
      </c>
      <c r="B1716" s="2">
        <v>45911</v>
      </c>
      <c r="C1716" s="2">
        <v>45913</v>
      </c>
      <c r="D1716" s="2">
        <v>45917</v>
      </c>
      <c r="E1716" t="s">
        <v>18</v>
      </c>
      <c r="F1716" t="s">
        <v>22</v>
      </c>
      <c r="G1716" t="s">
        <v>28</v>
      </c>
      <c r="H1716" t="s">
        <v>32</v>
      </c>
      <c r="I1716" t="s">
        <v>35</v>
      </c>
      <c r="J1716" t="s">
        <v>40</v>
      </c>
      <c r="K1716" t="s">
        <v>48</v>
      </c>
      <c r="L1716" t="s">
        <v>51</v>
      </c>
      <c r="M1716">
        <v>2413</v>
      </c>
      <c r="N1716">
        <v>0</v>
      </c>
      <c r="O1716">
        <v>14854</v>
      </c>
      <c r="P1716">
        <v>21</v>
      </c>
      <c r="Q1716" t="s">
        <v>57</v>
      </c>
      <c r="R1716" t="s">
        <v>59</v>
      </c>
    </row>
    <row r="1717" spans="1:18">
      <c r="A1717">
        <v>11716</v>
      </c>
      <c r="B1717" s="2">
        <v>45912</v>
      </c>
      <c r="C1717" s="2">
        <v>45914</v>
      </c>
      <c r="D1717" s="2">
        <v>45918</v>
      </c>
      <c r="E1717" t="s">
        <v>19</v>
      </c>
      <c r="F1717" t="s">
        <v>22</v>
      </c>
      <c r="G1717" t="s">
        <v>23</v>
      </c>
      <c r="H1717" t="s">
        <v>25</v>
      </c>
      <c r="I1717" t="s">
        <v>34</v>
      </c>
      <c r="J1717" t="s">
        <v>43</v>
      </c>
      <c r="K1717" t="s">
        <v>50</v>
      </c>
      <c r="L1717" t="s">
        <v>53</v>
      </c>
      <c r="M1717">
        <v>12359</v>
      </c>
      <c r="N1717">
        <v>0.17</v>
      </c>
      <c r="O1717">
        <v>3859</v>
      </c>
      <c r="P1717">
        <v>13</v>
      </c>
      <c r="Q1717" t="s">
        <v>56</v>
      </c>
      <c r="R1717" t="s">
        <v>60</v>
      </c>
    </row>
    <row r="1718" spans="1:18">
      <c r="A1718">
        <v>11717</v>
      </c>
      <c r="B1718" s="2">
        <v>45913</v>
      </c>
      <c r="C1718" s="2">
        <v>45915</v>
      </c>
      <c r="D1718" s="2">
        <v>45919</v>
      </c>
      <c r="E1718" t="s">
        <v>21</v>
      </c>
      <c r="F1718" t="s">
        <v>22</v>
      </c>
      <c r="G1718" t="s">
        <v>23</v>
      </c>
      <c r="H1718" t="s">
        <v>30</v>
      </c>
      <c r="I1718" t="s">
        <v>36</v>
      </c>
      <c r="J1718" t="s">
        <v>41</v>
      </c>
      <c r="K1718" t="s">
        <v>49</v>
      </c>
      <c r="L1718" t="s">
        <v>51</v>
      </c>
      <c r="M1718">
        <v>28978</v>
      </c>
      <c r="N1718">
        <v>0.01</v>
      </c>
      <c r="O1718">
        <v>10844</v>
      </c>
      <c r="P1718">
        <v>21</v>
      </c>
      <c r="Q1718" t="s">
        <v>56</v>
      </c>
      <c r="R1718" t="s">
        <v>61</v>
      </c>
    </row>
    <row r="1719" spans="1:18">
      <c r="A1719">
        <v>11718</v>
      </c>
      <c r="B1719" s="2">
        <v>45914</v>
      </c>
      <c r="C1719" s="2">
        <v>45916</v>
      </c>
      <c r="D1719" s="2">
        <v>45920</v>
      </c>
      <c r="E1719" t="s">
        <v>19</v>
      </c>
      <c r="F1719" t="s">
        <v>22</v>
      </c>
      <c r="G1719" t="s">
        <v>23</v>
      </c>
      <c r="H1719" t="s">
        <v>25</v>
      </c>
      <c r="I1719" t="s">
        <v>36</v>
      </c>
      <c r="J1719" t="s">
        <v>37</v>
      </c>
      <c r="K1719" t="s">
        <v>47</v>
      </c>
      <c r="L1719" t="s">
        <v>52</v>
      </c>
      <c r="M1719">
        <v>37390</v>
      </c>
      <c r="N1719">
        <v>0.01</v>
      </c>
      <c r="O1719">
        <v>12083</v>
      </c>
      <c r="P1719">
        <v>15</v>
      </c>
      <c r="Q1719" t="s">
        <v>54</v>
      </c>
      <c r="R1719" t="s">
        <v>60</v>
      </c>
    </row>
    <row r="1720" spans="1:18">
      <c r="A1720">
        <v>11719</v>
      </c>
      <c r="B1720" s="2">
        <v>45915</v>
      </c>
      <c r="C1720" s="2">
        <v>45917</v>
      </c>
      <c r="D1720" s="2">
        <v>45921</v>
      </c>
      <c r="E1720" t="s">
        <v>21</v>
      </c>
      <c r="F1720" t="s">
        <v>22</v>
      </c>
      <c r="G1720" t="s">
        <v>27</v>
      </c>
      <c r="H1720" t="s">
        <v>25</v>
      </c>
      <c r="I1720" t="s">
        <v>36</v>
      </c>
      <c r="J1720" t="s">
        <v>37</v>
      </c>
      <c r="K1720" t="s">
        <v>47</v>
      </c>
      <c r="L1720" t="s">
        <v>52</v>
      </c>
      <c r="M1720">
        <v>59005</v>
      </c>
      <c r="N1720">
        <v>0.3</v>
      </c>
      <c r="O1720">
        <v>3449</v>
      </c>
      <c r="P1720">
        <v>21</v>
      </c>
      <c r="Q1720" t="s">
        <v>55</v>
      </c>
      <c r="R1720" t="s">
        <v>59</v>
      </c>
    </row>
    <row r="1721" spans="1:18">
      <c r="A1721">
        <v>11720</v>
      </c>
      <c r="B1721" s="2">
        <v>45916</v>
      </c>
      <c r="C1721" s="2">
        <v>45918</v>
      </c>
      <c r="D1721" s="2">
        <v>45922</v>
      </c>
      <c r="E1721" t="s">
        <v>21</v>
      </c>
      <c r="F1721" t="s">
        <v>22</v>
      </c>
      <c r="G1721" t="s">
        <v>26</v>
      </c>
      <c r="H1721" t="s">
        <v>32</v>
      </c>
      <c r="I1721" t="s">
        <v>34</v>
      </c>
      <c r="J1721" t="s">
        <v>38</v>
      </c>
      <c r="K1721" t="s">
        <v>50</v>
      </c>
      <c r="L1721" t="s">
        <v>52</v>
      </c>
      <c r="M1721">
        <v>53030</v>
      </c>
      <c r="N1721">
        <v>0.05</v>
      </c>
      <c r="O1721">
        <v>13241</v>
      </c>
      <c r="P1721">
        <v>3</v>
      </c>
      <c r="Q1721" t="s">
        <v>58</v>
      </c>
      <c r="R1721" t="s">
        <v>61</v>
      </c>
    </row>
    <row r="1722" spans="1:18">
      <c r="A1722">
        <v>11721</v>
      </c>
      <c r="B1722" s="2">
        <v>45917</v>
      </c>
      <c r="C1722" s="2">
        <v>45919</v>
      </c>
      <c r="D1722" s="2">
        <v>45923</v>
      </c>
      <c r="E1722" t="s">
        <v>20</v>
      </c>
      <c r="F1722" t="s">
        <v>22</v>
      </c>
      <c r="G1722" t="s">
        <v>27</v>
      </c>
      <c r="H1722" t="s">
        <v>29</v>
      </c>
      <c r="I1722" t="s">
        <v>36</v>
      </c>
      <c r="J1722" t="s">
        <v>40</v>
      </c>
      <c r="K1722" t="s">
        <v>48</v>
      </c>
      <c r="L1722" t="s">
        <v>52</v>
      </c>
      <c r="M1722">
        <v>23416</v>
      </c>
      <c r="N1722">
        <v>0.05</v>
      </c>
      <c r="O1722">
        <v>5838</v>
      </c>
      <c r="P1722">
        <v>22</v>
      </c>
      <c r="Q1722" t="s">
        <v>58</v>
      </c>
      <c r="R1722" t="s">
        <v>60</v>
      </c>
    </row>
    <row r="1723" spans="1:18">
      <c r="A1723">
        <v>11722</v>
      </c>
      <c r="B1723" s="2">
        <v>45918</v>
      </c>
      <c r="C1723" s="2">
        <v>45920</v>
      </c>
      <c r="D1723" s="2">
        <v>45924</v>
      </c>
      <c r="E1723" t="s">
        <v>18</v>
      </c>
      <c r="F1723" t="s">
        <v>22</v>
      </c>
      <c r="G1723" t="s">
        <v>28</v>
      </c>
      <c r="H1723" t="s">
        <v>31</v>
      </c>
      <c r="I1723" t="s">
        <v>34</v>
      </c>
      <c r="J1723" t="s">
        <v>41</v>
      </c>
      <c r="K1723" t="s">
        <v>50</v>
      </c>
      <c r="L1723" t="s">
        <v>52</v>
      </c>
      <c r="M1723">
        <v>1664</v>
      </c>
      <c r="N1723">
        <v>0.27</v>
      </c>
      <c r="O1723">
        <v>18166</v>
      </c>
      <c r="P1723">
        <v>14</v>
      </c>
      <c r="Q1723" t="s">
        <v>55</v>
      </c>
      <c r="R1723" t="s">
        <v>62</v>
      </c>
    </row>
    <row r="1724" spans="1:18">
      <c r="A1724">
        <v>11723</v>
      </c>
      <c r="B1724" s="2">
        <v>45919</v>
      </c>
      <c r="C1724" s="2">
        <v>45921</v>
      </c>
      <c r="D1724" s="2">
        <v>45925</v>
      </c>
      <c r="E1724" t="s">
        <v>20</v>
      </c>
      <c r="F1724" t="s">
        <v>22</v>
      </c>
      <c r="G1724" t="s">
        <v>25</v>
      </c>
      <c r="H1724" t="s">
        <v>29</v>
      </c>
      <c r="I1724" t="s">
        <v>36</v>
      </c>
      <c r="J1724" t="s">
        <v>43</v>
      </c>
      <c r="K1724" t="s">
        <v>50</v>
      </c>
      <c r="L1724" t="s">
        <v>53</v>
      </c>
      <c r="M1724">
        <v>35665</v>
      </c>
      <c r="N1724">
        <v>7.0000000000000007E-2</v>
      </c>
      <c r="O1724">
        <v>2409</v>
      </c>
      <c r="P1724">
        <v>12</v>
      </c>
      <c r="Q1724" t="s">
        <v>55</v>
      </c>
      <c r="R1724" t="s">
        <v>61</v>
      </c>
    </row>
    <row r="1725" spans="1:18">
      <c r="A1725">
        <v>11724</v>
      </c>
      <c r="B1725" s="2">
        <v>45920</v>
      </c>
      <c r="C1725" s="2">
        <v>45922</v>
      </c>
      <c r="D1725" s="2">
        <v>45926</v>
      </c>
      <c r="E1725" t="s">
        <v>18</v>
      </c>
      <c r="F1725" t="s">
        <v>22</v>
      </c>
      <c r="G1725" t="s">
        <v>24</v>
      </c>
      <c r="H1725" t="s">
        <v>29</v>
      </c>
      <c r="I1725" t="s">
        <v>36</v>
      </c>
      <c r="J1725" t="s">
        <v>42</v>
      </c>
      <c r="K1725" t="s">
        <v>45</v>
      </c>
      <c r="L1725" t="s">
        <v>52</v>
      </c>
      <c r="M1725">
        <v>60456</v>
      </c>
      <c r="N1725">
        <v>0.1</v>
      </c>
      <c r="O1725">
        <v>1347</v>
      </c>
      <c r="P1725">
        <v>8</v>
      </c>
      <c r="Q1725" t="s">
        <v>57</v>
      </c>
      <c r="R1725" t="s">
        <v>60</v>
      </c>
    </row>
    <row r="1726" spans="1:18">
      <c r="A1726">
        <v>11725</v>
      </c>
      <c r="B1726" s="2">
        <v>45921</v>
      </c>
      <c r="C1726" s="2">
        <v>45923</v>
      </c>
      <c r="D1726" s="2">
        <v>45927</v>
      </c>
      <c r="E1726" t="s">
        <v>18</v>
      </c>
      <c r="F1726" t="s">
        <v>22</v>
      </c>
      <c r="G1726" t="s">
        <v>24</v>
      </c>
      <c r="H1726" t="s">
        <v>33</v>
      </c>
      <c r="I1726" t="s">
        <v>35</v>
      </c>
      <c r="J1726" t="s">
        <v>39</v>
      </c>
      <c r="K1726" t="s">
        <v>49</v>
      </c>
      <c r="L1726" t="s">
        <v>51</v>
      </c>
      <c r="M1726">
        <v>38428</v>
      </c>
      <c r="N1726">
        <v>0.2</v>
      </c>
      <c r="O1726">
        <v>9926</v>
      </c>
      <c r="P1726">
        <v>16</v>
      </c>
      <c r="Q1726" t="s">
        <v>57</v>
      </c>
      <c r="R1726" t="s">
        <v>61</v>
      </c>
    </row>
    <row r="1727" spans="1:18">
      <c r="A1727">
        <v>11726</v>
      </c>
      <c r="B1727" s="2">
        <v>45922</v>
      </c>
      <c r="C1727" s="2">
        <v>45924</v>
      </c>
      <c r="D1727" s="2">
        <v>45928</v>
      </c>
      <c r="E1727" t="s">
        <v>18</v>
      </c>
      <c r="F1727" t="s">
        <v>22</v>
      </c>
      <c r="G1727" t="s">
        <v>23</v>
      </c>
      <c r="H1727" t="s">
        <v>25</v>
      </c>
      <c r="I1727" t="s">
        <v>34</v>
      </c>
      <c r="J1727" t="s">
        <v>39</v>
      </c>
      <c r="K1727" t="s">
        <v>45</v>
      </c>
      <c r="L1727" t="s">
        <v>51</v>
      </c>
      <c r="M1727">
        <v>6630</v>
      </c>
      <c r="N1727">
        <v>0.28999999999999998</v>
      </c>
      <c r="O1727">
        <v>392</v>
      </c>
      <c r="P1727">
        <v>14</v>
      </c>
      <c r="Q1727" t="s">
        <v>58</v>
      </c>
      <c r="R1727" t="s">
        <v>59</v>
      </c>
    </row>
    <row r="1728" spans="1:18">
      <c r="A1728">
        <v>11727</v>
      </c>
      <c r="B1728" s="2">
        <v>45923</v>
      </c>
      <c r="C1728" s="2">
        <v>45925</v>
      </c>
      <c r="D1728" s="2">
        <v>45929</v>
      </c>
      <c r="E1728" t="s">
        <v>20</v>
      </c>
      <c r="F1728" t="s">
        <v>22</v>
      </c>
      <c r="G1728" t="s">
        <v>23</v>
      </c>
      <c r="H1728" t="s">
        <v>29</v>
      </c>
      <c r="I1728" t="s">
        <v>35</v>
      </c>
      <c r="J1728" t="s">
        <v>42</v>
      </c>
      <c r="K1728" t="s">
        <v>49</v>
      </c>
      <c r="L1728" t="s">
        <v>51</v>
      </c>
      <c r="M1728">
        <v>52096</v>
      </c>
      <c r="N1728">
        <v>0.22</v>
      </c>
      <c r="O1728">
        <v>5304</v>
      </c>
      <c r="P1728">
        <v>8</v>
      </c>
      <c r="Q1728" t="s">
        <v>56</v>
      </c>
      <c r="R1728" t="s">
        <v>59</v>
      </c>
    </row>
    <row r="1729" spans="1:18">
      <c r="A1729">
        <v>11728</v>
      </c>
      <c r="B1729" s="2">
        <v>45924</v>
      </c>
      <c r="C1729" s="2">
        <v>45926</v>
      </c>
      <c r="D1729" s="2">
        <v>45930</v>
      </c>
      <c r="E1729" t="s">
        <v>20</v>
      </c>
      <c r="F1729" t="s">
        <v>22</v>
      </c>
      <c r="G1729" t="s">
        <v>23</v>
      </c>
      <c r="H1729" t="s">
        <v>29</v>
      </c>
      <c r="I1729" t="s">
        <v>35</v>
      </c>
      <c r="J1729" t="s">
        <v>42</v>
      </c>
      <c r="K1729" t="s">
        <v>44</v>
      </c>
      <c r="L1729" t="s">
        <v>51</v>
      </c>
      <c r="M1729">
        <v>36316</v>
      </c>
      <c r="N1729">
        <v>0.04</v>
      </c>
      <c r="O1729">
        <v>3608</v>
      </c>
      <c r="P1729">
        <v>5</v>
      </c>
      <c r="Q1729" t="s">
        <v>55</v>
      </c>
      <c r="R1729" t="s">
        <v>60</v>
      </c>
    </row>
    <row r="1730" spans="1:18">
      <c r="A1730">
        <v>11729</v>
      </c>
      <c r="B1730" s="2">
        <v>45925</v>
      </c>
      <c r="C1730" s="2">
        <v>45927</v>
      </c>
      <c r="D1730" s="2">
        <v>45931</v>
      </c>
      <c r="E1730" t="s">
        <v>18</v>
      </c>
      <c r="F1730" t="s">
        <v>22</v>
      </c>
      <c r="G1730" t="s">
        <v>25</v>
      </c>
      <c r="H1730" t="s">
        <v>29</v>
      </c>
      <c r="I1730" t="s">
        <v>35</v>
      </c>
      <c r="J1730" t="s">
        <v>40</v>
      </c>
      <c r="K1730" t="s">
        <v>47</v>
      </c>
      <c r="L1730" t="s">
        <v>51</v>
      </c>
      <c r="M1730">
        <v>8322</v>
      </c>
      <c r="N1730">
        <v>0.17</v>
      </c>
      <c r="O1730">
        <v>3901</v>
      </c>
      <c r="P1730">
        <v>1</v>
      </c>
      <c r="Q1730" t="s">
        <v>55</v>
      </c>
      <c r="R1730" t="s">
        <v>60</v>
      </c>
    </row>
    <row r="1731" spans="1:18">
      <c r="A1731">
        <v>11730</v>
      </c>
      <c r="B1731" s="2">
        <v>45926</v>
      </c>
      <c r="C1731" s="2">
        <v>45928</v>
      </c>
      <c r="D1731" s="2">
        <v>45932</v>
      </c>
      <c r="E1731" t="s">
        <v>20</v>
      </c>
      <c r="F1731" t="s">
        <v>22</v>
      </c>
      <c r="G1731" t="s">
        <v>27</v>
      </c>
      <c r="H1731" t="s">
        <v>31</v>
      </c>
      <c r="I1731" t="s">
        <v>34</v>
      </c>
      <c r="J1731" t="s">
        <v>38</v>
      </c>
      <c r="K1731" t="s">
        <v>48</v>
      </c>
      <c r="L1731" t="s">
        <v>51</v>
      </c>
      <c r="M1731">
        <v>65479</v>
      </c>
      <c r="N1731">
        <v>0.28999999999999998</v>
      </c>
      <c r="O1731">
        <v>4038</v>
      </c>
      <c r="P1731">
        <v>7</v>
      </c>
      <c r="Q1731" t="s">
        <v>57</v>
      </c>
      <c r="R1731" t="s">
        <v>60</v>
      </c>
    </row>
    <row r="1732" spans="1:18">
      <c r="A1732">
        <v>11731</v>
      </c>
      <c r="B1732" s="2">
        <v>45927</v>
      </c>
      <c r="C1732" s="2">
        <v>45929</v>
      </c>
      <c r="D1732" s="2">
        <v>45933</v>
      </c>
      <c r="E1732" t="s">
        <v>20</v>
      </c>
      <c r="F1732" t="s">
        <v>22</v>
      </c>
      <c r="G1732" t="s">
        <v>26</v>
      </c>
      <c r="H1732" t="s">
        <v>33</v>
      </c>
      <c r="I1732" t="s">
        <v>35</v>
      </c>
      <c r="J1732" t="s">
        <v>40</v>
      </c>
      <c r="K1732" t="s">
        <v>48</v>
      </c>
      <c r="L1732" t="s">
        <v>53</v>
      </c>
      <c r="M1732">
        <v>64890</v>
      </c>
      <c r="N1732">
        <v>0.25</v>
      </c>
      <c r="O1732">
        <v>7669</v>
      </c>
      <c r="P1732">
        <v>19</v>
      </c>
      <c r="Q1732" t="s">
        <v>57</v>
      </c>
      <c r="R1732" t="s">
        <v>62</v>
      </c>
    </row>
    <row r="1733" spans="1:18">
      <c r="A1733">
        <v>11732</v>
      </c>
      <c r="B1733" s="2">
        <v>45928</v>
      </c>
      <c r="C1733" s="2">
        <v>45930</v>
      </c>
      <c r="D1733" s="2">
        <v>45934</v>
      </c>
      <c r="E1733" t="s">
        <v>20</v>
      </c>
      <c r="F1733" t="s">
        <v>22</v>
      </c>
      <c r="G1733" t="s">
        <v>28</v>
      </c>
      <c r="H1733" t="s">
        <v>30</v>
      </c>
      <c r="I1733" t="s">
        <v>34</v>
      </c>
      <c r="J1733" t="s">
        <v>40</v>
      </c>
      <c r="K1733" t="s">
        <v>45</v>
      </c>
      <c r="L1733" t="s">
        <v>51</v>
      </c>
      <c r="M1733">
        <v>71937</v>
      </c>
      <c r="N1733">
        <v>0.01</v>
      </c>
      <c r="O1733">
        <v>12725</v>
      </c>
      <c r="P1733">
        <v>23</v>
      </c>
      <c r="Q1733" t="s">
        <v>57</v>
      </c>
      <c r="R1733" t="s">
        <v>62</v>
      </c>
    </row>
    <row r="1734" spans="1:18">
      <c r="A1734">
        <v>11733</v>
      </c>
      <c r="B1734" s="2">
        <v>45929</v>
      </c>
      <c r="C1734" s="2">
        <v>45931</v>
      </c>
      <c r="D1734" s="2">
        <v>45935</v>
      </c>
      <c r="E1734" t="s">
        <v>21</v>
      </c>
      <c r="F1734" t="s">
        <v>22</v>
      </c>
      <c r="G1734" t="s">
        <v>25</v>
      </c>
      <c r="H1734" t="s">
        <v>30</v>
      </c>
      <c r="I1734" t="s">
        <v>36</v>
      </c>
      <c r="J1734" t="s">
        <v>37</v>
      </c>
      <c r="K1734" t="s">
        <v>49</v>
      </c>
      <c r="L1734" t="s">
        <v>52</v>
      </c>
      <c r="M1734">
        <v>17835</v>
      </c>
      <c r="N1734">
        <v>0.35</v>
      </c>
      <c r="O1734">
        <v>19711</v>
      </c>
      <c r="P1734">
        <v>3</v>
      </c>
      <c r="Q1734" t="s">
        <v>55</v>
      </c>
      <c r="R1734" t="s">
        <v>60</v>
      </c>
    </row>
    <row r="1735" spans="1:18">
      <c r="A1735">
        <v>11734</v>
      </c>
      <c r="B1735" s="2">
        <v>45930</v>
      </c>
      <c r="C1735" s="2">
        <v>45932</v>
      </c>
      <c r="D1735" s="2">
        <v>45936</v>
      </c>
      <c r="E1735" t="s">
        <v>18</v>
      </c>
      <c r="F1735" t="s">
        <v>22</v>
      </c>
      <c r="G1735" t="s">
        <v>25</v>
      </c>
      <c r="H1735" t="s">
        <v>29</v>
      </c>
      <c r="I1735" t="s">
        <v>34</v>
      </c>
      <c r="J1735" t="s">
        <v>41</v>
      </c>
      <c r="K1735" t="s">
        <v>45</v>
      </c>
      <c r="L1735" t="s">
        <v>53</v>
      </c>
      <c r="M1735">
        <v>16503</v>
      </c>
      <c r="N1735">
        <v>0.25</v>
      </c>
      <c r="O1735">
        <v>-1938</v>
      </c>
      <c r="P1735">
        <v>3</v>
      </c>
      <c r="Q1735" t="s">
        <v>57</v>
      </c>
      <c r="R1735" t="s">
        <v>59</v>
      </c>
    </row>
    <row r="1736" spans="1:18">
      <c r="A1736">
        <v>11735</v>
      </c>
      <c r="B1736" s="2">
        <v>45931</v>
      </c>
      <c r="C1736" s="2">
        <v>45933</v>
      </c>
      <c r="D1736" s="2">
        <v>45937</v>
      </c>
      <c r="E1736" t="s">
        <v>18</v>
      </c>
      <c r="F1736" t="s">
        <v>22</v>
      </c>
      <c r="G1736" t="s">
        <v>26</v>
      </c>
      <c r="H1736" t="s">
        <v>29</v>
      </c>
      <c r="I1736" t="s">
        <v>36</v>
      </c>
      <c r="J1736" t="s">
        <v>42</v>
      </c>
      <c r="K1736" t="s">
        <v>48</v>
      </c>
      <c r="L1736" t="s">
        <v>52</v>
      </c>
      <c r="M1736">
        <v>4423</v>
      </c>
      <c r="N1736">
        <v>0.37</v>
      </c>
      <c r="O1736">
        <v>10661</v>
      </c>
      <c r="P1736">
        <v>22</v>
      </c>
      <c r="Q1736" t="s">
        <v>54</v>
      </c>
      <c r="R1736" t="s">
        <v>59</v>
      </c>
    </row>
    <row r="1737" spans="1:18">
      <c r="A1737">
        <v>11736</v>
      </c>
      <c r="B1737" s="2">
        <v>45932</v>
      </c>
      <c r="C1737" s="2">
        <v>45934</v>
      </c>
      <c r="D1737" s="2">
        <v>45938</v>
      </c>
      <c r="E1737" t="s">
        <v>21</v>
      </c>
      <c r="F1737" t="s">
        <v>22</v>
      </c>
      <c r="G1737" t="s">
        <v>25</v>
      </c>
      <c r="H1737" t="s">
        <v>30</v>
      </c>
      <c r="I1737" t="s">
        <v>35</v>
      </c>
      <c r="J1737" t="s">
        <v>41</v>
      </c>
      <c r="K1737" t="s">
        <v>44</v>
      </c>
      <c r="L1737" t="s">
        <v>52</v>
      </c>
      <c r="M1737">
        <v>55448</v>
      </c>
      <c r="N1737">
        <v>0.03</v>
      </c>
      <c r="O1737">
        <v>-1575</v>
      </c>
      <c r="P1737">
        <v>24</v>
      </c>
      <c r="Q1737" t="s">
        <v>54</v>
      </c>
      <c r="R1737" t="s">
        <v>59</v>
      </c>
    </row>
    <row r="1738" spans="1:18">
      <c r="A1738">
        <v>11737</v>
      </c>
      <c r="B1738" s="2">
        <v>45933</v>
      </c>
      <c r="C1738" s="2">
        <v>45935</v>
      </c>
      <c r="D1738" s="2">
        <v>45939</v>
      </c>
      <c r="E1738" t="s">
        <v>19</v>
      </c>
      <c r="F1738" t="s">
        <v>22</v>
      </c>
      <c r="G1738" t="s">
        <v>27</v>
      </c>
      <c r="H1738" t="s">
        <v>30</v>
      </c>
      <c r="I1738" t="s">
        <v>36</v>
      </c>
      <c r="J1738" t="s">
        <v>37</v>
      </c>
      <c r="K1738" t="s">
        <v>50</v>
      </c>
      <c r="L1738" t="s">
        <v>52</v>
      </c>
      <c r="M1738">
        <v>47252</v>
      </c>
      <c r="N1738">
        <v>0.01</v>
      </c>
      <c r="O1738">
        <v>10120</v>
      </c>
      <c r="P1738">
        <v>4</v>
      </c>
      <c r="Q1738" t="s">
        <v>55</v>
      </c>
      <c r="R1738" t="s">
        <v>60</v>
      </c>
    </row>
    <row r="1739" spans="1:18">
      <c r="A1739">
        <v>11738</v>
      </c>
      <c r="B1739" s="2">
        <v>45934</v>
      </c>
      <c r="C1739" s="2">
        <v>45936</v>
      </c>
      <c r="D1739" s="2">
        <v>45940</v>
      </c>
      <c r="E1739" t="s">
        <v>21</v>
      </c>
      <c r="F1739" t="s">
        <v>22</v>
      </c>
      <c r="G1739" t="s">
        <v>26</v>
      </c>
      <c r="H1739" t="s">
        <v>25</v>
      </c>
      <c r="I1739" t="s">
        <v>35</v>
      </c>
      <c r="J1739" t="s">
        <v>41</v>
      </c>
      <c r="K1739" t="s">
        <v>44</v>
      </c>
      <c r="L1739" t="s">
        <v>52</v>
      </c>
      <c r="M1739">
        <v>12669</v>
      </c>
      <c r="N1739">
        <v>0.1</v>
      </c>
      <c r="O1739">
        <v>4687</v>
      </c>
      <c r="P1739">
        <v>20</v>
      </c>
      <c r="Q1739" t="s">
        <v>58</v>
      </c>
      <c r="R1739" t="s">
        <v>61</v>
      </c>
    </row>
    <row r="1740" spans="1:18">
      <c r="A1740">
        <v>11739</v>
      </c>
      <c r="B1740" s="2">
        <v>45935</v>
      </c>
      <c r="C1740" s="2">
        <v>45937</v>
      </c>
      <c r="D1740" s="2">
        <v>45941</v>
      </c>
      <c r="E1740" t="s">
        <v>18</v>
      </c>
      <c r="F1740" t="s">
        <v>22</v>
      </c>
      <c r="G1740" t="s">
        <v>24</v>
      </c>
      <c r="H1740" t="s">
        <v>32</v>
      </c>
      <c r="I1740" t="s">
        <v>36</v>
      </c>
      <c r="J1740" t="s">
        <v>40</v>
      </c>
      <c r="K1740" t="s">
        <v>47</v>
      </c>
      <c r="L1740" t="s">
        <v>52</v>
      </c>
      <c r="M1740">
        <v>39604</v>
      </c>
      <c r="N1740">
        <v>0.05</v>
      </c>
      <c r="O1740">
        <v>12329</v>
      </c>
      <c r="P1740">
        <v>19</v>
      </c>
      <c r="Q1740" t="s">
        <v>58</v>
      </c>
      <c r="R1740" t="s">
        <v>59</v>
      </c>
    </row>
    <row r="1741" spans="1:18">
      <c r="A1741">
        <v>11740</v>
      </c>
      <c r="B1741" s="2">
        <v>45936</v>
      </c>
      <c r="C1741" s="2">
        <v>45938</v>
      </c>
      <c r="D1741" s="2">
        <v>45942</v>
      </c>
      <c r="E1741" t="s">
        <v>18</v>
      </c>
      <c r="F1741" t="s">
        <v>22</v>
      </c>
      <c r="G1741" t="s">
        <v>28</v>
      </c>
      <c r="H1741" t="s">
        <v>31</v>
      </c>
      <c r="I1741" t="s">
        <v>34</v>
      </c>
      <c r="J1741" t="s">
        <v>43</v>
      </c>
      <c r="K1741" t="s">
        <v>49</v>
      </c>
      <c r="L1741" t="s">
        <v>53</v>
      </c>
      <c r="M1741">
        <v>14858</v>
      </c>
      <c r="N1741">
        <v>0.2</v>
      </c>
      <c r="O1741">
        <v>9304</v>
      </c>
      <c r="P1741">
        <v>12</v>
      </c>
      <c r="Q1741" t="s">
        <v>54</v>
      </c>
      <c r="R1741" t="s">
        <v>62</v>
      </c>
    </row>
    <row r="1742" spans="1:18">
      <c r="A1742">
        <v>11741</v>
      </c>
      <c r="B1742" s="2">
        <v>45937</v>
      </c>
      <c r="C1742" s="2">
        <v>45939</v>
      </c>
      <c r="D1742" s="2">
        <v>45943</v>
      </c>
      <c r="E1742" t="s">
        <v>19</v>
      </c>
      <c r="F1742" t="s">
        <v>22</v>
      </c>
      <c r="G1742" t="s">
        <v>24</v>
      </c>
      <c r="H1742" t="s">
        <v>33</v>
      </c>
      <c r="I1742" t="s">
        <v>36</v>
      </c>
      <c r="J1742" t="s">
        <v>37</v>
      </c>
      <c r="K1742" t="s">
        <v>46</v>
      </c>
      <c r="L1742" t="s">
        <v>52</v>
      </c>
      <c r="M1742">
        <v>31479</v>
      </c>
      <c r="N1742">
        <v>0.37</v>
      </c>
      <c r="O1742">
        <v>15983</v>
      </c>
      <c r="P1742">
        <v>3</v>
      </c>
      <c r="Q1742" t="s">
        <v>54</v>
      </c>
      <c r="R1742" t="s">
        <v>59</v>
      </c>
    </row>
    <row r="1743" spans="1:18">
      <c r="A1743">
        <v>11742</v>
      </c>
      <c r="B1743" s="2">
        <v>45938</v>
      </c>
      <c r="C1743" s="2">
        <v>45940</v>
      </c>
      <c r="D1743" s="2">
        <v>45944</v>
      </c>
      <c r="E1743" t="s">
        <v>21</v>
      </c>
      <c r="F1743" t="s">
        <v>22</v>
      </c>
      <c r="G1743" t="s">
        <v>24</v>
      </c>
      <c r="H1743" t="s">
        <v>32</v>
      </c>
      <c r="I1743" t="s">
        <v>35</v>
      </c>
      <c r="J1743" t="s">
        <v>43</v>
      </c>
      <c r="K1743" t="s">
        <v>48</v>
      </c>
      <c r="L1743" t="s">
        <v>53</v>
      </c>
      <c r="M1743">
        <v>64477</v>
      </c>
      <c r="N1743">
        <v>0.19</v>
      </c>
      <c r="O1743">
        <v>5088</v>
      </c>
      <c r="P1743">
        <v>19</v>
      </c>
      <c r="Q1743" t="s">
        <v>58</v>
      </c>
      <c r="R1743" t="s">
        <v>59</v>
      </c>
    </row>
    <row r="1744" spans="1:18">
      <c r="A1744">
        <v>11743</v>
      </c>
      <c r="B1744" s="2">
        <v>45939</v>
      </c>
      <c r="C1744" s="2">
        <v>45941</v>
      </c>
      <c r="D1744" s="2">
        <v>45945</v>
      </c>
      <c r="E1744" t="s">
        <v>18</v>
      </c>
      <c r="F1744" t="s">
        <v>22</v>
      </c>
      <c r="G1744" t="s">
        <v>26</v>
      </c>
      <c r="H1744" t="s">
        <v>29</v>
      </c>
      <c r="I1744" t="s">
        <v>36</v>
      </c>
      <c r="J1744" t="s">
        <v>43</v>
      </c>
      <c r="K1744" t="s">
        <v>48</v>
      </c>
      <c r="L1744" t="s">
        <v>53</v>
      </c>
      <c r="M1744">
        <v>53122</v>
      </c>
      <c r="N1744">
        <v>0.27</v>
      </c>
      <c r="O1744">
        <v>16048</v>
      </c>
      <c r="P1744">
        <v>2</v>
      </c>
      <c r="Q1744" t="s">
        <v>56</v>
      </c>
      <c r="R1744" t="s">
        <v>61</v>
      </c>
    </row>
    <row r="1745" spans="1:18">
      <c r="A1745">
        <v>11744</v>
      </c>
      <c r="B1745" s="2">
        <v>45940</v>
      </c>
      <c r="C1745" s="2">
        <v>45942</v>
      </c>
      <c r="D1745" s="2">
        <v>45946</v>
      </c>
      <c r="E1745" t="s">
        <v>19</v>
      </c>
      <c r="F1745" t="s">
        <v>22</v>
      </c>
      <c r="G1745" t="s">
        <v>26</v>
      </c>
      <c r="H1745" t="s">
        <v>29</v>
      </c>
      <c r="I1745" t="s">
        <v>35</v>
      </c>
      <c r="J1745" t="s">
        <v>38</v>
      </c>
      <c r="K1745" t="s">
        <v>47</v>
      </c>
      <c r="L1745" t="s">
        <v>51</v>
      </c>
      <c r="M1745">
        <v>30091</v>
      </c>
      <c r="N1745">
        <v>0.23</v>
      </c>
      <c r="O1745">
        <v>11329</v>
      </c>
      <c r="P1745">
        <v>15</v>
      </c>
      <c r="Q1745" t="s">
        <v>54</v>
      </c>
      <c r="R1745" t="s">
        <v>59</v>
      </c>
    </row>
    <row r="1746" spans="1:18">
      <c r="A1746">
        <v>11745</v>
      </c>
      <c r="B1746" s="2">
        <v>45941</v>
      </c>
      <c r="C1746" s="2">
        <v>45943</v>
      </c>
      <c r="D1746" s="2">
        <v>45947</v>
      </c>
      <c r="E1746" t="s">
        <v>19</v>
      </c>
      <c r="F1746" t="s">
        <v>22</v>
      </c>
      <c r="G1746" t="s">
        <v>25</v>
      </c>
      <c r="H1746" t="s">
        <v>25</v>
      </c>
      <c r="I1746" t="s">
        <v>36</v>
      </c>
      <c r="J1746" t="s">
        <v>40</v>
      </c>
      <c r="K1746" t="s">
        <v>44</v>
      </c>
      <c r="L1746" t="s">
        <v>52</v>
      </c>
      <c r="M1746">
        <v>11773</v>
      </c>
      <c r="N1746">
        <v>0.13</v>
      </c>
      <c r="O1746">
        <v>11924</v>
      </c>
      <c r="P1746">
        <v>5</v>
      </c>
      <c r="Q1746" t="s">
        <v>55</v>
      </c>
      <c r="R1746" t="s">
        <v>62</v>
      </c>
    </row>
    <row r="1747" spans="1:18">
      <c r="A1747">
        <v>11746</v>
      </c>
      <c r="B1747" s="2">
        <v>45942</v>
      </c>
      <c r="C1747" s="2">
        <v>45944</v>
      </c>
      <c r="D1747" s="2">
        <v>45948</v>
      </c>
      <c r="E1747" t="s">
        <v>19</v>
      </c>
      <c r="F1747" t="s">
        <v>22</v>
      </c>
      <c r="G1747" t="s">
        <v>24</v>
      </c>
      <c r="H1747" t="s">
        <v>30</v>
      </c>
      <c r="I1747" t="s">
        <v>34</v>
      </c>
      <c r="J1747" t="s">
        <v>43</v>
      </c>
      <c r="K1747" t="s">
        <v>46</v>
      </c>
      <c r="L1747" t="s">
        <v>53</v>
      </c>
      <c r="M1747">
        <v>56049</v>
      </c>
      <c r="N1747">
        <v>0.31</v>
      </c>
      <c r="O1747">
        <v>-702</v>
      </c>
      <c r="P1747">
        <v>14</v>
      </c>
      <c r="Q1747" t="s">
        <v>54</v>
      </c>
      <c r="R1747" t="s">
        <v>61</v>
      </c>
    </row>
    <row r="1748" spans="1:18">
      <c r="A1748">
        <v>11747</v>
      </c>
      <c r="B1748" s="2">
        <v>45943</v>
      </c>
      <c r="C1748" s="2">
        <v>45945</v>
      </c>
      <c r="D1748" s="2">
        <v>45949</v>
      </c>
      <c r="E1748" t="s">
        <v>20</v>
      </c>
      <c r="F1748" t="s">
        <v>22</v>
      </c>
      <c r="G1748" t="s">
        <v>25</v>
      </c>
      <c r="H1748" t="s">
        <v>29</v>
      </c>
      <c r="I1748" t="s">
        <v>34</v>
      </c>
      <c r="J1748" t="s">
        <v>38</v>
      </c>
      <c r="K1748" t="s">
        <v>44</v>
      </c>
      <c r="L1748" t="s">
        <v>52</v>
      </c>
      <c r="M1748">
        <v>40880</v>
      </c>
      <c r="N1748">
        <v>0.33</v>
      </c>
      <c r="O1748">
        <v>13027</v>
      </c>
      <c r="P1748">
        <v>24</v>
      </c>
      <c r="Q1748" t="s">
        <v>57</v>
      </c>
      <c r="R1748" t="s">
        <v>60</v>
      </c>
    </row>
    <row r="1749" spans="1:18">
      <c r="A1749">
        <v>11748</v>
      </c>
      <c r="B1749" s="2">
        <v>45944</v>
      </c>
      <c r="C1749" s="2">
        <v>45946</v>
      </c>
      <c r="D1749" s="2">
        <v>45950</v>
      </c>
      <c r="E1749" t="s">
        <v>18</v>
      </c>
      <c r="F1749" t="s">
        <v>22</v>
      </c>
      <c r="G1749" t="s">
        <v>25</v>
      </c>
      <c r="H1749" t="s">
        <v>32</v>
      </c>
      <c r="I1749" t="s">
        <v>34</v>
      </c>
      <c r="J1749" t="s">
        <v>38</v>
      </c>
      <c r="K1749" t="s">
        <v>50</v>
      </c>
      <c r="L1749" t="s">
        <v>53</v>
      </c>
      <c r="M1749">
        <v>41250</v>
      </c>
      <c r="N1749">
        <v>0.03</v>
      </c>
      <c r="O1749">
        <v>6075</v>
      </c>
      <c r="P1749">
        <v>5</v>
      </c>
      <c r="Q1749" t="s">
        <v>57</v>
      </c>
      <c r="R1749" t="s">
        <v>59</v>
      </c>
    </row>
    <row r="1750" spans="1:18">
      <c r="A1750">
        <v>11749</v>
      </c>
      <c r="B1750" s="2">
        <v>45945</v>
      </c>
      <c r="C1750" s="2">
        <v>45947</v>
      </c>
      <c r="D1750" s="2">
        <v>45951</v>
      </c>
      <c r="E1750" t="s">
        <v>19</v>
      </c>
      <c r="F1750" t="s">
        <v>22</v>
      </c>
      <c r="G1750" t="s">
        <v>27</v>
      </c>
      <c r="H1750" t="s">
        <v>32</v>
      </c>
      <c r="I1750" t="s">
        <v>34</v>
      </c>
      <c r="J1750" t="s">
        <v>37</v>
      </c>
      <c r="K1750" t="s">
        <v>45</v>
      </c>
      <c r="L1750" t="s">
        <v>52</v>
      </c>
      <c r="M1750">
        <v>32636</v>
      </c>
      <c r="N1750">
        <v>0.4</v>
      </c>
      <c r="O1750">
        <v>-939</v>
      </c>
      <c r="P1750">
        <v>15</v>
      </c>
      <c r="Q1750" t="s">
        <v>58</v>
      </c>
      <c r="R1750" t="s">
        <v>62</v>
      </c>
    </row>
    <row r="1751" spans="1:18">
      <c r="A1751">
        <v>11750</v>
      </c>
      <c r="B1751" s="2">
        <v>45946</v>
      </c>
      <c r="C1751" s="2">
        <v>45948</v>
      </c>
      <c r="D1751" s="2">
        <v>45952</v>
      </c>
      <c r="E1751" t="s">
        <v>20</v>
      </c>
      <c r="F1751" t="s">
        <v>22</v>
      </c>
      <c r="G1751" t="s">
        <v>26</v>
      </c>
      <c r="H1751" t="s">
        <v>25</v>
      </c>
      <c r="I1751" t="s">
        <v>36</v>
      </c>
      <c r="J1751" t="s">
        <v>42</v>
      </c>
      <c r="K1751" t="s">
        <v>50</v>
      </c>
      <c r="L1751" t="s">
        <v>51</v>
      </c>
      <c r="M1751">
        <v>67711</v>
      </c>
      <c r="N1751">
        <v>0.12</v>
      </c>
      <c r="O1751">
        <v>16560</v>
      </c>
      <c r="P1751">
        <v>7</v>
      </c>
      <c r="Q1751" t="s">
        <v>55</v>
      </c>
      <c r="R1751" t="s">
        <v>62</v>
      </c>
    </row>
    <row r="1752" spans="1:18">
      <c r="A1752">
        <v>11751</v>
      </c>
      <c r="B1752" s="2">
        <v>45947</v>
      </c>
      <c r="C1752" s="2">
        <v>45949</v>
      </c>
      <c r="D1752" s="2">
        <v>45953</v>
      </c>
      <c r="E1752" t="s">
        <v>18</v>
      </c>
      <c r="F1752" t="s">
        <v>22</v>
      </c>
      <c r="G1752" t="s">
        <v>25</v>
      </c>
      <c r="H1752" t="s">
        <v>31</v>
      </c>
      <c r="I1752" t="s">
        <v>36</v>
      </c>
      <c r="J1752" t="s">
        <v>42</v>
      </c>
      <c r="K1752" t="s">
        <v>50</v>
      </c>
      <c r="L1752" t="s">
        <v>53</v>
      </c>
      <c r="M1752">
        <v>35552</v>
      </c>
      <c r="N1752">
        <v>0.32</v>
      </c>
      <c r="O1752">
        <v>1644</v>
      </c>
      <c r="P1752">
        <v>18</v>
      </c>
      <c r="Q1752" t="s">
        <v>55</v>
      </c>
      <c r="R1752" t="s">
        <v>59</v>
      </c>
    </row>
    <row r="1753" spans="1:18">
      <c r="A1753">
        <v>11752</v>
      </c>
      <c r="B1753" s="2">
        <v>45948</v>
      </c>
      <c r="C1753" s="2">
        <v>45950</v>
      </c>
      <c r="D1753" s="2">
        <v>45954</v>
      </c>
      <c r="E1753" t="s">
        <v>19</v>
      </c>
      <c r="F1753" t="s">
        <v>22</v>
      </c>
      <c r="G1753" t="s">
        <v>24</v>
      </c>
      <c r="H1753" t="s">
        <v>31</v>
      </c>
      <c r="I1753" t="s">
        <v>36</v>
      </c>
      <c r="J1753" t="s">
        <v>41</v>
      </c>
      <c r="K1753" t="s">
        <v>44</v>
      </c>
      <c r="L1753" t="s">
        <v>51</v>
      </c>
      <c r="M1753">
        <v>6231</v>
      </c>
      <c r="N1753">
        <v>0.24</v>
      </c>
      <c r="O1753">
        <v>3122</v>
      </c>
      <c r="P1753">
        <v>13</v>
      </c>
      <c r="Q1753" t="s">
        <v>56</v>
      </c>
      <c r="R1753" t="s">
        <v>59</v>
      </c>
    </row>
    <row r="1754" spans="1:18">
      <c r="A1754">
        <v>11753</v>
      </c>
      <c r="B1754" s="2">
        <v>45949</v>
      </c>
      <c r="C1754" s="2">
        <v>45951</v>
      </c>
      <c r="D1754" s="2">
        <v>45955</v>
      </c>
      <c r="E1754" t="s">
        <v>19</v>
      </c>
      <c r="F1754" t="s">
        <v>22</v>
      </c>
      <c r="G1754" t="s">
        <v>26</v>
      </c>
      <c r="H1754" t="s">
        <v>33</v>
      </c>
      <c r="I1754" t="s">
        <v>36</v>
      </c>
      <c r="J1754" t="s">
        <v>39</v>
      </c>
      <c r="K1754" t="s">
        <v>44</v>
      </c>
      <c r="L1754" t="s">
        <v>51</v>
      </c>
      <c r="M1754">
        <v>64678</v>
      </c>
      <c r="N1754">
        <v>0.25</v>
      </c>
      <c r="O1754">
        <v>17119</v>
      </c>
      <c r="P1754">
        <v>23</v>
      </c>
      <c r="Q1754" t="s">
        <v>55</v>
      </c>
      <c r="R1754" t="s">
        <v>60</v>
      </c>
    </row>
    <row r="1755" spans="1:18">
      <c r="A1755">
        <v>11754</v>
      </c>
      <c r="B1755" s="2">
        <v>45950</v>
      </c>
      <c r="C1755" s="2">
        <v>45952</v>
      </c>
      <c r="D1755" s="2">
        <v>45956</v>
      </c>
      <c r="E1755" t="s">
        <v>20</v>
      </c>
      <c r="F1755" t="s">
        <v>22</v>
      </c>
      <c r="G1755" t="s">
        <v>27</v>
      </c>
      <c r="H1755" t="s">
        <v>25</v>
      </c>
      <c r="I1755" t="s">
        <v>34</v>
      </c>
      <c r="J1755" t="s">
        <v>43</v>
      </c>
      <c r="K1755" t="s">
        <v>49</v>
      </c>
      <c r="L1755" t="s">
        <v>52</v>
      </c>
      <c r="M1755">
        <v>57437</v>
      </c>
      <c r="N1755">
        <v>0.36</v>
      </c>
      <c r="O1755">
        <v>2336</v>
      </c>
      <c r="P1755">
        <v>17</v>
      </c>
      <c r="Q1755" t="s">
        <v>54</v>
      </c>
      <c r="R1755" t="s">
        <v>60</v>
      </c>
    </row>
    <row r="1756" spans="1:18">
      <c r="A1756">
        <v>11755</v>
      </c>
      <c r="B1756" s="2">
        <v>45951</v>
      </c>
      <c r="C1756" s="2">
        <v>45953</v>
      </c>
      <c r="D1756" s="2">
        <v>45957</v>
      </c>
      <c r="E1756" t="s">
        <v>18</v>
      </c>
      <c r="F1756" t="s">
        <v>22</v>
      </c>
      <c r="G1756" t="s">
        <v>23</v>
      </c>
      <c r="H1756" t="s">
        <v>29</v>
      </c>
      <c r="I1756" t="s">
        <v>34</v>
      </c>
      <c r="J1756" t="s">
        <v>43</v>
      </c>
      <c r="K1756" t="s">
        <v>46</v>
      </c>
      <c r="L1756" t="s">
        <v>51</v>
      </c>
      <c r="M1756">
        <v>52813</v>
      </c>
      <c r="N1756">
        <v>0.35</v>
      </c>
      <c r="O1756">
        <v>18176</v>
      </c>
      <c r="P1756">
        <v>4</v>
      </c>
      <c r="Q1756" t="s">
        <v>55</v>
      </c>
      <c r="R1756" t="s">
        <v>62</v>
      </c>
    </row>
    <row r="1757" spans="1:18">
      <c r="A1757">
        <v>11756</v>
      </c>
      <c r="B1757" s="2">
        <v>45952</v>
      </c>
      <c r="C1757" s="2">
        <v>45954</v>
      </c>
      <c r="D1757" s="2">
        <v>45958</v>
      </c>
      <c r="E1757" t="s">
        <v>21</v>
      </c>
      <c r="F1757" t="s">
        <v>22</v>
      </c>
      <c r="G1757" t="s">
        <v>28</v>
      </c>
      <c r="H1757" t="s">
        <v>25</v>
      </c>
      <c r="I1757" t="s">
        <v>34</v>
      </c>
      <c r="J1757" t="s">
        <v>40</v>
      </c>
      <c r="K1757" t="s">
        <v>48</v>
      </c>
      <c r="L1757" t="s">
        <v>53</v>
      </c>
      <c r="M1757">
        <v>72313</v>
      </c>
      <c r="N1757">
        <v>0.31</v>
      </c>
      <c r="O1757">
        <v>393</v>
      </c>
      <c r="P1757">
        <v>15</v>
      </c>
      <c r="Q1757" t="s">
        <v>57</v>
      </c>
      <c r="R1757" t="s">
        <v>62</v>
      </c>
    </row>
    <row r="1758" spans="1:18">
      <c r="A1758">
        <v>11757</v>
      </c>
      <c r="B1758" s="2">
        <v>45953</v>
      </c>
      <c r="C1758" s="2">
        <v>45955</v>
      </c>
      <c r="D1758" s="2">
        <v>45959</v>
      </c>
      <c r="E1758" t="s">
        <v>21</v>
      </c>
      <c r="F1758" t="s">
        <v>22</v>
      </c>
      <c r="G1758" t="s">
        <v>26</v>
      </c>
      <c r="H1758" t="s">
        <v>29</v>
      </c>
      <c r="I1758" t="s">
        <v>36</v>
      </c>
      <c r="J1758" t="s">
        <v>40</v>
      </c>
      <c r="K1758" t="s">
        <v>44</v>
      </c>
      <c r="L1758" t="s">
        <v>53</v>
      </c>
      <c r="M1758">
        <v>11396</v>
      </c>
      <c r="N1758">
        <v>0.12</v>
      </c>
      <c r="O1758">
        <v>10229</v>
      </c>
      <c r="P1758">
        <v>19</v>
      </c>
      <c r="Q1758" t="s">
        <v>57</v>
      </c>
      <c r="R1758" t="s">
        <v>62</v>
      </c>
    </row>
    <row r="1759" spans="1:18">
      <c r="A1759">
        <v>11758</v>
      </c>
      <c r="B1759" s="2">
        <v>45954</v>
      </c>
      <c r="C1759" s="2">
        <v>45956</v>
      </c>
      <c r="D1759" s="2">
        <v>45960</v>
      </c>
      <c r="E1759" t="s">
        <v>20</v>
      </c>
      <c r="F1759" t="s">
        <v>22</v>
      </c>
      <c r="G1759" t="s">
        <v>24</v>
      </c>
      <c r="H1759" t="s">
        <v>33</v>
      </c>
      <c r="I1759" t="s">
        <v>36</v>
      </c>
      <c r="J1759" t="s">
        <v>39</v>
      </c>
      <c r="K1759" t="s">
        <v>46</v>
      </c>
      <c r="L1759" t="s">
        <v>53</v>
      </c>
      <c r="M1759">
        <v>37246</v>
      </c>
      <c r="N1759">
        <v>0.09</v>
      </c>
      <c r="O1759">
        <v>19646</v>
      </c>
      <c r="P1759">
        <v>13</v>
      </c>
      <c r="Q1759" t="s">
        <v>58</v>
      </c>
      <c r="R1759" t="s">
        <v>62</v>
      </c>
    </row>
    <row r="1760" spans="1:18">
      <c r="A1760">
        <v>11759</v>
      </c>
      <c r="B1760" s="2">
        <v>45955</v>
      </c>
      <c r="C1760" s="2">
        <v>45957</v>
      </c>
      <c r="D1760" s="2">
        <v>45961</v>
      </c>
      <c r="E1760" t="s">
        <v>19</v>
      </c>
      <c r="F1760" t="s">
        <v>22</v>
      </c>
      <c r="G1760" t="s">
        <v>24</v>
      </c>
      <c r="H1760" t="s">
        <v>33</v>
      </c>
      <c r="I1760" t="s">
        <v>36</v>
      </c>
      <c r="J1760" t="s">
        <v>42</v>
      </c>
      <c r="K1760" t="s">
        <v>44</v>
      </c>
      <c r="L1760" t="s">
        <v>51</v>
      </c>
      <c r="M1760">
        <v>55510</v>
      </c>
      <c r="N1760">
        <v>0.28000000000000003</v>
      </c>
      <c r="O1760">
        <v>2872</v>
      </c>
      <c r="P1760">
        <v>8</v>
      </c>
      <c r="Q1760" t="s">
        <v>58</v>
      </c>
      <c r="R1760" t="s">
        <v>60</v>
      </c>
    </row>
    <row r="1761" spans="1:18">
      <c r="A1761">
        <v>11760</v>
      </c>
      <c r="B1761" s="2">
        <v>45956</v>
      </c>
      <c r="C1761" s="2">
        <v>45958</v>
      </c>
      <c r="D1761" s="2">
        <v>45962</v>
      </c>
      <c r="E1761" t="s">
        <v>21</v>
      </c>
      <c r="F1761" t="s">
        <v>22</v>
      </c>
      <c r="G1761" t="s">
        <v>25</v>
      </c>
      <c r="H1761" t="s">
        <v>31</v>
      </c>
      <c r="I1761" t="s">
        <v>36</v>
      </c>
      <c r="J1761" t="s">
        <v>40</v>
      </c>
      <c r="K1761" t="s">
        <v>44</v>
      </c>
      <c r="L1761" t="s">
        <v>53</v>
      </c>
      <c r="M1761">
        <v>71197</v>
      </c>
      <c r="N1761">
        <v>0.02</v>
      </c>
      <c r="O1761">
        <v>4588</v>
      </c>
      <c r="P1761">
        <v>2</v>
      </c>
      <c r="Q1761" t="s">
        <v>54</v>
      </c>
      <c r="R1761" t="s">
        <v>61</v>
      </c>
    </row>
    <row r="1762" spans="1:18">
      <c r="A1762">
        <v>11761</v>
      </c>
      <c r="B1762" s="2">
        <v>45957</v>
      </c>
      <c r="C1762" s="2">
        <v>45959</v>
      </c>
      <c r="D1762" s="2">
        <v>45963</v>
      </c>
      <c r="E1762" t="s">
        <v>20</v>
      </c>
      <c r="F1762" t="s">
        <v>22</v>
      </c>
      <c r="G1762" t="s">
        <v>23</v>
      </c>
      <c r="H1762" t="s">
        <v>29</v>
      </c>
      <c r="I1762" t="s">
        <v>36</v>
      </c>
      <c r="J1762" t="s">
        <v>43</v>
      </c>
      <c r="K1762" t="s">
        <v>48</v>
      </c>
      <c r="L1762" t="s">
        <v>52</v>
      </c>
      <c r="M1762">
        <v>14243</v>
      </c>
      <c r="N1762">
        <v>0.25</v>
      </c>
      <c r="O1762">
        <v>3799</v>
      </c>
      <c r="P1762">
        <v>24</v>
      </c>
      <c r="Q1762" t="s">
        <v>55</v>
      </c>
      <c r="R1762" t="s">
        <v>61</v>
      </c>
    </row>
    <row r="1763" spans="1:18">
      <c r="A1763">
        <v>11762</v>
      </c>
      <c r="B1763" s="2">
        <v>45958</v>
      </c>
      <c r="C1763" s="2">
        <v>45960</v>
      </c>
      <c r="D1763" s="2">
        <v>45964</v>
      </c>
      <c r="E1763" t="s">
        <v>21</v>
      </c>
      <c r="F1763" t="s">
        <v>22</v>
      </c>
      <c r="G1763" t="s">
        <v>26</v>
      </c>
      <c r="H1763" t="s">
        <v>33</v>
      </c>
      <c r="I1763" t="s">
        <v>34</v>
      </c>
      <c r="J1763" t="s">
        <v>37</v>
      </c>
      <c r="K1763" t="s">
        <v>47</v>
      </c>
      <c r="L1763" t="s">
        <v>53</v>
      </c>
      <c r="M1763">
        <v>46207</v>
      </c>
      <c r="N1763">
        <v>0.31</v>
      </c>
      <c r="O1763">
        <v>477</v>
      </c>
      <c r="P1763">
        <v>13</v>
      </c>
      <c r="Q1763" t="s">
        <v>55</v>
      </c>
      <c r="R1763" t="s">
        <v>60</v>
      </c>
    </row>
    <row r="1764" spans="1:18">
      <c r="A1764">
        <v>11763</v>
      </c>
      <c r="B1764" s="2">
        <v>45959</v>
      </c>
      <c r="C1764" s="2">
        <v>45961</v>
      </c>
      <c r="D1764" s="2">
        <v>45965</v>
      </c>
      <c r="E1764" t="s">
        <v>20</v>
      </c>
      <c r="F1764" t="s">
        <v>22</v>
      </c>
      <c r="G1764" t="s">
        <v>28</v>
      </c>
      <c r="H1764" t="s">
        <v>25</v>
      </c>
      <c r="I1764" t="s">
        <v>35</v>
      </c>
      <c r="J1764" t="s">
        <v>43</v>
      </c>
      <c r="K1764" t="s">
        <v>44</v>
      </c>
      <c r="L1764" t="s">
        <v>53</v>
      </c>
      <c r="M1764">
        <v>38967</v>
      </c>
      <c r="N1764">
        <v>0.17</v>
      </c>
      <c r="O1764">
        <v>14757</v>
      </c>
      <c r="P1764">
        <v>3</v>
      </c>
      <c r="Q1764" t="s">
        <v>56</v>
      </c>
      <c r="R1764" t="s">
        <v>61</v>
      </c>
    </row>
    <row r="1765" spans="1:18">
      <c r="A1765">
        <v>11764</v>
      </c>
      <c r="B1765" s="2">
        <v>45960</v>
      </c>
      <c r="C1765" s="2">
        <v>45962</v>
      </c>
      <c r="D1765" s="2">
        <v>45966</v>
      </c>
      <c r="E1765" t="s">
        <v>19</v>
      </c>
      <c r="F1765" t="s">
        <v>22</v>
      </c>
      <c r="G1765" t="s">
        <v>27</v>
      </c>
      <c r="H1765" t="s">
        <v>29</v>
      </c>
      <c r="I1765" t="s">
        <v>35</v>
      </c>
      <c r="J1765" t="s">
        <v>43</v>
      </c>
      <c r="K1765" t="s">
        <v>50</v>
      </c>
      <c r="L1765" t="s">
        <v>51</v>
      </c>
      <c r="M1765">
        <v>45472</v>
      </c>
      <c r="N1765">
        <v>0.26</v>
      </c>
      <c r="O1765">
        <v>11679</v>
      </c>
      <c r="P1765">
        <v>17</v>
      </c>
      <c r="Q1765" t="s">
        <v>58</v>
      </c>
      <c r="R1765" t="s">
        <v>59</v>
      </c>
    </row>
    <row r="1766" spans="1:18">
      <c r="A1766">
        <v>11765</v>
      </c>
      <c r="B1766" s="2">
        <v>45961</v>
      </c>
      <c r="C1766" s="2">
        <v>45963</v>
      </c>
      <c r="D1766" s="2">
        <v>45967</v>
      </c>
      <c r="E1766" t="s">
        <v>21</v>
      </c>
      <c r="F1766" t="s">
        <v>22</v>
      </c>
      <c r="G1766" t="s">
        <v>24</v>
      </c>
      <c r="H1766" t="s">
        <v>33</v>
      </c>
      <c r="I1766" t="s">
        <v>34</v>
      </c>
      <c r="J1766" t="s">
        <v>38</v>
      </c>
      <c r="K1766" t="s">
        <v>46</v>
      </c>
      <c r="L1766" t="s">
        <v>52</v>
      </c>
      <c r="M1766">
        <v>31293</v>
      </c>
      <c r="N1766">
        <v>0.23</v>
      </c>
      <c r="O1766">
        <v>2309</v>
      </c>
      <c r="P1766">
        <v>8</v>
      </c>
      <c r="Q1766" t="s">
        <v>54</v>
      </c>
      <c r="R1766" t="s">
        <v>61</v>
      </c>
    </row>
    <row r="1767" spans="1:18">
      <c r="A1767">
        <v>11766</v>
      </c>
      <c r="B1767" s="2">
        <v>45962</v>
      </c>
      <c r="C1767" s="2">
        <v>45964</v>
      </c>
      <c r="D1767" s="2">
        <v>45968</v>
      </c>
      <c r="E1767" t="s">
        <v>21</v>
      </c>
      <c r="F1767" t="s">
        <v>22</v>
      </c>
      <c r="G1767" t="s">
        <v>24</v>
      </c>
      <c r="H1767" t="s">
        <v>29</v>
      </c>
      <c r="I1767" t="s">
        <v>35</v>
      </c>
      <c r="J1767" t="s">
        <v>40</v>
      </c>
      <c r="K1767" t="s">
        <v>47</v>
      </c>
      <c r="L1767" t="s">
        <v>51</v>
      </c>
      <c r="M1767">
        <v>5883</v>
      </c>
      <c r="N1767">
        <v>0.28000000000000003</v>
      </c>
      <c r="O1767">
        <v>12598</v>
      </c>
      <c r="P1767">
        <v>6</v>
      </c>
      <c r="Q1767" t="s">
        <v>54</v>
      </c>
      <c r="R1767" t="s">
        <v>60</v>
      </c>
    </row>
    <row r="1768" spans="1:18">
      <c r="A1768">
        <v>11767</v>
      </c>
      <c r="B1768" s="2">
        <v>45963</v>
      </c>
      <c r="C1768" s="2">
        <v>45965</v>
      </c>
      <c r="D1768" s="2">
        <v>45969</v>
      </c>
      <c r="E1768" t="s">
        <v>19</v>
      </c>
      <c r="F1768" t="s">
        <v>22</v>
      </c>
      <c r="G1768" t="s">
        <v>24</v>
      </c>
      <c r="H1768" t="s">
        <v>32</v>
      </c>
      <c r="I1768" t="s">
        <v>35</v>
      </c>
      <c r="J1768" t="s">
        <v>41</v>
      </c>
      <c r="K1768" t="s">
        <v>45</v>
      </c>
      <c r="L1768" t="s">
        <v>51</v>
      </c>
      <c r="M1768">
        <v>10692</v>
      </c>
      <c r="N1768">
        <v>0.34</v>
      </c>
      <c r="O1768">
        <v>10322</v>
      </c>
      <c r="P1768">
        <v>15</v>
      </c>
      <c r="Q1768" t="s">
        <v>56</v>
      </c>
      <c r="R1768" t="s">
        <v>61</v>
      </c>
    </row>
    <row r="1769" spans="1:18">
      <c r="A1769">
        <v>11768</v>
      </c>
      <c r="B1769" s="2">
        <v>45964</v>
      </c>
      <c r="C1769" s="2">
        <v>45966</v>
      </c>
      <c r="D1769" s="2">
        <v>45970</v>
      </c>
      <c r="E1769" t="s">
        <v>20</v>
      </c>
      <c r="F1769" t="s">
        <v>22</v>
      </c>
      <c r="G1769" t="s">
        <v>24</v>
      </c>
      <c r="H1769" t="s">
        <v>31</v>
      </c>
      <c r="I1769" t="s">
        <v>35</v>
      </c>
      <c r="J1769" t="s">
        <v>43</v>
      </c>
      <c r="K1769" t="s">
        <v>48</v>
      </c>
      <c r="L1769" t="s">
        <v>53</v>
      </c>
      <c r="M1769">
        <v>27783</v>
      </c>
      <c r="N1769">
        <v>0.15</v>
      </c>
      <c r="O1769">
        <v>10915</v>
      </c>
      <c r="P1769">
        <v>19</v>
      </c>
      <c r="Q1769" t="s">
        <v>57</v>
      </c>
      <c r="R1769" t="s">
        <v>59</v>
      </c>
    </row>
    <row r="1770" spans="1:18">
      <c r="A1770">
        <v>11769</v>
      </c>
      <c r="B1770" s="2">
        <v>45965</v>
      </c>
      <c r="C1770" s="2">
        <v>45967</v>
      </c>
      <c r="D1770" s="2">
        <v>45971</v>
      </c>
      <c r="E1770" t="s">
        <v>21</v>
      </c>
      <c r="F1770" t="s">
        <v>22</v>
      </c>
      <c r="G1770" t="s">
        <v>24</v>
      </c>
      <c r="H1770" t="s">
        <v>31</v>
      </c>
      <c r="I1770" t="s">
        <v>35</v>
      </c>
      <c r="J1770" t="s">
        <v>38</v>
      </c>
      <c r="K1770" t="s">
        <v>49</v>
      </c>
      <c r="L1770" t="s">
        <v>53</v>
      </c>
      <c r="M1770">
        <v>59014</v>
      </c>
      <c r="N1770">
        <v>0.01</v>
      </c>
      <c r="O1770">
        <v>15384</v>
      </c>
      <c r="P1770">
        <v>15</v>
      </c>
      <c r="Q1770" t="s">
        <v>55</v>
      </c>
      <c r="R1770" t="s">
        <v>59</v>
      </c>
    </row>
    <row r="1771" spans="1:18">
      <c r="A1771">
        <v>11770</v>
      </c>
      <c r="B1771" s="2">
        <v>45966</v>
      </c>
      <c r="C1771" s="2">
        <v>45968</v>
      </c>
      <c r="D1771" s="2">
        <v>45972</v>
      </c>
      <c r="E1771" t="s">
        <v>20</v>
      </c>
      <c r="F1771" t="s">
        <v>22</v>
      </c>
      <c r="G1771" t="s">
        <v>28</v>
      </c>
      <c r="H1771" t="s">
        <v>25</v>
      </c>
      <c r="I1771" t="s">
        <v>36</v>
      </c>
      <c r="J1771" t="s">
        <v>43</v>
      </c>
      <c r="K1771" t="s">
        <v>50</v>
      </c>
      <c r="L1771" t="s">
        <v>53</v>
      </c>
      <c r="M1771">
        <v>1246</v>
      </c>
      <c r="N1771">
        <v>0.17</v>
      </c>
      <c r="O1771">
        <v>-640</v>
      </c>
      <c r="P1771">
        <v>23</v>
      </c>
      <c r="Q1771" t="s">
        <v>58</v>
      </c>
      <c r="R1771" t="s">
        <v>59</v>
      </c>
    </row>
    <row r="1772" spans="1:18">
      <c r="A1772">
        <v>11771</v>
      </c>
      <c r="B1772" s="2">
        <v>45967</v>
      </c>
      <c r="C1772" s="2">
        <v>45969</v>
      </c>
      <c r="D1772" s="2">
        <v>45973</v>
      </c>
      <c r="E1772" t="s">
        <v>19</v>
      </c>
      <c r="F1772" t="s">
        <v>22</v>
      </c>
      <c r="G1772" t="s">
        <v>25</v>
      </c>
      <c r="H1772" t="s">
        <v>29</v>
      </c>
      <c r="I1772" t="s">
        <v>36</v>
      </c>
      <c r="J1772" t="s">
        <v>37</v>
      </c>
      <c r="K1772" t="s">
        <v>49</v>
      </c>
      <c r="L1772" t="s">
        <v>51</v>
      </c>
      <c r="M1772">
        <v>58477</v>
      </c>
      <c r="N1772">
        <v>0.06</v>
      </c>
      <c r="O1772">
        <v>-670</v>
      </c>
      <c r="P1772">
        <v>10</v>
      </c>
      <c r="Q1772" t="s">
        <v>56</v>
      </c>
      <c r="R1772" t="s">
        <v>62</v>
      </c>
    </row>
    <row r="1773" spans="1:18">
      <c r="A1773">
        <v>11772</v>
      </c>
      <c r="B1773" s="2">
        <v>45968</v>
      </c>
      <c r="C1773" s="2">
        <v>45970</v>
      </c>
      <c r="D1773" s="2">
        <v>45974</v>
      </c>
      <c r="E1773" t="s">
        <v>21</v>
      </c>
      <c r="F1773" t="s">
        <v>22</v>
      </c>
      <c r="G1773" t="s">
        <v>28</v>
      </c>
      <c r="H1773" t="s">
        <v>32</v>
      </c>
      <c r="I1773" t="s">
        <v>34</v>
      </c>
      <c r="J1773" t="s">
        <v>38</v>
      </c>
      <c r="K1773" t="s">
        <v>45</v>
      </c>
      <c r="L1773" t="s">
        <v>52</v>
      </c>
      <c r="M1773">
        <v>41082</v>
      </c>
      <c r="N1773">
        <v>0.24</v>
      </c>
      <c r="O1773">
        <v>15812</v>
      </c>
      <c r="P1773">
        <v>21</v>
      </c>
      <c r="Q1773" t="s">
        <v>57</v>
      </c>
      <c r="R1773" t="s">
        <v>59</v>
      </c>
    </row>
    <row r="1774" spans="1:18">
      <c r="A1774">
        <v>11773</v>
      </c>
      <c r="B1774" s="2">
        <v>45969</v>
      </c>
      <c r="C1774" s="2">
        <v>45971</v>
      </c>
      <c r="D1774" s="2">
        <v>45975</v>
      </c>
      <c r="E1774" t="s">
        <v>19</v>
      </c>
      <c r="F1774" t="s">
        <v>22</v>
      </c>
      <c r="G1774" t="s">
        <v>27</v>
      </c>
      <c r="H1774" t="s">
        <v>33</v>
      </c>
      <c r="I1774" t="s">
        <v>35</v>
      </c>
      <c r="J1774" t="s">
        <v>39</v>
      </c>
      <c r="K1774" t="s">
        <v>44</v>
      </c>
      <c r="L1774" t="s">
        <v>51</v>
      </c>
      <c r="M1774">
        <v>47226</v>
      </c>
      <c r="N1774">
        <v>0.15</v>
      </c>
      <c r="O1774">
        <v>-403</v>
      </c>
      <c r="P1774">
        <v>17</v>
      </c>
      <c r="Q1774" t="s">
        <v>56</v>
      </c>
      <c r="R1774" t="s">
        <v>61</v>
      </c>
    </row>
    <row r="1775" spans="1:18">
      <c r="A1775">
        <v>11774</v>
      </c>
      <c r="B1775" s="2">
        <v>45970</v>
      </c>
      <c r="C1775" s="2">
        <v>45972</v>
      </c>
      <c r="D1775" s="2">
        <v>45976</v>
      </c>
      <c r="E1775" t="s">
        <v>20</v>
      </c>
      <c r="F1775" t="s">
        <v>22</v>
      </c>
      <c r="G1775" t="s">
        <v>26</v>
      </c>
      <c r="H1775" t="s">
        <v>30</v>
      </c>
      <c r="I1775" t="s">
        <v>35</v>
      </c>
      <c r="J1775" t="s">
        <v>37</v>
      </c>
      <c r="K1775" t="s">
        <v>46</v>
      </c>
      <c r="L1775" t="s">
        <v>53</v>
      </c>
      <c r="M1775">
        <v>7293</v>
      </c>
      <c r="N1775">
        <v>0.05</v>
      </c>
      <c r="O1775">
        <v>2398</v>
      </c>
      <c r="P1775">
        <v>7</v>
      </c>
      <c r="Q1775" t="s">
        <v>55</v>
      </c>
      <c r="R1775" t="s">
        <v>59</v>
      </c>
    </row>
    <row r="1776" spans="1:18">
      <c r="A1776">
        <v>11775</v>
      </c>
      <c r="B1776" s="2">
        <v>45971</v>
      </c>
      <c r="C1776" s="2">
        <v>45973</v>
      </c>
      <c r="D1776" s="2">
        <v>45977</v>
      </c>
      <c r="E1776" t="s">
        <v>21</v>
      </c>
      <c r="F1776" t="s">
        <v>22</v>
      </c>
      <c r="G1776" t="s">
        <v>24</v>
      </c>
      <c r="H1776" t="s">
        <v>30</v>
      </c>
      <c r="I1776" t="s">
        <v>35</v>
      </c>
      <c r="J1776" t="s">
        <v>43</v>
      </c>
      <c r="K1776" t="s">
        <v>47</v>
      </c>
      <c r="L1776" t="s">
        <v>52</v>
      </c>
      <c r="M1776">
        <v>3301</v>
      </c>
      <c r="N1776">
        <v>0.3</v>
      </c>
      <c r="O1776">
        <v>2862</v>
      </c>
      <c r="P1776">
        <v>11</v>
      </c>
      <c r="Q1776" t="s">
        <v>55</v>
      </c>
      <c r="R1776" t="s">
        <v>60</v>
      </c>
    </row>
    <row r="1777" spans="1:18">
      <c r="A1777">
        <v>11776</v>
      </c>
      <c r="B1777" s="2">
        <v>45972</v>
      </c>
      <c r="C1777" s="2">
        <v>45974</v>
      </c>
      <c r="D1777" s="2">
        <v>45978</v>
      </c>
      <c r="E1777" t="s">
        <v>19</v>
      </c>
      <c r="F1777" t="s">
        <v>22</v>
      </c>
      <c r="G1777" t="s">
        <v>26</v>
      </c>
      <c r="H1777" t="s">
        <v>33</v>
      </c>
      <c r="I1777" t="s">
        <v>35</v>
      </c>
      <c r="J1777" t="s">
        <v>40</v>
      </c>
      <c r="K1777" t="s">
        <v>48</v>
      </c>
      <c r="L1777" t="s">
        <v>52</v>
      </c>
      <c r="M1777">
        <v>63638</v>
      </c>
      <c r="N1777">
        <v>0.34</v>
      </c>
      <c r="O1777">
        <v>12582</v>
      </c>
      <c r="P1777">
        <v>12</v>
      </c>
      <c r="Q1777" t="s">
        <v>54</v>
      </c>
      <c r="R1777" t="s">
        <v>62</v>
      </c>
    </row>
    <row r="1778" spans="1:18">
      <c r="A1778">
        <v>11777</v>
      </c>
      <c r="B1778" s="2">
        <v>45973</v>
      </c>
      <c r="C1778" s="2">
        <v>45975</v>
      </c>
      <c r="D1778" s="2">
        <v>45979</v>
      </c>
      <c r="E1778" t="s">
        <v>20</v>
      </c>
      <c r="F1778" t="s">
        <v>22</v>
      </c>
      <c r="G1778" t="s">
        <v>23</v>
      </c>
      <c r="H1778" t="s">
        <v>32</v>
      </c>
      <c r="I1778" t="s">
        <v>36</v>
      </c>
      <c r="J1778" t="s">
        <v>43</v>
      </c>
      <c r="K1778" t="s">
        <v>45</v>
      </c>
      <c r="L1778" t="s">
        <v>52</v>
      </c>
      <c r="M1778">
        <v>19774</v>
      </c>
      <c r="N1778">
        <v>0.09</v>
      </c>
      <c r="O1778">
        <v>10709</v>
      </c>
      <c r="P1778">
        <v>17</v>
      </c>
      <c r="Q1778" t="s">
        <v>56</v>
      </c>
      <c r="R1778" t="s">
        <v>59</v>
      </c>
    </row>
    <row r="1779" spans="1:18">
      <c r="A1779">
        <v>11778</v>
      </c>
      <c r="B1779" s="2">
        <v>45974</v>
      </c>
      <c r="C1779" s="2">
        <v>45976</v>
      </c>
      <c r="D1779" s="2">
        <v>45980</v>
      </c>
      <c r="E1779" t="s">
        <v>21</v>
      </c>
      <c r="F1779" t="s">
        <v>22</v>
      </c>
      <c r="G1779" t="s">
        <v>27</v>
      </c>
      <c r="H1779" t="s">
        <v>33</v>
      </c>
      <c r="I1779" t="s">
        <v>34</v>
      </c>
      <c r="J1779" t="s">
        <v>37</v>
      </c>
      <c r="K1779" t="s">
        <v>50</v>
      </c>
      <c r="L1779" t="s">
        <v>53</v>
      </c>
      <c r="M1779">
        <v>30941</v>
      </c>
      <c r="N1779">
        <v>0.32</v>
      </c>
      <c r="O1779">
        <v>12729</v>
      </c>
      <c r="P1779">
        <v>19</v>
      </c>
      <c r="Q1779" t="s">
        <v>56</v>
      </c>
      <c r="R1779" t="s">
        <v>59</v>
      </c>
    </row>
    <row r="1780" spans="1:18">
      <c r="A1780">
        <v>11779</v>
      </c>
      <c r="B1780" s="2">
        <v>45975</v>
      </c>
      <c r="C1780" s="2">
        <v>45977</v>
      </c>
      <c r="D1780" s="2">
        <v>45981</v>
      </c>
      <c r="E1780" t="s">
        <v>21</v>
      </c>
      <c r="F1780" t="s">
        <v>22</v>
      </c>
      <c r="G1780" t="s">
        <v>28</v>
      </c>
      <c r="H1780" t="s">
        <v>32</v>
      </c>
      <c r="I1780" t="s">
        <v>34</v>
      </c>
      <c r="J1780" t="s">
        <v>43</v>
      </c>
      <c r="K1780" t="s">
        <v>48</v>
      </c>
      <c r="L1780" t="s">
        <v>53</v>
      </c>
      <c r="M1780">
        <v>55773</v>
      </c>
      <c r="N1780">
        <v>0.1</v>
      </c>
      <c r="O1780">
        <v>2480</v>
      </c>
      <c r="P1780">
        <v>24</v>
      </c>
      <c r="Q1780" t="s">
        <v>56</v>
      </c>
      <c r="R1780" t="s">
        <v>59</v>
      </c>
    </row>
    <row r="1781" spans="1:18">
      <c r="A1781">
        <v>11780</v>
      </c>
      <c r="B1781" s="2">
        <v>45976</v>
      </c>
      <c r="C1781" s="2">
        <v>45978</v>
      </c>
      <c r="D1781" s="2">
        <v>45982</v>
      </c>
      <c r="E1781" t="s">
        <v>19</v>
      </c>
      <c r="F1781" t="s">
        <v>22</v>
      </c>
      <c r="G1781" t="s">
        <v>28</v>
      </c>
      <c r="H1781" t="s">
        <v>29</v>
      </c>
      <c r="I1781" t="s">
        <v>35</v>
      </c>
      <c r="J1781" t="s">
        <v>39</v>
      </c>
      <c r="K1781" t="s">
        <v>44</v>
      </c>
      <c r="L1781" t="s">
        <v>51</v>
      </c>
      <c r="M1781">
        <v>58289</v>
      </c>
      <c r="N1781">
        <v>0.04</v>
      </c>
      <c r="O1781">
        <v>-775</v>
      </c>
      <c r="P1781">
        <v>22</v>
      </c>
      <c r="Q1781" t="s">
        <v>56</v>
      </c>
      <c r="R1781" t="s">
        <v>61</v>
      </c>
    </row>
    <row r="1782" spans="1:18">
      <c r="A1782">
        <v>11781</v>
      </c>
      <c r="B1782" s="2">
        <v>45977</v>
      </c>
      <c r="C1782" s="2">
        <v>45979</v>
      </c>
      <c r="D1782" s="2">
        <v>45983</v>
      </c>
      <c r="E1782" t="s">
        <v>21</v>
      </c>
      <c r="F1782" t="s">
        <v>22</v>
      </c>
      <c r="G1782" t="s">
        <v>27</v>
      </c>
      <c r="H1782" t="s">
        <v>29</v>
      </c>
      <c r="I1782" t="s">
        <v>36</v>
      </c>
      <c r="J1782" t="s">
        <v>41</v>
      </c>
      <c r="K1782" t="s">
        <v>47</v>
      </c>
      <c r="L1782" t="s">
        <v>53</v>
      </c>
      <c r="M1782">
        <v>44429</v>
      </c>
      <c r="N1782">
        <v>0.11</v>
      </c>
      <c r="O1782">
        <v>8153</v>
      </c>
      <c r="P1782">
        <v>21</v>
      </c>
      <c r="Q1782" t="s">
        <v>58</v>
      </c>
      <c r="R1782" t="s">
        <v>60</v>
      </c>
    </row>
    <row r="1783" spans="1:18">
      <c r="A1783">
        <v>11782</v>
      </c>
      <c r="B1783" s="2">
        <v>45978</v>
      </c>
      <c r="C1783" s="2">
        <v>45980</v>
      </c>
      <c r="D1783" s="2">
        <v>45984</v>
      </c>
      <c r="E1783" t="s">
        <v>21</v>
      </c>
      <c r="F1783" t="s">
        <v>22</v>
      </c>
      <c r="G1783" t="s">
        <v>24</v>
      </c>
      <c r="H1783" t="s">
        <v>31</v>
      </c>
      <c r="I1783" t="s">
        <v>35</v>
      </c>
      <c r="J1783" t="s">
        <v>43</v>
      </c>
      <c r="K1783" t="s">
        <v>48</v>
      </c>
      <c r="L1783" t="s">
        <v>52</v>
      </c>
      <c r="M1783">
        <v>62360</v>
      </c>
      <c r="N1783">
        <v>0.08</v>
      </c>
      <c r="O1783">
        <v>3756</v>
      </c>
      <c r="P1783">
        <v>2</v>
      </c>
      <c r="Q1783" t="s">
        <v>55</v>
      </c>
      <c r="R1783" t="s">
        <v>59</v>
      </c>
    </row>
    <row r="1784" spans="1:18">
      <c r="A1784">
        <v>11783</v>
      </c>
      <c r="B1784" s="2">
        <v>45979</v>
      </c>
      <c r="C1784" s="2">
        <v>45981</v>
      </c>
      <c r="D1784" s="2">
        <v>45985</v>
      </c>
      <c r="E1784" t="s">
        <v>20</v>
      </c>
      <c r="F1784" t="s">
        <v>22</v>
      </c>
      <c r="G1784" t="s">
        <v>23</v>
      </c>
      <c r="H1784" t="s">
        <v>30</v>
      </c>
      <c r="I1784" t="s">
        <v>36</v>
      </c>
      <c r="J1784" t="s">
        <v>37</v>
      </c>
      <c r="K1784" t="s">
        <v>49</v>
      </c>
      <c r="L1784" t="s">
        <v>51</v>
      </c>
      <c r="M1784">
        <v>30160</v>
      </c>
      <c r="N1784">
        <v>0.3</v>
      </c>
      <c r="O1784">
        <v>13564</v>
      </c>
      <c r="P1784">
        <v>14</v>
      </c>
      <c r="Q1784" t="s">
        <v>57</v>
      </c>
      <c r="R1784" t="s">
        <v>59</v>
      </c>
    </row>
    <row r="1785" spans="1:18">
      <c r="A1785">
        <v>11784</v>
      </c>
      <c r="B1785" s="2">
        <v>45980</v>
      </c>
      <c r="C1785" s="2">
        <v>45982</v>
      </c>
      <c r="D1785" s="2">
        <v>45986</v>
      </c>
      <c r="E1785" t="s">
        <v>18</v>
      </c>
      <c r="F1785" t="s">
        <v>22</v>
      </c>
      <c r="G1785" t="s">
        <v>26</v>
      </c>
      <c r="H1785" t="s">
        <v>32</v>
      </c>
      <c r="I1785" t="s">
        <v>35</v>
      </c>
      <c r="J1785" t="s">
        <v>37</v>
      </c>
      <c r="K1785" t="s">
        <v>50</v>
      </c>
      <c r="L1785" t="s">
        <v>53</v>
      </c>
      <c r="M1785">
        <v>38745</v>
      </c>
      <c r="N1785">
        <v>0.28000000000000003</v>
      </c>
      <c r="O1785">
        <v>1646</v>
      </c>
      <c r="P1785">
        <v>12</v>
      </c>
      <c r="Q1785" t="s">
        <v>54</v>
      </c>
      <c r="R1785" t="s">
        <v>59</v>
      </c>
    </row>
    <row r="1786" spans="1:18">
      <c r="A1786">
        <v>11785</v>
      </c>
      <c r="B1786" s="2">
        <v>45981</v>
      </c>
      <c r="C1786" s="2">
        <v>45983</v>
      </c>
      <c r="D1786" s="2">
        <v>45987</v>
      </c>
      <c r="E1786" t="s">
        <v>18</v>
      </c>
      <c r="F1786" t="s">
        <v>22</v>
      </c>
      <c r="G1786" t="s">
        <v>27</v>
      </c>
      <c r="H1786" t="s">
        <v>29</v>
      </c>
      <c r="I1786" t="s">
        <v>35</v>
      </c>
      <c r="J1786" t="s">
        <v>41</v>
      </c>
      <c r="K1786" t="s">
        <v>48</v>
      </c>
      <c r="L1786" t="s">
        <v>53</v>
      </c>
      <c r="M1786">
        <v>27130</v>
      </c>
      <c r="N1786">
        <v>0.18</v>
      </c>
      <c r="O1786">
        <v>4610</v>
      </c>
      <c r="P1786">
        <v>12</v>
      </c>
      <c r="Q1786" t="s">
        <v>56</v>
      </c>
      <c r="R1786" t="s">
        <v>60</v>
      </c>
    </row>
    <row r="1787" spans="1:18">
      <c r="A1787">
        <v>11786</v>
      </c>
      <c r="B1787" s="2">
        <v>45982</v>
      </c>
      <c r="C1787" s="2">
        <v>45984</v>
      </c>
      <c r="D1787" s="2">
        <v>45988</v>
      </c>
      <c r="E1787" t="s">
        <v>18</v>
      </c>
      <c r="F1787" t="s">
        <v>22</v>
      </c>
      <c r="G1787" t="s">
        <v>27</v>
      </c>
      <c r="H1787" t="s">
        <v>25</v>
      </c>
      <c r="I1787" t="s">
        <v>36</v>
      </c>
      <c r="J1787" t="s">
        <v>43</v>
      </c>
      <c r="K1787" t="s">
        <v>45</v>
      </c>
      <c r="L1787" t="s">
        <v>52</v>
      </c>
      <c r="M1787">
        <v>56348</v>
      </c>
      <c r="N1787">
        <v>0.11</v>
      </c>
      <c r="O1787">
        <v>9584</v>
      </c>
      <c r="P1787">
        <v>11</v>
      </c>
      <c r="Q1787" t="s">
        <v>58</v>
      </c>
      <c r="R1787" t="s">
        <v>60</v>
      </c>
    </row>
    <row r="1788" spans="1:18">
      <c r="A1788">
        <v>11787</v>
      </c>
      <c r="B1788" s="2">
        <v>45983</v>
      </c>
      <c r="C1788" s="2">
        <v>45985</v>
      </c>
      <c r="D1788" s="2">
        <v>45989</v>
      </c>
      <c r="E1788" t="s">
        <v>21</v>
      </c>
      <c r="F1788" t="s">
        <v>22</v>
      </c>
      <c r="G1788" t="s">
        <v>28</v>
      </c>
      <c r="H1788" t="s">
        <v>30</v>
      </c>
      <c r="I1788" t="s">
        <v>35</v>
      </c>
      <c r="J1788" t="s">
        <v>41</v>
      </c>
      <c r="K1788" t="s">
        <v>47</v>
      </c>
      <c r="L1788" t="s">
        <v>53</v>
      </c>
      <c r="M1788">
        <v>54777</v>
      </c>
      <c r="N1788">
        <v>0.06</v>
      </c>
      <c r="O1788">
        <v>17413</v>
      </c>
      <c r="P1788">
        <v>7</v>
      </c>
      <c r="Q1788" t="s">
        <v>58</v>
      </c>
      <c r="R1788" t="s">
        <v>59</v>
      </c>
    </row>
    <row r="1789" spans="1:18">
      <c r="A1789">
        <v>11788</v>
      </c>
      <c r="B1789" s="2">
        <v>45984</v>
      </c>
      <c r="C1789" s="2">
        <v>45986</v>
      </c>
      <c r="D1789" s="2">
        <v>45990</v>
      </c>
      <c r="E1789" t="s">
        <v>21</v>
      </c>
      <c r="F1789" t="s">
        <v>22</v>
      </c>
      <c r="G1789" t="s">
        <v>24</v>
      </c>
      <c r="H1789" t="s">
        <v>30</v>
      </c>
      <c r="I1789" t="s">
        <v>34</v>
      </c>
      <c r="J1789" t="s">
        <v>41</v>
      </c>
      <c r="K1789" t="s">
        <v>48</v>
      </c>
      <c r="L1789" t="s">
        <v>52</v>
      </c>
      <c r="M1789">
        <v>23137</v>
      </c>
      <c r="N1789">
        <v>0.16</v>
      </c>
      <c r="O1789">
        <v>2823</v>
      </c>
      <c r="P1789">
        <v>7</v>
      </c>
      <c r="Q1789" t="s">
        <v>56</v>
      </c>
      <c r="R1789" t="s">
        <v>60</v>
      </c>
    </row>
    <row r="1790" spans="1:18">
      <c r="A1790">
        <v>11789</v>
      </c>
      <c r="B1790" s="2">
        <v>45985</v>
      </c>
      <c r="C1790" s="2">
        <v>45987</v>
      </c>
      <c r="D1790" s="2">
        <v>45991</v>
      </c>
      <c r="E1790" t="s">
        <v>20</v>
      </c>
      <c r="F1790" t="s">
        <v>22</v>
      </c>
      <c r="G1790" t="s">
        <v>28</v>
      </c>
      <c r="H1790" t="s">
        <v>25</v>
      </c>
      <c r="I1790" t="s">
        <v>36</v>
      </c>
      <c r="J1790" t="s">
        <v>41</v>
      </c>
      <c r="K1790" t="s">
        <v>46</v>
      </c>
      <c r="L1790" t="s">
        <v>51</v>
      </c>
      <c r="M1790">
        <v>24521</v>
      </c>
      <c r="N1790">
        <v>0.08</v>
      </c>
      <c r="O1790">
        <v>4806</v>
      </c>
      <c r="P1790">
        <v>17</v>
      </c>
      <c r="Q1790" t="s">
        <v>58</v>
      </c>
      <c r="R1790" t="s">
        <v>59</v>
      </c>
    </row>
    <row r="1791" spans="1:18">
      <c r="A1791">
        <v>11790</v>
      </c>
      <c r="B1791" s="2">
        <v>45986</v>
      </c>
      <c r="C1791" s="2">
        <v>45988</v>
      </c>
      <c r="D1791" s="2">
        <v>45992</v>
      </c>
      <c r="E1791" t="s">
        <v>20</v>
      </c>
      <c r="F1791" t="s">
        <v>22</v>
      </c>
      <c r="G1791" t="s">
        <v>28</v>
      </c>
      <c r="H1791" t="s">
        <v>25</v>
      </c>
      <c r="I1791" t="s">
        <v>36</v>
      </c>
      <c r="J1791" t="s">
        <v>41</v>
      </c>
      <c r="K1791" t="s">
        <v>46</v>
      </c>
      <c r="L1791" t="s">
        <v>52</v>
      </c>
      <c r="M1791">
        <v>52343</v>
      </c>
      <c r="N1791">
        <v>0.12</v>
      </c>
      <c r="O1791">
        <v>1551</v>
      </c>
      <c r="P1791">
        <v>20</v>
      </c>
      <c r="Q1791" t="s">
        <v>54</v>
      </c>
      <c r="R1791" t="s">
        <v>62</v>
      </c>
    </row>
    <row r="1792" spans="1:18">
      <c r="A1792">
        <v>11791</v>
      </c>
      <c r="B1792" s="2">
        <v>45987</v>
      </c>
      <c r="C1792" s="2">
        <v>45989</v>
      </c>
      <c r="D1792" s="2">
        <v>45993</v>
      </c>
      <c r="E1792" t="s">
        <v>18</v>
      </c>
      <c r="F1792" t="s">
        <v>22</v>
      </c>
      <c r="G1792" t="s">
        <v>25</v>
      </c>
      <c r="H1792" t="s">
        <v>25</v>
      </c>
      <c r="I1792" t="s">
        <v>34</v>
      </c>
      <c r="J1792" t="s">
        <v>41</v>
      </c>
      <c r="K1792" t="s">
        <v>48</v>
      </c>
      <c r="L1792" t="s">
        <v>51</v>
      </c>
      <c r="M1792">
        <v>53259</v>
      </c>
      <c r="N1792">
        <v>0.11</v>
      </c>
      <c r="O1792">
        <v>11590</v>
      </c>
      <c r="P1792">
        <v>5</v>
      </c>
      <c r="Q1792" t="s">
        <v>56</v>
      </c>
      <c r="R1792" t="s">
        <v>62</v>
      </c>
    </row>
    <row r="1793" spans="1:18">
      <c r="A1793">
        <v>11792</v>
      </c>
      <c r="B1793" s="2">
        <v>45988</v>
      </c>
      <c r="C1793" s="2">
        <v>45990</v>
      </c>
      <c r="D1793" s="2">
        <v>45994</v>
      </c>
      <c r="E1793" t="s">
        <v>20</v>
      </c>
      <c r="F1793" t="s">
        <v>22</v>
      </c>
      <c r="G1793" t="s">
        <v>25</v>
      </c>
      <c r="H1793" t="s">
        <v>30</v>
      </c>
      <c r="I1793" t="s">
        <v>35</v>
      </c>
      <c r="J1793" t="s">
        <v>41</v>
      </c>
      <c r="K1793" t="s">
        <v>44</v>
      </c>
      <c r="L1793" t="s">
        <v>53</v>
      </c>
      <c r="M1793">
        <v>36317</v>
      </c>
      <c r="N1793">
        <v>0.23</v>
      </c>
      <c r="O1793">
        <v>2489</v>
      </c>
      <c r="P1793">
        <v>18</v>
      </c>
      <c r="Q1793" t="s">
        <v>58</v>
      </c>
      <c r="R1793" t="s">
        <v>60</v>
      </c>
    </row>
    <row r="1794" spans="1:18">
      <c r="A1794">
        <v>11793</v>
      </c>
      <c r="B1794" s="2">
        <v>45989</v>
      </c>
      <c r="C1794" s="2">
        <v>45991</v>
      </c>
      <c r="D1794" s="2">
        <v>45995</v>
      </c>
      <c r="E1794" t="s">
        <v>20</v>
      </c>
      <c r="F1794" t="s">
        <v>22</v>
      </c>
      <c r="G1794" t="s">
        <v>27</v>
      </c>
      <c r="H1794" t="s">
        <v>32</v>
      </c>
      <c r="I1794" t="s">
        <v>35</v>
      </c>
      <c r="J1794" t="s">
        <v>41</v>
      </c>
      <c r="K1794" t="s">
        <v>46</v>
      </c>
      <c r="L1794" t="s">
        <v>51</v>
      </c>
      <c r="M1794">
        <v>30411</v>
      </c>
      <c r="N1794">
        <v>0.2</v>
      </c>
      <c r="O1794">
        <v>238</v>
      </c>
      <c r="P1794">
        <v>13</v>
      </c>
      <c r="Q1794" t="s">
        <v>55</v>
      </c>
      <c r="R1794" t="s">
        <v>59</v>
      </c>
    </row>
    <row r="1795" spans="1:18">
      <c r="A1795">
        <v>11794</v>
      </c>
      <c r="B1795" s="2">
        <v>45990</v>
      </c>
      <c r="C1795" s="2">
        <v>45992</v>
      </c>
      <c r="D1795" s="2">
        <v>45996</v>
      </c>
      <c r="E1795" t="s">
        <v>18</v>
      </c>
      <c r="F1795" t="s">
        <v>22</v>
      </c>
      <c r="G1795" t="s">
        <v>28</v>
      </c>
      <c r="H1795" t="s">
        <v>33</v>
      </c>
      <c r="I1795" t="s">
        <v>35</v>
      </c>
      <c r="J1795" t="s">
        <v>38</v>
      </c>
      <c r="K1795" t="s">
        <v>47</v>
      </c>
      <c r="L1795" t="s">
        <v>53</v>
      </c>
      <c r="M1795">
        <v>2829</v>
      </c>
      <c r="N1795">
        <v>0.24</v>
      </c>
      <c r="O1795">
        <v>15108</v>
      </c>
      <c r="P1795">
        <v>15</v>
      </c>
      <c r="Q1795" t="s">
        <v>55</v>
      </c>
      <c r="R1795" t="s">
        <v>62</v>
      </c>
    </row>
    <row r="1796" spans="1:18">
      <c r="A1796">
        <v>11795</v>
      </c>
      <c r="B1796" s="2">
        <v>45991</v>
      </c>
      <c r="C1796" s="2">
        <v>45993</v>
      </c>
      <c r="D1796" s="2">
        <v>45997</v>
      </c>
      <c r="E1796" t="s">
        <v>19</v>
      </c>
      <c r="F1796" t="s">
        <v>22</v>
      </c>
      <c r="G1796" t="s">
        <v>25</v>
      </c>
      <c r="H1796" t="s">
        <v>25</v>
      </c>
      <c r="I1796" t="s">
        <v>34</v>
      </c>
      <c r="J1796" t="s">
        <v>42</v>
      </c>
      <c r="K1796" t="s">
        <v>46</v>
      </c>
      <c r="L1796" t="s">
        <v>53</v>
      </c>
      <c r="M1796">
        <v>62063</v>
      </c>
      <c r="N1796">
        <v>0.15</v>
      </c>
      <c r="O1796">
        <v>193</v>
      </c>
      <c r="P1796">
        <v>1</v>
      </c>
      <c r="Q1796" t="s">
        <v>56</v>
      </c>
      <c r="R1796" t="s">
        <v>62</v>
      </c>
    </row>
    <row r="1797" spans="1:18">
      <c r="A1797">
        <v>11796</v>
      </c>
      <c r="B1797" s="2">
        <v>45992</v>
      </c>
      <c r="C1797" s="2">
        <v>45994</v>
      </c>
      <c r="D1797" s="2">
        <v>45998</v>
      </c>
      <c r="E1797" t="s">
        <v>18</v>
      </c>
      <c r="F1797" t="s">
        <v>22</v>
      </c>
      <c r="G1797" t="s">
        <v>27</v>
      </c>
      <c r="H1797" t="s">
        <v>29</v>
      </c>
      <c r="I1797" t="s">
        <v>34</v>
      </c>
      <c r="J1797" t="s">
        <v>38</v>
      </c>
      <c r="K1797" t="s">
        <v>46</v>
      </c>
      <c r="L1797" t="s">
        <v>51</v>
      </c>
      <c r="M1797">
        <v>61985</v>
      </c>
      <c r="N1797">
        <v>0.15</v>
      </c>
      <c r="O1797">
        <v>9065</v>
      </c>
      <c r="P1797">
        <v>15</v>
      </c>
      <c r="Q1797" t="s">
        <v>58</v>
      </c>
      <c r="R1797" t="s">
        <v>60</v>
      </c>
    </row>
    <row r="1798" spans="1:18">
      <c r="A1798">
        <v>11797</v>
      </c>
      <c r="B1798" s="2">
        <v>45993</v>
      </c>
      <c r="C1798" s="2">
        <v>45995</v>
      </c>
      <c r="D1798" s="2">
        <v>45999</v>
      </c>
      <c r="E1798" t="s">
        <v>20</v>
      </c>
      <c r="F1798" t="s">
        <v>22</v>
      </c>
      <c r="G1798" t="s">
        <v>25</v>
      </c>
      <c r="H1798" t="s">
        <v>31</v>
      </c>
      <c r="I1798" t="s">
        <v>34</v>
      </c>
      <c r="J1798" t="s">
        <v>43</v>
      </c>
      <c r="K1798" t="s">
        <v>46</v>
      </c>
      <c r="L1798" t="s">
        <v>53</v>
      </c>
      <c r="M1798">
        <v>56659</v>
      </c>
      <c r="N1798">
        <v>0.02</v>
      </c>
      <c r="O1798">
        <v>3669</v>
      </c>
      <c r="P1798">
        <v>17</v>
      </c>
      <c r="Q1798" t="s">
        <v>57</v>
      </c>
      <c r="R1798" t="s">
        <v>61</v>
      </c>
    </row>
    <row r="1799" spans="1:18">
      <c r="A1799">
        <v>11798</v>
      </c>
      <c r="B1799" s="2">
        <v>45994</v>
      </c>
      <c r="C1799" s="2">
        <v>45996</v>
      </c>
      <c r="D1799" s="2">
        <v>46000</v>
      </c>
      <c r="E1799" t="s">
        <v>18</v>
      </c>
      <c r="F1799" t="s">
        <v>22</v>
      </c>
      <c r="G1799" t="s">
        <v>23</v>
      </c>
      <c r="H1799" t="s">
        <v>33</v>
      </c>
      <c r="I1799" t="s">
        <v>36</v>
      </c>
      <c r="J1799" t="s">
        <v>42</v>
      </c>
      <c r="K1799" t="s">
        <v>44</v>
      </c>
      <c r="L1799" t="s">
        <v>51</v>
      </c>
      <c r="M1799">
        <v>50244</v>
      </c>
      <c r="N1799">
        <v>0.19</v>
      </c>
      <c r="O1799">
        <v>16770</v>
      </c>
      <c r="P1799">
        <v>19</v>
      </c>
      <c r="Q1799" t="s">
        <v>57</v>
      </c>
      <c r="R1799" t="s">
        <v>59</v>
      </c>
    </row>
    <row r="1800" spans="1:18">
      <c r="A1800">
        <v>11799</v>
      </c>
      <c r="B1800" s="2">
        <v>45995</v>
      </c>
      <c r="C1800" s="2">
        <v>45997</v>
      </c>
      <c r="D1800" s="2">
        <v>46001</v>
      </c>
      <c r="E1800" t="s">
        <v>21</v>
      </c>
      <c r="F1800" t="s">
        <v>22</v>
      </c>
      <c r="G1800" t="s">
        <v>26</v>
      </c>
      <c r="H1800" t="s">
        <v>30</v>
      </c>
      <c r="I1800" t="s">
        <v>34</v>
      </c>
      <c r="J1800" t="s">
        <v>38</v>
      </c>
      <c r="K1800" t="s">
        <v>46</v>
      </c>
      <c r="L1800" t="s">
        <v>53</v>
      </c>
      <c r="M1800">
        <v>26536</v>
      </c>
      <c r="N1800">
        <v>0.37</v>
      </c>
      <c r="O1800">
        <v>6662</v>
      </c>
      <c r="P1800">
        <v>20</v>
      </c>
      <c r="Q1800" t="s">
        <v>57</v>
      </c>
      <c r="R1800" t="s">
        <v>61</v>
      </c>
    </row>
    <row r="1801" spans="1:18">
      <c r="A1801">
        <v>11800</v>
      </c>
      <c r="B1801" s="2">
        <v>45996</v>
      </c>
      <c r="C1801" s="2">
        <v>45998</v>
      </c>
      <c r="D1801" s="2">
        <v>46002</v>
      </c>
      <c r="E1801" t="s">
        <v>20</v>
      </c>
      <c r="F1801" t="s">
        <v>22</v>
      </c>
      <c r="G1801" t="s">
        <v>27</v>
      </c>
      <c r="H1801" t="s">
        <v>29</v>
      </c>
      <c r="I1801" t="s">
        <v>34</v>
      </c>
      <c r="J1801" t="s">
        <v>39</v>
      </c>
      <c r="K1801" t="s">
        <v>47</v>
      </c>
      <c r="L1801" t="s">
        <v>53</v>
      </c>
      <c r="M1801">
        <v>31732</v>
      </c>
      <c r="N1801">
        <v>0.2</v>
      </c>
      <c r="O1801">
        <v>5417</v>
      </c>
      <c r="P1801">
        <v>4</v>
      </c>
      <c r="Q1801" t="s">
        <v>55</v>
      </c>
      <c r="R1801" t="s">
        <v>60</v>
      </c>
    </row>
    <row r="1802" spans="1:18">
      <c r="A1802">
        <v>11801</v>
      </c>
      <c r="B1802" s="2">
        <v>45997</v>
      </c>
      <c r="C1802" s="2">
        <v>45999</v>
      </c>
      <c r="D1802" s="2">
        <v>46003</v>
      </c>
      <c r="E1802" t="s">
        <v>19</v>
      </c>
      <c r="F1802" t="s">
        <v>22</v>
      </c>
      <c r="G1802" t="s">
        <v>28</v>
      </c>
      <c r="H1802" t="s">
        <v>32</v>
      </c>
      <c r="I1802" t="s">
        <v>34</v>
      </c>
      <c r="J1802" t="s">
        <v>40</v>
      </c>
      <c r="K1802" t="s">
        <v>46</v>
      </c>
      <c r="L1802" t="s">
        <v>51</v>
      </c>
      <c r="M1802">
        <v>21543</v>
      </c>
      <c r="N1802">
        <v>0.14000000000000001</v>
      </c>
      <c r="O1802">
        <v>10817</v>
      </c>
      <c r="P1802">
        <v>8</v>
      </c>
      <c r="Q1802" t="s">
        <v>57</v>
      </c>
      <c r="R1802" t="s">
        <v>62</v>
      </c>
    </row>
    <row r="1803" spans="1:18">
      <c r="A1803">
        <v>11802</v>
      </c>
      <c r="B1803" s="2">
        <v>45998</v>
      </c>
      <c r="C1803" s="2">
        <v>46000</v>
      </c>
      <c r="D1803" s="2">
        <v>46004</v>
      </c>
      <c r="E1803" t="s">
        <v>18</v>
      </c>
      <c r="F1803" t="s">
        <v>22</v>
      </c>
      <c r="G1803" t="s">
        <v>23</v>
      </c>
      <c r="H1803" t="s">
        <v>25</v>
      </c>
      <c r="I1803" t="s">
        <v>34</v>
      </c>
      <c r="J1803" t="s">
        <v>39</v>
      </c>
      <c r="K1803" t="s">
        <v>44</v>
      </c>
      <c r="L1803" t="s">
        <v>51</v>
      </c>
      <c r="M1803">
        <v>9095</v>
      </c>
      <c r="N1803">
        <v>0.25</v>
      </c>
      <c r="O1803">
        <v>-1793</v>
      </c>
      <c r="P1803">
        <v>17</v>
      </c>
      <c r="Q1803" t="s">
        <v>57</v>
      </c>
      <c r="R1803" t="s">
        <v>60</v>
      </c>
    </row>
    <row r="1804" spans="1:18">
      <c r="A1804">
        <v>11803</v>
      </c>
      <c r="B1804" s="2">
        <v>45999</v>
      </c>
      <c r="C1804" s="2">
        <v>46001</v>
      </c>
      <c r="D1804" s="2">
        <v>46005</v>
      </c>
      <c r="E1804" t="s">
        <v>21</v>
      </c>
      <c r="F1804" t="s">
        <v>22</v>
      </c>
      <c r="G1804" t="s">
        <v>28</v>
      </c>
      <c r="H1804" t="s">
        <v>33</v>
      </c>
      <c r="I1804" t="s">
        <v>36</v>
      </c>
      <c r="J1804" t="s">
        <v>40</v>
      </c>
      <c r="K1804" t="s">
        <v>50</v>
      </c>
      <c r="L1804" t="s">
        <v>51</v>
      </c>
      <c r="M1804">
        <v>23931</v>
      </c>
      <c r="N1804">
        <v>0.25</v>
      </c>
      <c r="O1804">
        <v>15973</v>
      </c>
      <c r="P1804">
        <v>14</v>
      </c>
      <c r="Q1804" t="s">
        <v>55</v>
      </c>
      <c r="R1804" t="s">
        <v>62</v>
      </c>
    </row>
    <row r="1805" spans="1:18">
      <c r="A1805">
        <v>11804</v>
      </c>
      <c r="B1805" s="2">
        <v>46000</v>
      </c>
      <c r="C1805" s="2">
        <v>46002</v>
      </c>
      <c r="D1805" s="2">
        <v>46006</v>
      </c>
      <c r="E1805" t="s">
        <v>21</v>
      </c>
      <c r="F1805" t="s">
        <v>22</v>
      </c>
      <c r="G1805" t="s">
        <v>24</v>
      </c>
      <c r="H1805" t="s">
        <v>33</v>
      </c>
      <c r="I1805" t="s">
        <v>35</v>
      </c>
      <c r="J1805" t="s">
        <v>42</v>
      </c>
      <c r="K1805" t="s">
        <v>44</v>
      </c>
      <c r="L1805" t="s">
        <v>52</v>
      </c>
      <c r="M1805">
        <v>2251</v>
      </c>
      <c r="N1805">
        <v>0.03</v>
      </c>
      <c r="O1805">
        <v>1985</v>
      </c>
      <c r="P1805">
        <v>8</v>
      </c>
      <c r="Q1805" t="s">
        <v>55</v>
      </c>
      <c r="R1805" t="s">
        <v>61</v>
      </c>
    </row>
    <row r="1806" spans="1:18">
      <c r="A1806">
        <v>11805</v>
      </c>
      <c r="B1806" s="2">
        <v>46001</v>
      </c>
      <c r="C1806" s="2">
        <v>46003</v>
      </c>
      <c r="D1806" s="2">
        <v>46007</v>
      </c>
      <c r="E1806" t="s">
        <v>20</v>
      </c>
      <c r="F1806" t="s">
        <v>22</v>
      </c>
      <c r="G1806" t="s">
        <v>28</v>
      </c>
      <c r="H1806" t="s">
        <v>31</v>
      </c>
      <c r="I1806" t="s">
        <v>36</v>
      </c>
      <c r="J1806" t="s">
        <v>37</v>
      </c>
      <c r="K1806" t="s">
        <v>48</v>
      </c>
      <c r="L1806" t="s">
        <v>51</v>
      </c>
      <c r="M1806">
        <v>72005</v>
      </c>
      <c r="N1806">
        <v>0.26</v>
      </c>
      <c r="O1806">
        <v>6845</v>
      </c>
      <c r="P1806">
        <v>9</v>
      </c>
      <c r="Q1806" t="s">
        <v>54</v>
      </c>
      <c r="R1806" t="s">
        <v>61</v>
      </c>
    </row>
    <row r="1807" spans="1:18">
      <c r="A1807">
        <v>11806</v>
      </c>
      <c r="B1807" s="2">
        <v>46002</v>
      </c>
      <c r="C1807" s="2">
        <v>46004</v>
      </c>
      <c r="D1807" s="2">
        <v>46008</v>
      </c>
      <c r="E1807" t="s">
        <v>20</v>
      </c>
      <c r="F1807" t="s">
        <v>22</v>
      </c>
      <c r="G1807" t="s">
        <v>23</v>
      </c>
      <c r="H1807" t="s">
        <v>29</v>
      </c>
      <c r="I1807" t="s">
        <v>34</v>
      </c>
      <c r="J1807" t="s">
        <v>37</v>
      </c>
      <c r="K1807" t="s">
        <v>49</v>
      </c>
      <c r="L1807" t="s">
        <v>52</v>
      </c>
      <c r="M1807">
        <v>26656</v>
      </c>
      <c r="N1807">
        <v>0.08</v>
      </c>
      <c r="O1807">
        <v>3694</v>
      </c>
      <c r="P1807">
        <v>12</v>
      </c>
      <c r="Q1807" t="s">
        <v>55</v>
      </c>
      <c r="R1807" t="s">
        <v>59</v>
      </c>
    </row>
    <row r="1808" spans="1:18">
      <c r="A1808">
        <v>11807</v>
      </c>
      <c r="B1808" s="2">
        <v>46003</v>
      </c>
      <c r="C1808" s="2">
        <v>46005</v>
      </c>
      <c r="D1808" s="2">
        <v>46009</v>
      </c>
      <c r="E1808" t="s">
        <v>18</v>
      </c>
      <c r="F1808" t="s">
        <v>22</v>
      </c>
      <c r="G1808" t="s">
        <v>27</v>
      </c>
      <c r="H1808" t="s">
        <v>33</v>
      </c>
      <c r="I1808" t="s">
        <v>35</v>
      </c>
      <c r="J1808" t="s">
        <v>42</v>
      </c>
      <c r="K1808" t="s">
        <v>46</v>
      </c>
      <c r="L1808" t="s">
        <v>52</v>
      </c>
      <c r="M1808">
        <v>46686</v>
      </c>
      <c r="N1808">
        <v>0.08</v>
      </c>
      <c r="O1808">
        <v>1627</v>
      </c>
      <c r="P1808">
        <v>11</v>
      </c>
      <c r="Q1808" t="s">
        <v>58</v>
      </c>
      <c r="R1808" t="s">
        <v>60</v>
      </c>
    </row>
    <row r="1809" spans="1:18">
      <c r="A1809">
        <v>11808</v>
      </c>
      <c r="B1809" s="2">
        <v>46004</v>
      </c>
      <c r="C1809" s="2">
        <v>46006</v>
      </c>
      <c r="D1809" s="2">
        <v>46010</v>
      </c>
      <c r="E1809" t="s">
        <v>20</v>
      </c>
      <c r="F1809" t="s">
        <v>22</v>
      </c>
      <c r="G1809" t="s">
        <v>24</v>
      </c>
      <c r="H1809" t="s">
        <v>30</v>
      </c>
      <c r="I1809" t="s">
        <v>34</v>
      </c>
      <c r="J1809" t="s">
        <v>40</v>
      </c>
      <c r="K1809" t="s">
        <v>44</v>
      </c>
      <c r="L1809" t="s">
        <v>51</v>
      </c>
      <c r="M1809">
        <v>67465</v>
      </c>
      <c r="N1809">
        <v>0.36</v>
      </c>
      <c r="O1809">
        <v>18265</v>
      </c>
      <c r="P1809">
        <v>20</v>
      </c>
      <c r="Q1809" t="s">
        <v>58</v>
      </c>
      <c r="R1809" t="s">
        <v>61</v>
      </c>
    </row>
    <row r="1810" spans="1:18">
      <c r="A1810">
        <v>11809</v>
      </c>
      <c r="B1810" s="2">
        <v>46005</v>
      </c>
      <c r="C1810" s="2">
        <v>46007</v>
      </c>
      <c r="D1810" s="2">
        <v>46011</v>
      </c>
      <c r="E1810" t="s">
        <v>21</v>
      </c>
      <c r="F1810" t="s">
        <v>22</v>
      </c>
      <c r="G1810" t="s">
        <v>26</v>
      </c>
      <c r="H1810" t="s">
        <v>33</v>
      </c>
      <c r="I1810" t="s">
        <v>36</v>
      </c>
      <c r="J1810" t="s">
        <v>37</v>
      </c>
      <c r="K1810" t="s">
        <v>48</v>
      </c>
      <c r="L1810" t="s">
        <v>53</v>
      </c>
      <c r="M1810">
        <v>36360</v>
      </c>
      <c r="N1810">
        <v>0.28000000000000003</v>
      </c>
      <c r="O1810">
        <v>5559</v>
      </c>
      <c r="P1810">
        <v>5</v>
      </c>
      <c r="Q1810" t="s">
        <v>57</v>
      </c>
      <c r="R1810" t="s">
        <v>59</v>
      </c>
    </row>
    <row r="1811" spans="1:18">
      <c r="A1811">
        <v>11810</v>
      </c>
      <c r="B1811" s="2">
        <v>46006</v>
      </c>
      <c r="C1811" s="2">
        <v>46008</v>
      </c>
      <c r="D1811" s="2">
        <v>46012</v>
      </c>
      <c r="E1811" t="s">
        <v>19</v>
      </c>
      <c r="F1811" t="s">
        <v>22</v>
      </c>
      <c r="G1811" t="s">
        <v>26</v>
      </c>
      <c r="H1811" t="s">
        <v>33</v>
      </c>
      <c r="I1811" t="s">
        <v>36</v>
      </c>
      <c r="J1811" t="s">
        <v>39</v>
      </c>
      <c r="K1811" t="s">
        <v>48</v>
      </c>
      <c r="L1811" t="s">
        <v>52</v>
      </c>
      <c r="M1811">
        <v>44521</v>
      </c>
      <c r="N1811">
        <v>0.24</v>
      </c>
      <c r="O1811">
        <v>9757</v>
      </c>
      <c r="P1811">
        <v>12</v>
      </c>
      <c r="Q1811" t="s">
        <v>58</v>
      </c>
      <c r="R1811" t="s">
        <v>61</v>
      </c>
    </row>
    <row r="1812" spans="1:18">
      <c r="A1812">
        <v>11811</v>
      </c>
      <c r="B1812" s="2">
        <v>46007</v>
      </c>
      <c r="C1812" s="2">
        <v>46009</v>
      </c>
      <c r="D1812" s="2">
        <v>46013</v>
      </c>
      <c r="E1812" t="s">
        <v>21</v>
      </c>
      <c r="F1812" t="s">
        <v>22</v>
      </c>
      <c r="G1812" t="s">
        <v>25</v>
      </c>
      <c r="H1812" t="s">
        <v>31</v>
      </c>
      <c r="I1812" t="s">
        <v>35</v>
      </c>
      <c r="J1812" t="s">
        <v>43</v>
      </c>
      <c r="K1812" t="s">
        <v>47</v>
      </c>
      <c r="L1812" t="s">
        <v>51</v>
      </c>
      <c r="M1812">
        <v>69236</v>
      </c>
      <c r="N1812">
        <v>0.3</v>
      </c>
      <c r="O1812">
        <v>10831</v>
      </c>
      <c r="P1812">
        <v>3</v>
      </c>
      <c r="Q1812" t="s">
        <v>57</v>
      </c>
      <c r="R1812" t="s">
        <v>61</v>
      </c>
    </row>
    <row r="1813" spans="1:18">
      <c r="A1813">
        <v>11812</v>
      </c>
      <c r="B1813" s="2">
        <v>46008</v>
      </c>
      <c r="C1813" s="2">
        <v>46010</v>
      </c>
      <c r="D1813" s="2">
        <v>46014</v>
      </c>
      <c r="E1813" t="s">
        <v>18</v>
      </c>
      <c r="F1813" t="s">
        <v>22</v>
      </c>
      <c r="G1813" t="s">
        <v>24</v>
      </c>
      <c r="H1813" t="s">
        <v>25</v>
      </c>
      <c r="I1813" t="s">
        <v>34</v>
      </c>
      <c r="J1813" t="s">
        <v>38</v>
      </c>
      <c r="K1813" t="s">
        <v>48</v>
      </c>
      <c r="L1813" t="s">
        <v>53</v>
      </c>
      <c r="M1813">
        <v>61722</v>
      </c>
      <c r="N1813">
        <v>0.22</v>
      </c>
      <c r="O1813">
        <v>3363</v>
      </c>
      <c r="P1813">
        <v>3</v>
      </c>
      <c r="Q1813" t="s">
        <v>54</v>
      </c>
      <c r="R1813" t="s">
        <v>60</v>
      </c>
    </row>
    <row r="1814" spans="1:18">
      <c r="A1814">
        <v>11813</v>
      </c>
      <c r="B1814" s="2">
        <v>46009</v>
      </c>
      <c r="C1814" s="2">
        <v>46011</v>
      </c>
      <c r="D1814" s="2">
        <v>46015</v>
      </c>
      <c r="E1814" t="s">
        <v>21</v>
      </c>
      <c r="F1814" t="s">
        <v>22</v>
      </c>
      <c r="G1814" t="s">
        <v>26</v>
      </c>
      <c r="H1814" t="s">
        <v>29</v>
      </c>
      <c r="I1814" t="s">
        <v>35</v>
      </c>
      <c r="J1814" t="s">
        <v>38</v>
      </c>
      <c r="K1814" t="s">
        <v>50</v>
      </c>
      <c r="L1814" t="s">
        <v>53</v>
      </c>
      <c r="M1814">
        <v>63675</v>
      </c>
      <c r="N1814">
        <v>0.26</v>
      </c>
      <c r="O1814">
        <v>14273</v>
      </c>
      <c r="P1814">
        <v>18</v>
      </c>
      <c r="Q1814" t="s">
        <v>55</v>
      </c>
      <c r="R1814" t="s">
        <v>60</v>
      </c>
    </row>
    <row r="1815" spans="1:18">
      <c r="A1815">
        <v>11814</v>
      </c>
      <c r="B1815" s="2">
        <v>46010</v>
      </c>
      <c r="C1815" s="2">
        <v>46012</v>
      </c>
      <c r="D1815" s="2">
        <v>46016</v>
      </c>
      <c r="E1815" t="s">
        <v>20</v>
      </c>
      <c r="F1815" t="s">
        <v>22</v>
      </c>
      <c r="G1815" t="s">
        <v>23</v>
      </c>
      <c r="H1815" t="s">
        <v>32</v>
      </c>
      <c r="I1815" t="s">
        <v>36</v>
      </c>
      <c r="J1815" t="s">
        <v>43</v>
      </c>
      <c r="K1815" t="s">
        <v>48</v>
      </c>
      <c r="L1815" t="s">
        <v>53</v>
      </c>
      <c r="M1815">
        <v>31456</v>
      </c>
      <c r="N1815">
        <v>0.08</v>
      </c>
      <c r="O1815">
        <v>19935</v>
      </c>
      <c r="P1815">
        <v>1</v>
      </c>
      <c r="Q1815" t="s">
        <v>55</v>
      </c>
      <c r="R1815" t="s">
        <v>62</v>
      </c>
    </row>
    <row r="1816" spans="1:18">
      <c r="A1816">
        <v>11815</v>
      </c>
      <c r="B1816" s="2">
        <v>46011</v>
      </c>
      <c r="C1816" s="2">
        <v>46013</v>
      </c>
      <c r="D1816" s="2">
        <v>46017</v>
      </c>
      <c r="E1816" t="s">
        <v>20</v>
      </c>
      <c r="F1816" t="s">
        <v>22</v>
      </c>
      <c r="G1816" t="s">
        <v>28</v>
      </c>
      <c r="H1816" t="s">
        <v>29</v>
      </c>
      <c r="I1816" t="s">
        <v>35</v>
      </c>
      <c r="J1816" t="s">
        <v>38</v>
      </c>
      <c r="K1816" t="s">
        <v>50</v>
      </c>
      <c r="L1816" t="s">
        <v>53</v>
      </c>
      <c r="M1816">
        <v>1492</v>
      </c>
      <c r="N1816">
        <v>0.28999999999999998</v>
      </c>
      <c r="O1816">
        <v>17217</v>
      </c>
      <c r="P1816">
        <v>7</v>
      </c>
      <c r="Q1816" t="s">
        <v>57</v>
      </c>
      <c r="R1816" t="s">
        <v>61</v>
      </c>
    </row>
    <row r="1817" spans="1:18">
      <c r="A1817">
        <v>11816</v>
      </c>
      <c r="B1817" s="2">
        <v>46012</v>
      </c>
      <c r="C1817" s="2">
        <v>46014</v>
      </c>
      <c r="D1817" s="2">
        <v>46018</v>
      </c>
      <c r="E1817" t="s">
        <v>18</v>
      </c>
      <c r="F1817" t="s">
        <v>22</v>
      </c>
      <c r="G1817" t="s">
        <v>24</v>
      </c>
      <c r="H1817" t="s">
        <v>25</v>
      </c>
      <c r="I1817" t="s">
        <v>36</v>
      </c>
      <c r="J1817" t="s">
        <v>40</v>
      </c>
      <c r="K1817" t="s">
        <v>50</v>
      </c>
      <c r="L1817" t="s">
        <v>51</v>
      </c>
      <c r="M1817">
        <v>53811</v>
      </c>
      <c r="N1817">
        <v>0.28999999999999998</v>
      </c>
      <c r="O1817">
        <v>17412</v>
      </c>
      <c r="P1817">
        <v>24</v>
      </c>
      <c r="Q1817" t="s">
        <v>57</v>
      </c>
      <c r="R1817" t="s">
        <v>60</v>
      </c>
    </row>
    <row r="1818" spans="1:18">
      <c r="A1818">
        <v>11817</v>
      </c>
      <c r="B1818" s="2">
        <v>46013</v>
      </c>
      <c r="C1818" s="2">
        <v>46015</v>
      </c>
      <c r="D1818" s="2">
        <v>46019</v>
      </c>
      <c r="E1818" t="s">
        <v>19</v>
      </c>
      <c r="F1818" t="s">
        <v>22</v>
      </c>
      <c r="G1818" t="s">
        <v>26</v>
      </c>
      <c r="H1818" t="s">
        <v>29</v>
      </c>
      <c r="I1818" t="s">
        <v>34</v>
      </c>
      <c r="J1818" t="s">
        <v>37</v>
      </c>
      <c r="K1818" t="s">
        <v>44</v>
      </c>
      <c r="L1818" t="s">
        <v>52</v>
      </c>
      <c r="M1818">
        <v>34072</v>
      </c>
      <c r="N1818">
        <v>0.2</v>
      </c>
      <c r="O1818">
        <v>1293</v>
      </c>
      <c r="P1818">
        <v>3</v>
      </c>
      <c r="Q1818" t="s">
        <v>57</v>
      </c>
      <c r="R1818" t="s">
        <v>62</v>
      </c>
    </row>
    <row r="1819" spans="1:18">
      <c r="A1819">
        <v>11818</v>
      </c>
      <c r="B1819" s="2">
        <v>46014</v>
      </c>
      <c r="C1819" s="2">
        <v>46016</v>
      </c>
      <c r="D1819" s="2">
        <v>46020</v>
      </c>
      <c r="E1819" t="s">
        <v>18</v>
      </c>
      <c r="F1819" t="s">
        <v>22</v>
      </c>
      <c r="G1819" t="s">
        <v>28</v>
      </c>
      <c r="H1819" t="s">
        <v>29</v>
      </c>
      <c r="I1819" t="s">
        <v>34</v>
      </c>
      <c r="J1819" t="s">
        <v>42</v>
      </c>
      <c r="K1819" t="s">
        <v>48</v>
      </c>
      <c r="L1819" t="s">
        <v>51</v>
      </c>
      <c r="M1819">
        <v>46531</v>
      </c>
      <c r="N1819">
        <v>0.28999999999999998</v>
      </c>
      <c r="O1819">
        <v>-1499</v>
      </c>
      <c r="P1819">
        <v>24</v>
      </c>
      <c r="Q1819" t="s">
        <v>54</v>
      </c>
      <c r="R1819" t="s">
        <v>61</v>
      </c>
    </row>
    <row r="1820" spans="1:18">
      <c r="A1820">
        <v>11819</v>
      </c>
      <c r="B1820" s="2">
        <v>46015</v>
      </c>
      <c r="C1820" s="2">
        <v>46017</v>
      </c>
      <c r="D1820" s="2">
        <v>46021</v>
      </c>
      <c r="E1820" t="s">
        <v>20</v>
      </c>
      <c r="F1820" t="s">
        <v>22</v>
      </c>
      <c r="G1820" t="s">
        <v>28</v>
      </c>
      <c r="H1820" t="s">
        <v>31</v>
      </c>
      <c r="I1820" t="s">
        <v>35</v>
      </c>
      <c r="J1820" t="s">
        <v>38</v>
      </c>
      <c r="K1820" t="s">
        <v>49</v>
      </c>
      <c r="L1820" t="s">
        <v>53</v>
      </c>
      <c r="M1820">
        <v>64598</v>
      </c>
      <c r="N1820">
        <v>0.15</v>
      </c>
      <c r="O1820">
        <v>1471</v>
      </c>
      <c r="P1820">
        <v>18</v>
      </c>
      <c r="Q1820" t="s">
        <v>55</v>
      </c>
      <c r="R1820" t="s">
        <v>61</v>
      </c>
    </row>
    <row r="1821" spans="1:18">
      <c r="A1821">
        <v>11820</v>
      </c>
      <c r="B1821" s="2">
        <v>46016</v>
      </c>
      <c r="C1821" s="2">
        <v>46018</v>
      </c>
      <c r="D1821" s="2">
        <v>46022</v>
      </c>
      <c r="E1821" t="s">
        <v>18</v>
      </c>
      <c r="F1821" t="s">
        <v>22</v>
      </c>
      <c r="G1821" t="s">
        <v>23</v>
      </c>
      <c r="H1821" t="s">
        <v>29</v>
      </c>
      <c r="I1821" t="s">
        <v>35</v>
      </c>
      <c r="J1821" t="s">
        <v>38</v>
      </c>
      <c r="K1821" t="s">
        <v>45</v>
      </c>
      <c r="L1821" t="s">
        <v>53</v>
      </c>
      <c r="M1821">
        <v>32908</v>
      </c>
      <c r="N1821">
        <v>0.04</v>
      </c>
      <c r="O1821">
        <v>4427</v>
      </c>
      <c r="P1821">
        <v>12</v>
      </c>
      <c r="Q1821" t="s">
        <v>55</v>
      </c>
      <c r="R1821" t="s">
        <v>62</v>
      </c>
    </row>
    <row r="1822" spans="1:18">
      <c r="A1822">
        <v>11821</v>
      </c>
      <c r="B1822" s="2">
        <v>46017</v>
      </c>
      <c r="C1822" s="2">
        <v>46019</v>
      </c>
      <c r="D1822" s="2">
        <v>46023</v>
      </c>
      <c r="E1822" t="s">
        <v>19</v>
      </c>
      <c r="F1822" t="s">
        <v>22</v>
      </c>
      <c r="G1822" t="s">
        <v>28</v>
      </c>
      <c r="H1822" t="s">
        <v>32</v>
      </c>
      <c r="I1822" t="s">
        <v>34</v>
      </c>
      <c r="J1822" t="s">
        <v>40</v>
      </c>
      <c r="K1822" t="s">
        <v>48</v>
      </c>
      <c r="L1822" t="s">
        <v>51</v>
      </c>
      <c r="M1822">
        <v>12451</v>
      </c>
      <c r="N1822">
        <v>0.39</v>
      </c>
      <c r="O1822">
        <v>9244</v>
      </c>
      <c r="P1822">
        <v>11</v>
      </c>
      <c r="Q1822" t="s">
        <v>58</v>
      </c>
      <c r="R1822" t="s">
        <v>61</v>
      </c>
    </row>
    <row r="1823" spans="1:18">
      <c r="A1823">
        <v>11822</v>
      </c>
      <c r="B1823" s="2">
        <v>46018</v>
      </c>
      <c r="C1823" s="2">
        <v>46020</v>
      </c>
      <c r="D1823" s="2">
        <v>46024</v>
      </c>
      <c r="E1823" t="s">
        <v>21</v>
      </c>
      <c r="F1823" t="s">
        <v>22</v>
      </c>
      <c r="G1823" t="s">
        <v>28</v>
      </c>
      <c r="H1823" t="s">
        <v>33</v>
      </c>
      <c r="I1823" t="s">
        <v>36</v>
      </c>
      <c r="J1823" t="s">
        <v>43</v>
      </c>
      <c r="K1823" t="s">
        <v>50</v>
      </c>
      <c r="L1823" t="s">
        <v>53</v>
      </c>
      <c r="M1823">
        <v>46154</v>
      </c>
      <c r="N1823">
        <v>0.31</v>
      </c>
      <c r="O1823">
        <v>6623</v>
      </c>
      <c r="P1823">
        <v>21</v>
      </c>
      <c r="Q1823" t="s">
        <v>55</v>
      </c>
      <c r="R1823" t="s">
        <v>60</v>
      </c>
    </row>
    <row r="1824" spans="1:18">
      <c r="A1824">
        <v>11823</v>
      </c>
      <c r="B1824" s="2">
        <v>46019</v>
      </c>
      <c r="C1824" s="2">
        <v>46021</v>
      </c>
      <c r="D1824" s="2">
        <v>46025</v>
      </c>
      <c r="E1824" t="s">
        <v>19</v>
      </c>
      <c r="F1824" t="s">
        <v>22</v>
      </c>
      <c r="G1824" t="s">
        <v>25</v>
      </c>
      <c r="H1824" t="s">
        <v>29</v>
      </c>
      <c r="I1824" t="s">
        <v>35</v>
      </c>
      <c r="J1824" t="s">
        <v>38</v>
      </c>
      <c r="K1824" t="s">
        <v>49</v>
      </c>
      <c r="L1824" t="s">
        <v>52</v>
      </c>
      <c r="M1824">
        <v>20101</v>
      </c>
      <c r="N1824">
        <v>0.32</v>
      </c>
      <c r="O1824">
        <v>7092</v>
      </c>
      <c r="P1824">
        <v>5</v>
      </c>
      <c r="Q1824" t="s">
        <v>56</v>
      </c>
      <c r="R1824" t="s">
        <v>62</v>
      </c>
    </row>
    <row r="1825" spans="1:18">
      <c r="A1825">
        <v>11824</v>
      </c>
      <c r="B1825" s="2">
        <v>46020</v>
      </c>
      <c r="C1825" s="2">
        <v>46022</v>
      </c>
      <c r="D1825" s="2">
        <v>46026</v>
      </c>
      <c r="E1825" t="s">
        <v>21</v>
      </c>
      <c r="F1825" t="s">
        <v>22</v>
      </c>
      <c r="G1825" t="s">
        <v>28</v>
      </c>
      <c r="H1825" t="s">
        <v>29</v>
      </c>
      <c r="I1825" t="s">
        <v>36</v>
      </c>
      <c r="J1825" t="s">
        <v>42</v>
      </c>
      <c r="K1825" t="s">
        <v>46</v>
      </c>
      <c r="L1825" t="s">
        <v>52</v>
      </c>
      <c r="M1825">
        <v>13981</v>
      </c>
      <c r="N1825">
        <v>0.36</v>
      </c>
      <c r="O1825">
        <v>7969</v>
      </c>
      <c r="P1825">
        <v>15</v>
      </c>
      <c r="Q1825" t="s">
        <v>57</v>
      </c>
      <c r="R1825" t="s">
        <v>62</v>
      </c>
    </row>
    <row r="1826" spans="1:18">
      <c r="B1826" s="2"/>
      <c r="C1826" s="2"/>
      <c r="D1826" s="2"/>
    </row>
    <row r="1827" spans="1:18">
      <c r="B1827" s="2"/>
      <c r="C1827" s="2"/>
      <c r="D1827" s="2"/>
    </row>
    <row r="1828" spans="1:18">
      <c r="B1828" s="2"/>
      <c r="C1828" s="2"/>
      <c r="D1828" s="2"/>
    </row>
    <row r="1829" spans="1:18">
      <c r="B1829" s="2"/>
      <c r="C1829" s="2"/>
      <c r="D1829" s="2"/>
    </row>
    <row r="1830" spans="1:18">
      <c r="B1830" s="2"/>
      <c r="C1830" s="2"/>
      <c r="D1830" s="2"/>
    </row>
    <row r="1831" spans="1:18">
      <c r="B1831" s="2"/>
      <c r="C1831" s="2"/>
      <c r="D1831" s="2"/>
    </row>
    <row r="1832" spans="1:18">
      <c r="B1832" s="2"/>
      <c r="C1832" s="2"/>
      <c r="D1832" s="2"/>
    </row>
    <row r="1833" spans="1:18">
      <c r="B1833" s="2"/>
      <c r="C1833" s="2"/>
      <c r="D1833" s="2"/>
    </row>
    <row r="1834" spans="1:18">
      <c r="B1834" s="2"/>
      <c r="C1834" s="2"/>
      <c r="D1834" s="2"/>
    </row>
    <row r="1835" spans="1:18">
      <c r="B1835" s="2"/>
      <c r="C1835" s="2"/>
      <c r="D1835" s="2"/>
    </row>
    <row r="1836" spans="1:18">
      <c r="B1836" s="2"/>
      <c r="C1836" s="2"/>
      <c r="D1836" s="2"/>
    </row>
    <row r="1837" spans="1:18">
      <c r="B1837" s="2"/>
      <c r="C1837" s="2"/>
      <c r="D1837" s="2"/>
    </row>
    <row r="1838" spans="1:18">
      <c r="B1838" s="2"/>
      <c r="C1838" s="2"/>
      <c r="D1838" s="2"/>
    </row>
    <row r="1839" spans="1:18">
      <c r="B1839" s="2"/>
      <c r="C1839" s="2"/>
      <c r="D1839" s="2"/>
    </row>
    <row r="1840" spans="1:18">
      <c r="B1840" s="2"/>
      <c r="C1840" s="2"/>
      <c r="D1840" s="2"/>
    </row>
    <row r="1841" spans="2:4">
      <c r="B1841" s="2"/>
      <c r="C1841" s="2"/>
      <c r="D1841" s="2"/>
    </row>
    <row r="1842" spans="2:4">
      <c r="B1842" s="2"/>
      <c r="C1842" s="2"/>
      <c r="D1842" s="2"/>
    </row>
    <row r="1843" spans="2:4">
      <c r="B1843" s="2"/>
      <c r="C1843" s="2"/>
      <c r="D1843" s="2"/>
    </row>
    <row r="1844" spans="2:4">
      <c r="B1844" s="2"/>
      <c r="C1844" s="2"/>
      <c r="D1844" s="2"/>
    </row>
    <row r="1845" spans="2:4">
      <c r="B1845" s="2"/>
      <c r="C1845" s="2"/>
      <c r="D1845" s="2"/>
    </row>
    <row r="1846" spans="2:4">
      <c r="B1846" s="2"/>
      <c r="C1846" s="2"/>
      <c r="D1846" s="2"/>
    </row>
    <row r="1847" spans="2:4">
      <c r="B1847" s="2"/>
      <c r="C1847" s="2"/>
      <c r="D1847" s="2"/>
    </row>
    <row r="1848" spans="2:4">
      <c r="B1848" s="2"/>
      <c r="C1848" s="2"/>
      <c r="D1848" s="2"/>
    </row>
    <row r="1849" spans="2:4">
      <c r="B1849" s="2"/>
      <c r="C1849" s="2"/>
      <c r="D1849" s="2"/>
    </row>
    <row r="1850" spans="2:4">
      <c r="B1850" s="2"/>
      <c r="C1850" s="2"/>
      <c r="D1850" s="2"/>
    </row>
    <row r="1851" spans="2:4">
      <c r="B1851" s="2"/>
      <c r="C1851" s="2"/>
      <c r="D1851" s="2"/>
    </row>
    <row r="1852" spans="2:4">
      <c r="B1852" s="2"/>
      <c r="C1852" s="2"/>
      <c r="D1852" s="2"/>
    </row>
    <row r="1853" spans="2:4">
      <c r="B1853" s="2"/>
      <c r="C1853" s="2"/>
      <c r="D1853" s="2"/>
    </row>
    <row r="1854" spans="2:4">
      <c r="B1854" s="2"/>
      <c r="C1854" s="2"/>
      <c r="D1854" s="2"/>
    </row>
    <row r="1855" spans="2:4">
      <c r="B1855" s="2"/>
      <c r="C1855" s="2"/>
      <c r="D1855" s="2"/>
    </row>
    <row r="1856" spans="2:4">
      <c r="B1856" s="2"/>
      <c r="C1856" s="2"/>
      <c r="D1856" s="2"/>
    </row>
    <row r="1857" spans="2:4">
      <c r="B1857" s="2"/>
      <c r="C1857" s="2"/>
      <c r="D1857" s="2"/>
    </row>
    <row r="1858" spans="2:4">
      <c r="B1858" s="2"/>
      <c r="C1858" s="2"/>
      <c r="D1858" s="2"/>
    </row>
    <row r="1859" spans="2:4">
      <c r="B1859" s="2"/>
      <c r="C1859" s="2"/>
      <c r="D1859" s="2"/>
    </row>
    <row r="1860" spans="2:4">
      <c r="B1860" s="2"/>
      <c r="C1860" s="2"/>
      <c r="D1860" s="2"/>
    </row>
    <row r="1861" spans="2:4">
      <c r="B1861" s="2"/>
      <c r="C1861" s="2"/>
      <c r="D1861" s="2"/>
    </row>
    <row r="1862" spans="2:4">
      <c r="B1862" s="2"/>
      <c r="C1862" s="2"/>
      <c r="D1862" s="2"/>
    </row>
    <row r="1863" spans="2:4">
      <c r="B1863" s="2"/>
      <c r="C1863" s="2"/>
      <c r="D1863" s="2"/>
    </row>
    <row r="1864" spans="2:4">
      <c r="B1864" s="2"/>
      <c r="C1864" s="2"/>
      <c r="D1864" s="2"/>
    </row>
    <row r="1865" spans="2:4">
      <c r="B1865" s="2"/>
      <c r="C1865" s="2"/>
      <c r="D1865" s="2"/>
    </row>
    <row r="1866" spans="2:4">
      <c r="B1866" s="2"/>
      <c r="C1866" s="2"/>
      <c r="D1866" s="2"/>
    </row>
    <row r="1867" spans="2:4">
      <c r="B1867" s="2"/>
      <c r="C1867" s="2"/>
      <c r="D1867" s="2"/>
    </row>
    <row r="1868" spans="2:4">
      <c r="B1868" s="2"/>
      <c r="C1868" s="2"/>
      <c r="D1868" s="2"/>
    </row>
    <row r="1869" spans="2:4">
      <c r="B1869" s="2"/>
      <c r="C1869" s="2"/>
      <c r="D1869" s="2"/>
    </row>
    <row r="1870" spans="2:4">
      <c r="B1870" s="2"/>
      <c r="C1870" s="2"/>
      <c r="D1870" s="2"/>
    </row>
    <row r="1871" spans="2:4">
      <c r="B1871" s="2"/>
      <c r="C1871" s="2"/>
      <c r="D1871" s="2"/>
    </row>
    <row r="1872" spans="2:4">
      <c r="B1872" s="2"/>
      <c r="C1872" s="2"/>
      <c r="D1872" s="2"/>
    </row>
    <row r="1873" spans="2:4">
      <c r="B1873" s="2"/>
      <c r="C1873" s="2"/>
      <c r="D1873" s="2"/>
    </row>
    <row r="1874" spans="2:4">
      <c r="B1874" s="2"/>
      <c r="C1874" s="2"/>
      <c r="D1874" s="2"/>
    </row>
    <row r="1875" spans="2:4">
      <c r="B1875" s="2"/>
      <c r="C1875" s="2"/>
      <c r="D1875" s="2"/>
    </row>
    <row r="1876" spans="2:4">
      <c r="B1876" s="2"/>
      <c r="C1876" s="2"/>
      <c r="D1876" s="2"/>
    </row>
    <row r="1877" spans="2:4">
      <c r="B1877" s="2"/>
      <c r="C1877" s="2"/>
      <c r="D1877" s="2"/>
    </row>
    <row r="1878" spans="2:4">
      <c r="B1878" s="2"/>
      <c r="C1878" s="2"/>
      <c r="D1878" s="2"/>
    </row>
    <row r="1879" spans="2:4">
      <c r="B1879" s="2"/>
      <c r="C1879" s="2"/>
      <c r="D1879" s="2"/>
    </row>
    <row r="1880" spans="2:4">
      <c r="B1880" s="2"/>
      <c r="C1880" s="2"/>
      <c r="D1880" s="2"/>
    </row>
    <row r="1881" spans="2:4">
      <c r="B1881" s="2"/>
      <c r="C1881" s="2"/>
      <c r="D1881" s="2"/>
    </row>
    <row r="1882" spans="2:4">
      <c r="B1882" s="2"/>
      <c r="C1882" s="2"/>
      <c r="D1882" s="2"/>
    </row>
    <row r="1883" spans="2:4">
      <c r="B1883" s="2"/>
      <c r="C1883" s="2"/>
      <c r="D1883" s="2"/>
    </row>
    <row r="1884" spans="2:4">
      <c r="B1884" s="2"/>
      <c r="C1884" s="2"/>
      <c r="D1884" s="2"/>
    </row>
    <row r="1885" spans="2:4">
      <c r="B1885" s="2"/>
      <c r="C1885" s="2"/>
      <c r="D1885" s="2"/>
    </row>
    <row r="1886" spans="2:4">
      <c r="B1886" s="2"/>
      <c r="C1886" s="2"/>
      <c r="D1886" s="2"/>
    </row>
    <row r="1887" spans="2:4">
      <c r="B1887" s="2"/>
      <c r="C1887" s="2"/>
      <c r="D1887" s="2"/>
    </row>
    <row r="1888" spans="2:4">
      <c r="B1888" s="2"/>
      <c r="C1888" s="2"/>
      <c r="D1888" s="2"/>
    </row>
    <row r="1889" spans="2:4">
      <c r="B1889" s="2"/>
      <c r="C1889" s="2"/>
      <c r="D1889" s="2"/>
    </row>
    <row r="1890" spans="2:4">
      <c r="B1890" s="2"/>
      <c r="C1890" s="2"/>
      <c r="D1890" s="2"/>
    </row>
    <row r="1891" spans="2:4">
      <c r="B1891" s="2"/>
      <c r="C1891" s="2"/>
      <c r="D1891" s="2"/>
    </row>
    <row r="1892" spans="2:4">
      <c r="B1892" s="2"/>
      <c r="C1892" s="2"/>
      <c r="D1892" s="2"/>
    </row>
    <row r="1893" spans="2:4">
      <c r="B1893" s="2"/>
      <c r="C1893" s="2"/>
      <c r="D1893" s="2"/>
    </row>
    <row r="1894" spans="2:4">
      <c r="B1894" s="2"/>
      <c r="C1894" s="2"/>
      <c r="D1894" s="2"/>
    </row>
    <row r="1895" spans="2:4">
      <c r="B1895" s="2"/>
      <c r="C1895" s="2"/>
      <c r="D1895" s="2"/>
    </row>
    <row r="1896" spans="2:4">
      <c r="B1896" s="2"/>
      <c r="C1896" s="2"/>
      <c r="D1896" s="2"/>
    </row>
    <row r="1897" spans="2:4">
      <c r="B1897" s="2"/>
      <c r="C1897" s="2"/>
      <c r="D1897" s="2"/>
    </row>
    <row r="1898" spans="2:4">
      <c r="B1898" s="2"/>
      <c r="C1898" s="2"/>
      <c r="D1898" s="2"/>
    </row>
    <row r="1899" spans="2:4">
      <c r="B1899" s="2"/>
      <c r="C1899" s="2"/>
      <c r="D1899" s="2"/>
    </row>
    <row r="1900" spans="2:4">
      <c r="B1900" s="2"/>
      <c r="C1900" s="2"/>
      <c r="D1900" s="2"/>
    </row>
    <row r="1901" spans="2:4">
      <c r="B1901" s="2"/>
      <c r="C1901" s="2"/>
      <c r="D1901" s="2"/>
    </row>
    <row r="1902" spans="2:4">
      <c r="B1902" s="2"/>
      <c r="C1902" s="2"/>
      <c r="D1902" s="2"/>
    </row>
    <row r="1903" spans="2:4">
      <c r="B1903" s="2"/>
      <c r="C1903" s="2"/>
      <c r="D1903" s="2"/>
    </row>
    <row r="1904" spans="2:4">
      <c r="B1904" s="2"/>
      <c r="C1904" s="2"/>
      <c r="D1904" s="2"/>
    </row>
    <row r="1905" spans="2:4">
      <c r="B1905" s="2"/>
      <c r="C1905" s="2"/>
      <c r="D1905" s="2"/>
    </row>
    <row r="1906" spans="2:4">
      <c r="B1906" s="2"/>
      <c r="C1906" s="2"/>
      <c r="D1906" s="2"/>
    </row>
    <row r="1907" spans="2:4">
      <c r="B1907" s="2"/>
      <c r="C1907" s="2"/>
      <c r="D1907" s="2"/>
    </row>
    <row r="1908" spans="2:4">
      <c r="B1908" s="2"/>
      <c r="C1908" s="2"/>
      <c r="D1908" s="2"/>
    </row>
    <row r="1909" spans="2:4">
      <c r="B1909" s="2"/>
      <c r="C1909" s="2"/>
      <c r="D1909" s="2"/>
    </row>
    <row r="1910" spans="2:4">
      <c r="B1910" s="2"/>
      <c r="C1910" s="2"/>
      <c r="D1910" s="2"/>
    </row>
    <row r="1911" spans="2:4">
      <c r="B1911" s="2"/>
      <c r="C1911" s="2"/>
      <c r="D1911" s="2"/>
    </row>
    <row r="1912" spans="2:4">
      <c r="B1912" s="2"/>
      <c r="C1912" s="2"/>
      <c r="D1912" s="2"/>
    </row>
    <row r="1913" spans="2:4">
      <c r="B1913" s="2"/>
      <c r="C1913" s="2"/>
      <c r="D1913" s="2"/>
    </row>
    <row r="1914" spans="2:4">
      <c r="B1914" s="2"/>
      <c r="C1914" s="2"/>
      <c r="D1914" s="2"/>
    </row>
    <row r="1915" spans="2:4">
      <c r="B1915" s="2"/>
      <c r="C1915" s="2"/>
      <c r="D1915" s="2"/>
    </row>
    <row r="1916" spans="2:4">
      <c r="B1916" s="2"/>
      <c r="C1916" s="2"/>
      <c r="D1916" s="2"/>
    </row>
    <row r="1917" spans="2:4">
      <c r="B1917" s="2"/>
      <c r="C1917" s="2"/>
      <c r="D1917" s="2"/>
    </row>
    <row r="1918" spans="2:4">
      <c r="B1918" s="2"/>
      <c r="C1918" s="2"/>
      <c r="D1918" s="2"/>
    </row>
    <row r="1919" spans="2:4">
      <c r="B1919" s="2"/>
      <c r="C1919" s="2"/>
      <c r="D1919" s="2"/>
    </row>
    <row r="1920" spans="2:4">
      <c r="B1920" s="2"/>
      <c r="C1920" s="2"/>
      <c r="D1920" s="2"/>
    </row>
    <row r="1921" spans="2:4">
      <c r="B1921" s="2"/>
      <c r="C1921" s="2"/>
      <c r="D1921" s="2"/>
    </row>
    <row r="1922" spans="2:4">
      <c r="B1922" s="2"/>
      <c r="C1922" s="2"/>
      <c r="D1922" s="2"/>
    </row>
    <row r="1923" spans="2:4">
      <c r="B1923" s="2"/>
      <c r="C1923" s="2"/>
      <c r="D1923" s="2"/>
    </row>
    <row r="1924" spans="2:4">
      <c r="B1924" s="2"/>
      <c r="C1924" s="2"/>
      <c r="D1924" s="2"/>
    </row>
    <row r="1925" spans="2:4">
      <c r="B1925" s="2"/>
      <c r="C1925" s="2"/>
      <c r="D1925" s="2"/>
    </row>
    <row r="1926" spans="2:4">
      <c r="B1926" s="2"/>
      <c r="C1926" s="2"/>
      <c r="D1926" s="2"/>
    </row>
    <row r="1927" spans="2:4">
      <c r="B1927" s="2"/>
      <c r="C1927" s="2"/>
      <c r="D1927" s="2"/>
    </row>
    <row r="1928" spans="2:4">
      <c r="B1928" s="2"/>
      <c r="C1928" s="2"/>
      <c r="D1928" s="2"/>
    </row>
    <row r="1929" spans="2:4">
      <c r="B1929" s="2"/>
      <c r="C1929" s="2"/>
      <c r="D1929" s="2"/>
    </row>
    <row r="1930" spans="2:4">
      <c r="B1930" s="2"/>
      <c r="C1930" s="2"/>
      <c r="D1930" s="2"/>
    </row>
    <row r="1931" spans="2:4">
      <c r="B1931" s="2"/>
      <c r="C1931" s="2"/>
      <c r="D1931" s="2"/>
    </row>
    <row r="1932" spans="2:4">
      <c r="B1932" s="2"/>
      <c r="C1932" s="2"/>
      <c r="D1932" s="2"/>
    </row>
    <row r="1933" spans="2:4">
      <c r="B1933" s="2"/>
      <c r="C1933" s="2"/>
      <c r="D1933" s="2"/>
    </row>
    <row r="1934" spans="2:4">
      <c r="B1934" s="2"/>
      <c r="C1934" s="2"/>
      <c r="D1934" s="2"/>
    </row>
    <row r="1935" spans="2:4">
      <c r="B1935" s="2"/>
      <c r="C1935" s="2"/>
      <c r="D1935" s="2"/>
    </row>
    <row r="1936" spans="2:4">
      <c r="B1936" s="2"/>
      <c r="C1936" s="2"/>
      <c r="D1936" s="2"/>
    </row>
    <row r="1937" spans="2:4">
      <c r="B1937" s="2"/>
      <c r="C1937" s="2"/>
      <c r="D1937" s="2"/>
    </row>
    <row r="1938" spans="2:4">
      <c r="B1938" s="2"/>
      <c r="C1938" s="2"/>
      <c r="D1938" s="2"/>
    </row>
    <row r="1939" spans="2:4">
      <c r="B1939" s="2"/>
      <c r="C1939" s="2"/>
      <c r="D1939" s="2"/>
    </row>
    <row r="1940" spans="2:4">
      <c r="B1940" s="2"/>
      <c r="C1940" s="2"/>
      <c r="D1940" s="2"/>
    </row>
    <row r="1941" spans="2:4">
      <c r="B1941" s="2"/>
      <c r="C1941" s="2"/>
      <c r="D1941" s="2"/>
    </row>
    <row r="1942" spans="2:4">
      <c r="B1942" s="2"/>
      <c r="C1942" s="2"/>
      <c r="D1942" s="2"/>
    </row>
    <row r="1943" spans="2:4">
      <c r="B1943" s="2"/>
      <c r="C1943" s="2"/>
      <c r="D1943" s="2"/>
    </row>
    <row r="1944" spans="2:4">
      <c r="B1944" s="2"/>
      <c r="C1944" s="2"/>
      <c r="D1944" s="2"/>
    </row>
    <row r="1945" spans="2:4">
      <c r="B1945" s="2"/>
      <c r="C1945" s="2"/>
      <c r="D1945" s="2"/>
    </row>
    <row r="1946" spans="2:4">
      <c r="B1946" s="2"/>
      <c r="C1946" s="2"/>
      <c r="D1946" s="2"/>
    </row>
    <row r="1947" spans="2:4">
      <c r="B1947" s="2"/>
      <c r="C1947" s="2"/>
      <c r="D1947" s="2"/>
    </row>
    <row r="1948" spans="2:4">
      <c r="B1948" s="2"/>
      <c r="C1948" s="2"/>
      <c r="D1948" s="2"/>
    </row>
    <row r="1949" spans="2:4">
      <c r="B1949" s="2"/>
      <c r="C1949" s="2"/>
      <c r="D1949" s="2"/>
    </row>
    <row r="1950" spans="2:4">
      <c r="B1950" s="2"/>
      <c r="C1950" s="2"/>
      <c r="D1950" s="2"/>
    </row>
    <row r="1951" spans="2:4">
      <c r="B1951" s="2"/>
      <c r="C1951" s="2"/>
      <c r="D1951" s="2"/>
    </row>
    <row r="1952" spans="2:4">
      <c r="B1952" s="2"/>
      <c r="C1952" s="2"/>
      <c r="D1952" s="2"/>
    </row>
    <row r="1953" spans="2:4">
      <c r="B1953" s="2"/>
      <c r="C1953" s="2"/>
      <c r="D1953" s="2"/>
    </row>
    <row r="1954" spans="2:4">
      <c r="B1954" s="2"/>
      <c r="C1954" s="2"/>
      <c r="D1954" s="2"/>
    </row>
    <row r="1955" spans="2:4">
      <c r="B1955" s="2"/>
      <c r="C1955" s="2"/>
      <c r="D1955" s="2"/>
    </row>
    <row r="1956" spans="2:4">
      <c r="B1956" s="2"/>
      <c r="C1956" s="2"/>
      <c r="D1956" s="2"/>
    </row>
    <row r="1957" spans="2:4">
      <c r="B1957" s="2"/>
      <c r="C1957" s="2"/>
      <c r="D1957" s="2"/>
    </row>
    <row r="1958" spans="2:4">
      <c r="B1958" s="2"/>
      <c r="C1958" s="2"/>
      <c r="D1958" s="2"/>
    </row>
    <row r="1959" spans="2:4">
      <c r="B1959" s="2"/>
      <c r="C1959" s="2"/>
      <c r="D1959" s="2"/>
    </row>
    <row r="1960" spans="2:4">
      <c r="B1960" s="2"/>
      <c r="C1960" s="2"/>
      <c r="D1960" s="2"/>
    </row>
    <row r="1961" spans="2:4">
      <c r="B1961" s="2"/>
      <c r="C1961" s="2"/>
      <c r="D1961" s="2"/>
    </row>
    <row r="1962" spans="2:4">
      <c r="B1962" s="2"/>
      <c r="C1962" s="2"/>
      <c r="D1962" s="2"/>
    </row>
    <row r="1963" spans="2:4">
      <c r="B1963" s="2"/>
      <c r="C1963" s="2"/>
      <c r="D1963" s="2"/>
    </row>
    <row r="1964" spans="2:4">
      <c r="B1964" s="2"/>
      <c r="C1964" s="2"/>
      <c r="D1964" s="2"/>
    </row>
    <row r="1965" spans="2:4">
      <c r="B1965" s="2"/>
      <c r="C1965" s="2"/>
      <c r="D1965" s="2"/>
    </row>
    <row r="1966" spans="2:4">
      <c r="B1966" s="2"/>
      <c r="C1966" s="2"/>
      <c r="D1966" s="2"/>
    </row>
    <row r="1967" spans="2:4">
      <c r="B1967" s="2"/>
      <c r="C1967" s="2"/>
      <c r="D1967" s="2"/>
    </row>
    <row r="1968" spans="2:4">
      <c r="B1968" s="2"/>
      <c r="C1968" s="2"/>
      <c r="D1968" s="2"/>
    </row>
    <row r="1969" spans="2:4">
      <c r="B1969" s="2"/>
      <c r="C1969" s="2"/>
      <c r="D1969" s="2"/>
    </row>
    <row r="1970" spans="2:4">
      <c r="B1970" s="2"/>
      <c r="C1970" s="2"/>
      <c r="D1970" s="2"/>
    </row>
    <row r="1971" spans="2:4">
      <c r="B1971" s="2"/>
      <c r="C1971" s="2"/>
      <c r="D1971" s="2"/>
    </row>
    <row r="1972" spans="2:4">
      <c r="B1972" s="2"/>
      <c r="C1972" s="2"/>
      <c r="D1972" s="2"/>
    </row>
    <row r="1973" spans="2:4">
      <c r="B1973" s="2"/>
      <c r="C1973" s="2"/>
      <c r="D1973" s="2"/>
    </row>
    <row r="1974" spans="2:4">
      <c r="B1974" s="2"/>
      <c r="C1974" s="2"/>
      <c r="D1974" s="2"/>
    </row>
    <row r="1975" spans="2:4">
      <c r="B1975" s="2"/>
      <c r="C1975" s="2"/>
      <c r="D1975" s="2"/>
    </row>
    <row r="1976" spans="2:4">
      <c r="B1976" s="2"/>
      <c r="C1976" s="2"/>
      <c r="D1976" s="2"/>
    </row>
    <row r="1977" spans="2:4">
      <c r="B1977" s="2"/>
      <c r="C1977" s="2"/>
      <c r="D1977" s="2"/>
    </row>
    <row r="1978" spans="2:4">
      <c r="B1978" s="2"/>
      <c r="C1978" s="2"/>
      <c r="D1978" s="2"/>
    </row>
    <row r="1979" spans="2:4">
      <c r="B1979" s="2"/>
      <c r="C1979" s="2"/>
      <c r="D1979" s="2"/>
    </row>
    <row r="1980" spans="2:4">
      <c r="B1980" s="2"/>
      <c r="C1980" s="2"/>
      <c r="D1980" s="2"/>
    </row>
    <row r="1981" spans="2:4">
      <c r="B1981" s="2"/>
      <c r="C1981" s="2"/>
      <c r="D1981" s="2"/>
    </row>
    <row r="1982" spans="2:4">
      <c r="B1982" s="2"/>
      <c r="C1982" s="2"/>
      <c r="D1982" s="2"/>
    </row>
    <row r="1983" spans="2:4">
      <c r="B1983" s="2"/>
      <c r="C1983" s="2"/>
      <c r="D1983" s="2"/>
    </row>
    <row r="1984" spans="2:4">
      <c r="B1984" s="2"/>
      <c r="C1984" s="2"/>
      <c r="D1984" s="2"/>
    </row>
    <row r="1985" spans="2:4">
      <c r="B1985" s="2"/>
      <c r="C1985" s="2"/>
      <c r="D1985" s="2"/>
    </row>
    <row r="1986" spans="2:4">
      <c r="B1986" s="2"/>
      <c r="C1986" s="2"/>
      <c r="D1986" s="2"/>
    </row>
    <row r="1987" spans="2:4">
      <c r="B1987" s="2"/>
      <c r="C1987" s="2"/>
      <c r="D1987" s="2"/>
    </row>
    <row r="1988" spans="2:4">
      <c r="B1988" s="2"/>
      <c r="C1988" s="2"/>
      <c r="D1988" s="2"/>
    </row>
    <row r="1989" spans="2:4">
      <c r="B1989" s="2"/>
      <c r="C1989" s="2"/>
      <c r="D1989" s="2"/>
    </row>
    <row r="1990" spans="2:4">
      <c r="B1990" s="2"/>
      <c r="C1990" s="2"/>
      <c r="D1990" s="2"/>
    </row>
    <row r="1991" spans="2:4">
      <c r="B1991" s="2"/>
      <c r="C1991" s="2"/>
      <c r="D1991" s="2"/>
    </row>
    <row r="1992" spans="2:4">
      <c r="B1992" s="2"/>
      <c r="C1992" s="2"/>
      <c r="D1992" s="2"/>
    </row>
    <row r="1993" spans="2:4">
      <c r="B1993" s="2"/>
      <c r="C1993" s="2"/>
      <c r="D1993" s="2"/>
    </row>
    <row r="1994" spans="2:4">
      <c r="B1994" s="2"/>
      <c r="C1994" s="2"/>
      <c r="D1994" s="2"/>
    </row>
    <row r="1995" spans="2:4">
      <c r="B1995" s="2"/>
      <c r="C1995" s="2"/>
      <c r="D1995" s="2"/>
    </row>
    <row r="1996" spans="2:4">
      <c r="B1996" s="2"/>
      <c r="C1996" s="2"/>
      <c r="D1996" s="2"/>
    </row>
    <row r="1997" spans="2:4">
      <c r="B1997" s="2"/>
      <c r="C1997" s="2"/>
      <c r="D1997" s="2"/>
    </row>
    <row r="1998" spans="2:4">
      <c r="B1998" s="2"/>
      <c r="C1998" s="2"/>
      <c r="D1998" s="2"/>
    </row>
    <row r="1999" spans="2:4">
      <c r="B1999" s="2"/>
      <c r="C1999" s="2"/>
      <c r="D1999" s="2"/>
    </row>
    <row r="2000" spans="2:4">
      <c r="B2000" s="2"/>
      <c r="C2000" s="2"/>
      <c r="D2000" s="2"/>
    </row>
    <row r="2001" spans="2:4">
      <c r="B2001" s="2"/>
      <c r="C2001" s="2"/>
      <c r="D2001" s="2"/>
    </row>
    <row r="2002" spans="2:4">
      <c r="B2002" s="2"/>
      <c r="C2002" s="2"/>
      <c r="D2002" s="2"/>
    </row>
    <row r="2003" spans="2:4">
      <c r="B2003" s="2"/>
      <c r="C2003" s="2"/>
      <c r="D2003" s="2"/>
    </row>
    <row r="2004" spans="2:4">
      <c r="B2004" s="2"/>
      <c r="C2004" s="2"/>
      <c r="D2004" s="2"/>
    </row>
    <row r="2005" spans="2:4">
      <c r="B2005" s="2"/>
      <c r="C2005" s="2"/>
      <c r="D2005" s="2"/>
    </row>
    <row r="2006" spans="2:4">
      <c r="B2006" s="2"/>
      <c r="C2006" s="2"/>
      <c r="D2006" s="2"/>
    </row>
    <row r="2007" spans="2:4">
      <c r="B2007" s="2"/>
      <c r="C2007" s="2"/>
      <c r="D2007" s="2"/>
    </row>
    <row r="2008" spans="2:4">
      <c r="B2008" s="2"/>
      <c r="C2008" s="2"/>
      <c r="D2008" s="2"/>
    </row>
    <row r="2009" spans="2:4">
      <c r="B2009" s="2"/>
      <c r="C2009" s="2"/>
      <c r="D2009" s="2"/>
    </row>
    <row r="2010" spans="2:4">
      <c r="B2010" s="2"/>
      <c r="C2010" s="2"/>
      <c r="D2010" s="2"/>
    </row>
    <row r="2011" spans="2:4">
      <c r="B2011" s="2"/>
      <c r="C2011" s="2"/>
      <c r="D2011" s="2"/>
    </row>
    <row r="2012" spans="2:4">
      <c r="B2012" s="2"/>
      <c r="C2012" s="2"/>
      <c r="D2012" s="2"/>
    </row>
    <row r="2013" spans="2:4">
      <c r="B2013" s="2"/>
      <c r="C2013" s="2"/>
      <c r="D2013" s="2"/>
    </row>
    <row r="2014" spans="2:4">
      <c r="B2014" s="2"/>
      <c r="C2014" s="2"/>
      <c r="D2014" s="2"/>
    </row>
    <row r="2015" spans="2:4">
      <c r="B2015" s="2"/>
      <c r="C2015" s="2"/>
      <c r="D2015" s="2"/>
    </row>
    <row r="2016" spans="2:4">
      <c r="B2016" s="2"/>
      <c r="C2016" s="2"/>
      <c r="D2016" s="2"/>
    </row>
    <row r="2017" spans="2:4">
      <c r="B2017" s="2"/>
      <c r="C2017" s="2"/>
      <c r="D2017" s="2"/>
    </row>
    <row r="2018" spans="2:4">
      <c r="B2018" s="2"/>
      <c r="C2018" s="2"/>
      <c r="D2018" s="2"/>
    </row>
    <row r="2019" spans="2:4">
      <c r="B2019" s="2"/>
      <c r="C2019" s="2"/>
      <c r="D2019" s="2"/>
    </row>
    <row r="2020" spans="2:4">
      <c r="B2020" s="2"/>
      <c r="C2020" s="2"/>
      <c r="D2020" s="2"/>
    </row>
    <row r="2021" spans="2:4">
      <c r="B2021" s="2"/>
      <c r="C2021" s="2"/>
      <c r="D2021" s="2"/>
    </row>
    <row r="2022" spans="2:4">
      <c r="B2022" s="2"/>
      <c r="C2022" s="2"/>
      <c r="D2022" s="2"/>
    </row>
    <row r="2023" spans="2:4">
      <c r="B2023" s="2"/>
      <c r="C2023" s="2"/>
      <c r="D2023" s="2"/>
    </row>
    <row r="2024" spans="2:4">
      <c r="B2024" s="2"/>
      <c r="C2024" s="2"/>
      <c r="D2024" s="2"/>
    </row>
    <row r="2025" spans="2:4">
      <c r="B2025" s="2"/>
      <c r="C2025" s="2"/>
      <c r="D2025" s="2"/>
    </row>
    <row r="2026" spans="2:4">
      <c r="B2026" s="2"/>
      <c r="C2026" s="2"/>
      <c r="D2026" s="2"/>
    </row>
    <row r="2027" spans="2:4">
      <c r="B2027" s="2"/>
      <c r="C2027" s="2"/>
      <c r="D2027" s="2"/>
    </row>
    <row r="2028" spans="2:4">
      <c r="B2028" s="2"/>
      <c r="C2028" s="2"/>
      <c r="D2028" s="2"/>
    </row>
    <row r="2029" spans="2:4">
      <c r="B2029" s="2"/>
      <c r="C2029" s="2"/>
      <c r="D2029" s="2"/>
    </row>
    <row r="2030" spans="2:4">
      <c r="B2030" s="2"/>
      <c r="C2030" s="2"/>
      <c r="D2030" s="2"/>
    </row>
    <row r="2031" spans="2:4">
      <c r="B2031" s="2"/>
      <c r="C2031" s="2"/>
      <c r="D2031" s="2"/>
    </row>
    <row r="2032" spans="2:4">
      <c r="B2032" s="2"/>
      <c r="C2032" s="2"/>
      <c r="D2032" s="2"/>
    </row>
    <row r="2033" spans="2:4">
      <c r="B2033" s="2"/>
      <c r="C2033" s="2"/>
      <c r="D2033" s="2"/>
    </row>
    <row r="2034" spans="2:4">
      <c r="B2034" s="2"/>
      <c r="C2034" s="2"/>
      <c r="D2034" s="2"/>
    </row>
    <row r="2035" spans="2:4">
      <c r="B2035" s="2"/>
      <c r="C2035" s="2"/>
      <c r="D2035" s="2"/>
    </row>
    <row r="2036" spans="2:4">
      <c r="B2036" s="2"/>
      <c r="C2036" s="2"/>
      <c r="D2036" s="2"/>
    </row>
    <row r="2037" spans="2:4">
      <c r="B2037" s="2"/>
      <c r="C2037" s="2"/>
      <c r="D2037" s="2"/>
    </row>
    <row r="2038" spans="2:4">
      <c r="B2038" s="2"/>
      <c r="C2038" s="2"/>
      <c r="D2038" s="2"/>
    </row>
    <row r="2039" spans="2:4">
      <c r="B2039" s="2"/>
      <c r="C2039" s="2"/>
      <c r="D2039" s="2"/>
    </row>
    <row r="2040" spans="2:4">
      <c r="B2040" s="2"/>
      <c r="C2040" s="2"/>
      <c r="D2040" s="2"/>
    </row>
    <row r="2041" spans="2:4">
      <c r="B2041" s="2"/>
      <c r="C2041" s="2"/>
      <c r="D2041" s="2"/>
    </row>
    <row r="2042" spans="2:4">
      <c r="B2042" s="2"/>
      <c r="C2042" s="2"/>
      <c r="D2042" s="2"/>
    </row>
    <row r="2043" spans="2:4">
      <c r="B2043" s="2"/>
      <c r="C2043" s="2"/>
      <c r="D2043" s="2"/>
    </row>
    <row r="2044" spans="2:4">
      <c r="B2044" s="2"/>
      <c r="C2044" s="2"/>
      <c r="D2044" s="2"/>
    </row>
    <row r="2045" spans="2:4">
      <c r="B2045" s="2"/>
      <c r="C2045" s="2"/>
      <c r="D2045" s="2"/>
    </row>
    <row r="2046" spans="2:4">
      <c r="B2046" s="2"/>
      <c r="C2046" s="2"/>
      <c r="D2046" s="2"/>
    </row>
    <row r="2047" spans="2:4">
      <c r="B2047" s="2"/>
      <c r="C2047" s="2"/>
      <c r="D2047" s="2"/>
    </row>
    <row r="2048" spans="2:4">
      <c r="B2048" s="2"/>
      <c r="C2048" s="2"/>
      <c r="D2048" s="2"/>
    </row>
    <row r="2049" spans="2:4">
      <c r="B2049" s="2"/>
      <c r="C2049" s="2"/>
      <c r="D2049" s="2"/>
    </row>
    <row r="2050" spans="2:4">
      <c r="B2050" s="2"/>
      <c r="C2050" s="2"/>
      <c r="D2050" s="2"/>
    </row>
    <row r="2051" spans="2:4">
      <c r="B2051" s="2"/>
      <c r="C2051" s="2"/>
      <c r="D2051" s="2"/>
    </row>
    <row r="2052" spans="2:4">
      <c r="B2052" s="2"/>
      <c r="C2052" s="2"/>
      <c r="D2052" s="2"/>
    </row>
    <row r="2053" spans="2:4">
      <c r="B2053" s="2"/>
      <c r="C2053" s="2"/>
      <c r="D2053" s="2"/>
    </row>
    <row r="2054" spans="2:4">
      <c r="B2054" s="2"/>
      <c r="C2054" s="2"/>
      <c r="D2054" s="2"/>
    </row>
    <row r="2055" spans="2:4">
      <c r="B2055" s="2"/>
      <c r="C2055" s="2"/>
      <c r="D2055" s="2"/>
    </row>
    <row r="2056" spans="2:4">
      <c r="B2056" s="2"/>
      <c r="C2056" s="2"/>
      <c r="D2056" s="2"/>
    </row>
    <row r="2057" spans="2:4">
      <c r="B2057" s="2"/>
      <c r="C2057" s="2"/>
      <c r="D2057" s="2"/>
    </row>
    <row r="2058" spans="2:4">
      <c r="B2058" s="2"/>
      <c r="C2058" s="2"/>
      <c r="D2058" s="2"/>
    </row>
    <row r="2059" spans="2:4">
      <c r="B2059" s="2"/>
      <c r="C2059" s="2"/>
      <c r="D2059" s="2"/>
    </row>
    <row r="2060" spans="2:4">
      <c r="B2060" s="2"/>
      <c r="C2060" s="2"/>
      <c r="D2060" s="2"/>
    </row>
    <row r="2061" spans="2:4">
      <c r="B2061" s="2"/>
      <c r="C2061" s="2"/>
      <c r="D2061" s="2"/>
    </row>
    <row r="2062" spans="2:4">
      <c r="B2062" s="2"/>
      <c r="C2062" s="2"/>
      <c r="D2062" s="2"/>
    </row>
    <row r="2063" spans="2:4">
      <c r="B2063" s="2"/>
      <c r="C2063" s="2"/>
      <c r="D2063" s="2"/>
    </row>
    <row r="2064" spans="2:4">
      <c r="B2064" s="2"/>
      <c r="C2064" s="2"/>
      <c r="D2064" s="2"/>
    </row>
    <row r="2065" spans="2:4">
      <c r="B2065" s="2"/>
      <c r="C2065" s="2"/>
      <c r="D2065" s="2"/>
    </row>
    <row r="2066" spans="2:4">
      <c r="B2066" s="2"/>
      <c r="C2066" s="2"/>
      <c r="D2066" s="2"/>
    </row>
    <row r="2067" spans="2:4">
      <c r="B2067" s="2"/>
      <c r="C2067" s="2"/>
      <c r="D2067" s="2"/>
    </row>
    <row r="2068" spans="2:4">
      <c r="B2068" s="2"/>
      <c r="C2068" s="2"/>
      <c r="D2068" s="2"/>
    </row>
    <row r="2069" spans="2:4">
      <c r="B2069" s="2"/>
      <c r="C2069" s="2"/>
      <c r="D2069" s="2"/>
    </row>
    <row r="2070" spans="2:4">
      <c r="B2070" s="2"/>
      <c r="C2070" s="2"/>
      <c r="D2070" s="2"/>
    </row>
    <row r="2071" spans="2:4">
      <c r="B2071" s="2"/>
      <c r="C2071" s="2"/>
      <c r="D2071" s="2"/>
    </row>
    <row r="2072" spans="2:4">
      <c r="B2072" s="2"/>
      <c r="C2072" s="2"/>
      <c r="D2072" s="2"/>
    </row>
    <row r="2073" spans="2:4">
      <c r="B2073" s="2"/>
      <c r="C2073" s="2"/>
      <c r="D2073" s="2"/>
    </row>
    <row r="2074" spans="2:4">
      <c r="B2074" s="2"/>
      <c r="C2074" s="2"/>
      <c r="D2074" s="2"/>
    </row>
    <row r="2075" spans="2:4">
      <c r="B2075" s="2"/>
      <c r="C2075" s="2"/>
      <c r="D2075" s="2"/>
    </row>
    <row r="2076" spans="2:4">
      <c r="B2076" s="2"/>
      <c r="C2076" s="2"/>
      <c r="D2076" s="2"/>
    </row>
    <row r="2077" spans="2:4">
      <c r="B2077" s="2"/>
      <c r="C2077" s="2"/>
      <c r="D2077" s="2"/>
    </row>
    <row r="2078" spans="2:4">
      <c r="B2078" s="2"/>
      <c r="C2078" s="2"/>
      <c r="D2078" s="2"/>
    </row>
    <row r="2079" spans="2:4">
      <c r="B2079" s="2"/>
      <c r="C2079" s="2"/>
      <c r="D2079" s="2"/>
    </row>
    <row r="2080" spans="2:4">
      <c r="B2080" s="2"/>
      <c r="C2080" s="2"/>
      <c r="D2080" s="2"/>
    </row>
    <row r="2081" spans="2:4">
      <c r="B2081" s="2"/>
      <c r="C2081" s="2"/>
      <c r="D2081" s="2"/>
    </row>
    <row r="2082" spans="2:4">
      <c r="B2082" s="2"/>
      <c r="C2082" s="2"/>
      <c r="D2082" s="2"/>
    </row>
    <row r="2083" spans="2:4">
      <c r="B2083" s="2"/>
      <c r="C2083" s="2"/>
      <c r="D2083" s="2"/>
    </row>
    <row r="2084" spans="2:4">
      <c r="B2084" s="2"/>
      <c r="C2084" s="2"/>
      <c r="D2084" s="2"/>
    </row>
    <row r="2085" spans="2:4">
      <c r="B2085" s="2"/>
      <c r="C2085" s="2"/>
      <c r="D2085" s="2"/>
    </row>
    <row r="2086" spans="2:4">
      <c r="B2086" s="2"/>
      <c r="C2086" s="2"/>
      <c r="D2086" s="2"/>
    </row>
    <row r="2087" spans="2:4">
      <c r="B2087" s="2"/>
      <c r="C2087" s="2"/>
      <c r="D2087" s="2"/>
    </row>
    <row r="2088" spans="2:4">
      <c r="B2088" s="2"/>
      <c r="C2088" s="2"/>
      <c r="D2088" s="2"/>
    </row>
    <row r="2089" spans="2:4">
      <c r="B2089" s="2"/>
      <c r="C2089" s="2"/>
      <c r="D2089" s="2"/>
    </row>
    <row r="2090" spans="2:4">
      <c r="B2090" s="2"/>
      <c r="C2090" s="2"/>
      <c r="D2090" s="2"/>
    </row>
    <row r="2091" spans="2:4">
      <c r="B2091" s="2"/>
      <c r="C2091" s="2"/>
      <c r="D2091" s="2"/>
    </row>
    <row r="2092" spans="2:4">
      <c r="B2092" s="2"/>
      <c r="C2092" s="2"/>
      <c r="D2092" s="2"/>
    </row>
    <row r="2093" spans="2:4">
      <c r="B2093" s="2"/>
      <c r="C2093" s="2"/>
      <c r="D2093" s="2"/>
    </row>
    <row r="2094" spans="2:4">
      <c r="B2094" s="2"/>
      <c r="C2094" s="2"/>
      <c r="D2094" s="2"/>
    </row>
    <row r="2095" spans="2:4">
      <c r="B2095" s="2"/>
      <c r="C2095" s="2"/>
      <c r="D2095" s="2"/>
    </row>
    <row r="2096" spans="2:4">
      <c r="B2096" s="2"/>
      <c r="C2096" s="2"/>
      <c r="D2096" s="2"/>
    </row>
    <row r="2097" spans="2:4">
      <c r="B2097" s="2"/>
      <c r="C2097" s="2"/>
      <c r="D2097" s="2"/>
    </row>
    <row r="2098" spans="2:4">
      <c r="B2098" s="2"/>
      <c r="C2098" s="2"/>
      <c r="D2098" s="2"/>
    </row>
    <row r="2099" spans="2:4">
      <c r="B2099" s="2"/>
      <c r="C2099" s="2"/>
      <c r="D2099" s="2"/>
    </row>
    <row r="2100" spans="2:4">
      <c r="B2100" s="2"/>
      <c r="C2100" s="2"/>
      <c r="D2100" s="2"/>
    </row>
    <row r="2101" spans="2:4">
      <c r="B2101" s="2"/>
      <c r="C2101" s="2"/>
      <c r="D2101" s="2"/>
    </row>
    <row r="2102" spans="2:4">
      <c r="B2102" s="2"/>
      <c r="C2102" s="2"/>
      <c r="D2102" s="2"/>
    </row>
    <row r="2103" spans="2:4">
      <c r="B2103" s="2"/>
      <c r="C2103" s="2"/>
      <c r="D2103" s="2"/>
    </row>
    <row r="2104" spans="2:4">
      <c r="B2104" s="2"/>
      <c r="C2104" s="2"/>
      <c r="D2104" s="2"/>
    </row>
    <row r="2105" spans="2:4">
      <c r="B2105" s="2"/>
      <c r="C2105" s="2"/>
      <c r="D2105" s="2"/>
    </row>
    <row r="2106" spans="2:4">
      <c r="B2106" s="2"/>
      <c r="C2106" s="2"/>
      <c r="D2106" s="2"/>
    </row>
    <row r="2107" spans="2:4">
      <c r="B2107" s="2"/>
      <c r="C2107" s="2"/>
      <c r="D2107" s="2"/>
    </row>
    <row r="2108" spans="2:4">
      <c r="B2108" s="2"/>
      <c r="C2108" s="2"/>
      <c r="D2108" s="2"/>
    </row>
    <row r="2109" spans="2:4">
      <c r="B2109" s="2"/>
      <c r="C2109" s="2"/>
      <c r="D2109" s="2"/>
    </row>
    <row r="2110" spans="2:4">
      <c r="B2110" s="2"/>
      <c r="C2110" s="2"/>
      <c r="D2110" s="2"/>
    </row>
    <row r="2111" spans="2:4">
      <c r="B2111" s="2"/>
      <c r="C2111" s="2"/>
      <c r="D2111" s="2"/>
    </row>
    <row r="2112" spans="2:4">
      <c r="B2112" s="2"/>
      <c r="C2112" s="2"/>
      <c r="D2112" s="2"/>
    </row>
    <row r="2113" spans="2:4">
      <c r="B2113" s="2"/>
      <c r="C2113" s="2"/>
      <c r="D2113" s="2"/>
    </row>
    <row r="2114" spans="2:4">
      <c r="B2114" s="2"/>
      <c r="C2114" s="2"/>
      <c r="D2114" s="2"/>
    </row>
    <row r="2115" spans="2:4">
      <c r="B2115" s="2"/>
      <c r="C2115" s="2"/>
      <c r="D2115" s="2"/>
    </row>
    <row r="2116" spans="2:4">
      <c r="B2116" s="2"/>
      <c r="C2116" s="2"/>
      <c r="D2116" s="2"/>
    </row>
    <row r="2117" spans="2:4">
      <c r="B2117" s="2"/>
      <c r="C2117" s="2"/>
      <c r="D2117" s="2"/>
    </row>
    <row r="2118" spans="2:4">
      <c r="B2118" s="2"/>
      <c r="C2118" s="2"/>
      <c r="D2118" s="2"/>
    </row>
    <row r="2119" spans="2:4">
      <c r="B2119" s="2"/>
      <c r="C2119" s="2"/>
      <c r="D2119" s="2"/>
    </row>
    <row r="2120" spans="2:4">
      <c r="B2120" s="2"/>
      <c r="C2120" s="2"/>
      <c r="D2120" s="2"/>
    </row>
    <row r="2121" spans="2:4">
      <c r="B2121" s="2"/>
      <c r="C2121" s="2"/>
      <c r="D2121" s="2"/>
    </row>
    <row r="2122" spans="2:4">
      <c r="B2122" s="2"/>
      <c r="C2122" s="2"/>
      <c r="D2122" s="2"/>
    </row>
    <row r="2123" spans="2:4">
      <c r="B2123" s="2"/>
      <c r="C2123" s="2"/>
      <c r="D2123" s="2"/>
    </row>
    <row r="2124" spans="2:4">
      <c r="B2124" s="2"/>
      <c r="C2124" s="2"/>
      <c r="D2124" s="2"/>
    </row>
    <row r="2125" spans="2:4">
      <c r="B2125" s="2"/>
      <c r="C2125" s="2"/>
      <c r="D2125" s="2"/>
    </row>
    <row r="2126" spans="2:4">
      <c r="B2126" s="2"/>
      <c r="C2126" s="2"/>
      <c r="D2126" s="2"/>
    </row>
    <row r="2127" spans="2:4">
      <c r="B2127" s="2"/>
      <c r="C2127" s="2"/>
      <c r="D2127" s="2"/>
    </row>
    <row r="2128" spans="2:4">
      <c r="B2128" s="2"/>
      <c r="C2128" s="2"/>
      <c r="D2128" s="2"/>
    </row>
    <row r="2129" spans="2:4">
      <c r="B2129" s="2"/>
      <c r="C2129" s="2"/>
      <c r="D2129" s="2"/>
    </row>
    <row r="2130" spans="2:4">
      <c r="B2130" s="2"/>
      <c r="C2130" s="2"/>
      <c r="D2130" s="2"/>
    </row>
    <row r="2131" spans="2:4">
      <c r="B2131" s="2"/>
      <c r="C2131" s="2"/>
      <c r="D2131" s="2"/>
    </row>
    <row r="2132" spans="2:4">
      <c r="B2132" s="2"/>
      <c r="C2132" s="2"/>
      <c r="D2132" s="2"/>
    </row>
    <row r="2133" spans="2:4">
      <c r="B2133" s="2"/>
      <c r="C2133" s="2"/>
      <c r="D2133" s="2"/>
    </row>
    <row r="2134" spans="2:4">
      <c r="B2134" s="2"/>
      <c r="C2134" s="2"/>
      <c r="D2134" s="2"/>
    </row>
    <row r="2135" spans="2:4">
      <c r="B2135" s="2"/>
      <c r="C2135" s="2"/>
      <c r="D2135" s="2"/>
    </row>
    <row r="2136" spans="2:4">
      <c r="B2136" s="2"/>
      <c r="C2136" s="2"/>
      <c r="D2136" s="2"/>
    </row>
    <row r="2137" spans="2:4">
      <c r="B2137" s="2"/>
      <c r="C2137" s="2"/>
      <c r="D2137" s="2"/>
    </row>
    <row r="2138" spans="2:4">
      <c r="B2138" s="2"/>
      <c r="C2138" s="2"/>
      <c r="D2138" s="2"/>
    </row>
    <row r="2139" spans="2:4">
      <c r="B2139" s="2"/>
      <c r="C2139" s="2"/>
      <c r="D2139" s="2"/>
    </row>
    <row r="2140" spans="2:4">
      <c r="B2140" s="2"/>
      <c r="C2140" s="2"/>
      <c r="D2140" s="2"/>
    </row>
    <row r="2141" spans="2:4">
      <c r="B2141" s="2"/>
      <c r="C2141" s="2"/>
      <c r="D2141" s="2"/>
    </row>
    <row r="2142" spans="2:4">
      <c r="B2142" s="2"/>
      <c r="C2142" s="2"/>
      <c r="D2142" s="2"/>
    </row>
    <row r="2143" spans="2:4">
      <c r="B2143" s="2"/>
      <c r="C2143" s="2"/>
      <c r="D2143" s="2"/>
    </row>
    <row r="2144" spans="2:4">
      <c r="B2144" s="2"/>
      <c r="C2144" s="2"/>
      <c r="D2144" s="2"/>
    </row>
    <row r="2145" spans="2:4">
      <c r="B2145" s="2"/>
      <c r="C2145" s="2"/>
      <c r="D2145" s="2"/>
    </row>
    <row r="2146" spans="2:4">
      <c r="B2146" s="2"/>
      <c r="C2146" s="2"/>
      <c r="D2146" s="2"/>
    </row>
    <row r="2147" spans="2:4">
      <c r="B2147" s="2"/>
      <c r="C2147" s="2"/>
      <c r="D2147" s="2"/>
    </row>
    <row r="2148" spans="2:4">
      <c r="B2148" s="2"/>
      <c r="C2148" s="2"/>
      <c r="D2148" s="2"/>
    </row>
    <row r="2149" spans="2:4">
      <c r="B2149" s="2"/>
      <c r="C2149" s="2"/>
      <c r="D2149" s="2"/>
    </row>
    <row r="2150" spans="2:4">
      <c r="B2150" s="2"/>
      <c r="C2150" s="2"/>
      <c r="D2150" s="2"/>
    </row>
    <row r="2151" spans="2:4">
      <c r="B2151" s="2"/>
      <c r="C2151" s="2"/>
      <c r="D2151" s="2"/>
    </row>
    <row r="2152" spans="2:4">
      <c r="B2152" s="2"/>
      <c r="C2152" s="2"/>
      <c r="D2152" s="2"/>
    </row>
    <row r="2153" spans="2:4">
      <c r="B2153" s="2"/>
      <c r="C2153" s="2"/>
      <c r="D2153" s="2"/>
    </row>
    <row r="2154" spans="2:4">
      <c r="B2154" s="2"/>
      <c r="C2154" s="2"/>
      <c r="D2154" s="2"/>
    </row>
    <row r="2155" spans="2:4">
      <c r="B2155" s="2"/>
      <c r="C2155" s="2"/>
      <c r="D2155" s="2"/>
    </row>
    <row r="2156" spans="2:4">
      <c r="B2156" s="2"/>
      <c r="C2156" s="2"/>
      <c r="D2156" s="2"/>
    </row>
    <row r="2157" spans="2:4">
      <c r="B2157" s="2"/>
      <c r="C2157" s="2"/>
      <c r="D2157" s="2"/>
    </row>
    <row r="2158" spans="2:4">
      <c r="B2158" s="2"/>
      <c r="C2158" s="2"/>
      <c r="D2158" s="2"/>
    </row>
    <row r="2159" spans="2:4">
      <c r="B2159" s="2"/>
      <c r="C2159" s="2"/>
      <c r="D2159" s="2"/>
    </row>
    <row r="2160" spans="2:4">
      <c r="B2160" s="2"/>
      <c r="C2160" s="2"/>
      <c r="D2160" s="2"/>
    </row>
    <row r="2161" spans="2:4">
      <c r="B2161" s="2"/>
      <c r="C2161" s="2"/>
      <c r="D2161" s="2"/>
    </row>
    <row r="2162" spans="2:4">
      <c r="B2162" s="2"/>
      <c r="C2162" s="2"/>
      <c r="D2162" s="2"/>
    </row>
    <row r="2163" spans="2:4">
      <c r="B2163" s="2"/>
      <c r="C2163" s="2"/>
      <c r="D2163" s="2"/>
    </row>
    <row r="2164" spans="2:4">
      <c r="B2164" s="2"/>
      <c r="C2164" s="2"/>
      <c r="D2164" s="2"/>
    </row>
    <row r="2165" spans="2:4">
      <c r="B2165" s="2"/>
      <c r="C2165" s="2"/>
      <c r="D2165" s="2"/>
    </row>
    <row r="2166" spans="2:4">
      <c r="B2166" s="2"/>
      <c r="C2166" s="2"/>
      <c r="D2166" s="2"/>
    </row>
    <row r="2167" spans="2:4">
      <c r="B2167" s="2"/>
      <c r="C2167" s="2"/>
      <c r="D2167" s="2"/>
    </row>
    <row r="2168" spans="2:4">
      <c r="B2168" s="2"/>
      <c r="C2168" s="2"/>
      <c r="D2168" s="2"/>
    </row>
    <row r="2169" spans="2:4">
      <c r="B2169" s="2"/>
      <c r="C2169" s="2"/>
      <c r="D2169" s="2"/>
    </row>
    <row r="2170" spans="2:4">
      <c r="B2170" s="2"/>
      <c r="C2170" s="2"/>
      <c r="D2170" s="2"/>
    </row>
    <row r="2171" spans="2:4">
      <c r="B2171" s="2"/>
      <c r="C2171" s="2"/>
      <c r="D2171" s="2"/>
    </row>
    <row r="2172" spans="2:4">
      <c r="B2172" s="2"/>
      <c r="C2172" s="2"/>
      <c r="D2172" s="2"/>
    </row>
    <row r="2173" spans="2:4">
      <c r="B2173" s="2"/>
      <c r="C2173" s="2"/>
      <c r="D2173" s="2"/>
    </row>
    <row r="2174" spans="2:4">
      <c r="B2174" s="2"/>
      <c r="C2174" s="2"/>
      <c r="D2174" s="2"/>
    </row>
    <row r="2175" spans="2:4">
      <c r="B2175" s="2"/>
      <c r="C2175" s="2"/>
      <c r="D2175" s="2"/>
    </row>
    <row r="2176" spans="2:4">
      <c r="B2176" s="2"/>
      <c r="C2176" s="2"/>
      <c r="D2176" s="2"/>
    </row>
    <row r="2177" spans="2:4">
      <c r="B2177" s="2"/>
      <c r="C2177" s="2"/>
      <c r="D2177" s="2"/>
    </row>
    <row r="2178" spans="2:4">
      <c r="B2178" s="2"/>
      <c r="C2178" s="2"/>
      <c r="D2178" s="2"/>
    </row>
    <row r="2179" spans="2:4">
      <c r="B2179" s="2"/>
      <c r="C2179" s="2"/>
      <c r="D2179" s="2"/>
    </row>
    <row r="2180" spans="2:4">
      <c r="B2180" s="2"/>
      <c r="C2180" s="2"/>
      <c r="D2180" s="2"/>
    </row>
    <row r="2181" spans="2:4">
      <c r="B2181" s="2"/>
      <c r="C2181" s="2"/>
      <c r="D2181" s="2"/>
    </row>
    <row r="2182" spans="2:4">
      <c r="B2182" s="2"/>
      <c r="C2182" s="2"/>
      <c r="D2182" s="2"/>
    </row>
    <row r="2183" spans="2:4">
      <c r="B2183" s="2"/>
      <c r="C2183" s="2"/>
      <c r="D2183" s="2"/>
    </row>
    <row r="2184" spans="2:4">
      <c r="B2184" s="2"/>
      <c r="C2184" s="2"/>
      <c r="D2184" s="2"/>
    </row>
    <row r="2185" spans="2:4">
      <c r="B2185" s="2"/>
      <c r="C2185" s="2"/>
      <c r="D2185" s="2"/>
    </row>
    <row r="2186" spans="2:4">
      <c r="B2186" s="2"/>
      <c r="C2186" s="2"/>
      <c r="D2186" s="2"/>
    </row>
    <row r="2187" spans="2:4">
      <c r="B2187" s="2"/>
      <c r="C2187" s="2"/>
      <c r="D2187" s="2"/>
    </row>
    <row r="2188" spans="2:4">
      <c r="B2188" s="2"/>
      <c r="C2188" s="2"/>
      <c r="D2188" s="2"/>
    </row>
    <row r="2189" spans="2:4">
      <c r="B2189" s="2"/>
      <c r="C2189" s="2"/>
      <c r="D2189" s="2"/>
    </row>
    <row r="2190" spans="2:4">
      <c r="B2190" s="2"/>
      <c r="C2190" s="2"/>
      <c r="D2190" s="2"/>
    </row>
    <row r="2191" spans="2:4">
      <c r="B2191" s="2"/>
      <c r="C2191" s="2"/>
      <c r="D2191" s="2"/>
    </row>
    <row r="2192" spans="2:4">
      <c r="B2192" s="2"/>
      <c r="C2192" s="2"/>
      <c r="D2192" s="2"/>
    </row>
    <row r="2193" spans="2:4">
      <c r="B2193" s="2"/>
      <c r="C2193" s="2"/>
      <c r="D2193" s="2"/>
    </row>
    <row r="2194" spans="2:4">
      <c r="B2194" s="2"/>
      <c r="C2194" s="2"/>
      <c r="D2194" s="2"/>
    </row>
    <row r="2195" spans="2:4">
      <c r="B2195" s="2"/>
      <c r="C2195" s="2"/>
      <c r="D2195" s="2"/>
    </row>
    <row r="2196" spans="2:4">
      <c r="B2196" s="2"/>
      <c r="C2196" s="2"/>
      <c r="D2196" s="2"/>
    </row>
    <row r="2197" spans="2:4">
      <c r="B2197" s="2"/>
      <c r="C2197" s="2"/>
      <c r="D2197" s="2"/>
    </row>
    <row r="2198" spans="2:4">
      <c r="B2198" s="2"/>
      <c r="C2198" s="2"/>
      <c r="D2198" s="2"/>
    </row>
    <row r="2199" spans="2:4">
      <c r="B2199" s="2"/>
      <c r="C2199" s="2"/>
      <c r="D2199" s="2"/>
    </row>
    <row r="2200" spans="2:4">
      <c r="B2200" s="2"/>
      <c r="C2200" s="2"/>
      <c r="D2200" s="2"/>
    </row>
    <row r="2201" spans="2:4">
      <c r="B2201" s="2"/>
      <c r="C2201" s="2"/>
      <c r="D2201" s="2"/>
    </row>
    <row r="2202" spans="2:4">
      <c r="B2202" s="2"/>
      <c r="C2202" s="2"/>
      <c r="D2202" s="2"/>
    </row>
    <row r="2203" spans="2:4">
      <c r="B2203" s="2"/>
      <c r="C2203" s="2"/>
      <c r="D2203" s="2"/>
    </row>
    <row r="2204" spans="2:4">
      <c r="B2204" s="2"/>
      <c r="C2204" s="2"/>
      <c r="D2204" s="2"/>
    </row>
    <row r="2205" spans="2:4">
      <c r="B2205" s="2"/>
      <c r="C2205" s="2"/>
      <c r="D2205" s="2"/>
    </row>
    <row r="2206" spans="2:4">
      <c r="B2206" s="2"/>
      <c r="C2206" s="2"/>
      <c r="D2206" s="2"/>
    </row>
    <row r="2207" spans="2:4">
      <c r="B2207" s="2"/>
      <c r="C2207" s="2"/>
      <c r="D2207" s="2"/>
    </row>
    <row r="2208" spans="2:4">
      <c r="B2208" s="2"/>
      <c r="C2208" s="2"/>
      <c r="D2208" s="2"/>
    </row>
    <row r="2209" spans="2:4">
      <c r="B2209" s="2"/>
      <c r="C2209" s="2"/>
      <c r="D2209" s="2"/>
    </row>
    <row r="2210" spans="2:4">
      <c r="B2210" s="2"/>
      <c r="C2210" s="2"/>
      <c r="D2210" s="2"/>
    </row>
    <row r="2211" spans="2:4">
      <c r="B2211" s="2"/>
      <c r="C2211" s="2"/>
      <c r="D2211" s="2"/>
    </row>
    <row r="2212" spans="2:4">
      <c r="B2212" s="2"/>
      <c r="C2212" s="2"/>
      <c r="D2212" s="2"/>
    </row>
    <row r="2213" spans="2:4">
      <c r="B2213" s="2"/>
      <c r="C2213" s="2"/>
      <c r="D2213" s="2"/>
    </row>
    <row r="2214" spans="2:4">
      <c r="B2214" s="2"/>
      <c r="C2214" s="2"/>
      <c r="D2214" s="2"/>
    </row>
    <row r="2215" spans="2:4">
      <c r="B2215" s="2"/>
      <c r="C2215" s="2"/>
      <c r="D2215" s="2"/>
    </row>
    <row r="2216" spans="2:4">
      <c r="B2216" s="2"/>
      <c r="C2216" s="2"/>
      <c r="D2216" s="2"/>
    </row>
    <row r="2217" spans="2:4">
      <c r="B2217" s="2"/>
      <c r="C2217" s="2"/>
      <c r="D2217" s="2"/>
    </row>
    <row r="2218" spans="2:4">
      <c r="B2218" s="2"/>
      <c r="C2218" s="2"/>
      <c r="D2218" s="2"/>
    </row>
    <row r="2219" spans="2:4">
      <c r="B2219" s="2"/>
      <c r="C2219" s="2"/>
      <c r="D2219" s="2"/>
    </row>
    <row r="2220" spans="2:4">
      <c r="B2220" s="2"/>
      <c r="C2220" s="2"/>
      <c r="D2220" s="2"/>
    </row>
    <row r="2221" spans="2:4">
      <c r="B2221" s="2"/>
      <c r="C2221" s="2"/>
      <c r="D2221" s="2"/>
    </row>
    <row r="2222" spans="2:4">
      <c r="B2222" s="2"/>
      <c r="C2222" s="2"/>
      <c r="D2222" s="2"/>
    </row>
    <row r="2223" spans="2:4">
      <c r="B2223" s="2"/>
      <c r="C2223" s="2"/>
      <c r="D2223" s="2"/>
    </row>
    <row r="2224" spans="2:4">
      <c r="B2224" s="2"/>
      <c r="C2224" s="2"/>
      <c r="D2224" s="2"/>
    </row>
    <row r="2225" spans="2:4">
      <c r="B2225" s="2"/>
      <c r="C2225" s="2"/>
      <c r="D2225" s="2"/>
    </row>
    <row r="2226" spans="2:4">
      <c r="B2226" s="2"/>
      <c r="C2226" s="2"/>
      <c r="D2226" s="2"/>
    </row>
    <row r="2227" spans="2:4">
      <c r="B2227" s="2"/>
      <c r="C2227" s="2"/>
      <c r="D2227" s="2"/>
    </row>
    <row r="2228" spans="2:4">
      <c r="B2228" s="2"/>
      <c r="C2228" s="2"/>
      <c r="D2228" s="2"/>
    </row>
    <row r="2229" spans="2:4">
      <c r="B2229" s="2"/>
      <c r="C2229" s="2"/>
      <c r="D2229" s="2"/>
    </row>
    <row r="2230" spans="2:4">
      <c r="B2230" s="2"/>
      <c r="C2230" s="2"/>
      <c r="D2230" s="2"/>
    </row>
    <row r="2231" spans="2:4">
      <c r="B2231" s="2"/>
      <c r="C2231" s="2"/>
      <c r="D2231" s="2"/>
    </row>
    <row r="2232" spans="2:4">
      <c r="B2232" s="2"/>
      <c r="C2232" s="2"/>
      <c r="D2232" s="2"/>
    </row>
    <row r="2233" spans="2:4">
      <c r="B2233" s="2"/>
      <c r="C2233" s="2"/>
      <c r="D2233" s="2"/>
    </row>
    <row r="2234" spans="2:4">
      <c r="B2234" s="2"/>
      <c r="C2234" s="2"/>
      <c r="D2234" s="2"/>
    </row>
    <row r="2235" spans="2:4">
      <c r="B2235" s="2"/>
      <c r="C2235" s="2"/>
      <c r="D2235" s="2"/>
    </row>
    <row r="2236" spans="2:4">
      <c r="B2236" s="2"/>
      <c r="C2236" s="2"/>
      <c r="D2236" s="2"/>
    </row>
    <row r="2237" spans="2:4">
      <c r="B2237" s="2"/>
      <c r="C2237" s="2"/>
      <c r="D2237" s="2"/>
    </row>
    <row r="2238" spans="2:4">
      <c r="B2238" s="2"/>
      <c r="C2238" s="2"/>
      <c r="D2238" s="2"/>
    </row>
    <row r="2239" spans="2:4">
      <c r="B2239" s="2"/>
      <c r="C2239" s="2"/>
      <c r="D2239" s="2"/>
    </row>
    <row r="2240" spans="2:4">
      <c r="B2240" s="2"/>
      <c r="C2240" s="2"/>
      <c r="D2240" s="2"/>
    </row>
    <row r="2241" spans="2:4">
      <c r="B2241" s="2"/>
      <c r="C2241" s="2"/>
      <c r="D2241" s="2"/>
    </row>
    <row r="2242" spans="2:4">
      <c r="B2242" s="2"/>
      <c r="C2242" s="2"/>
      <c r="D2242" s="2"/>
    </row>
    <row r="2243" spans="2:4">
      <c r="B2243" s="2"/>
      <c r="C2243" s="2"/>
      <c r="D2243" s="2"/>
    </row>
    <row r="2244" spans="2:4">
      <c r="B2244" s="2"/>
      <c r="C2244" s="2"/>
      <c r="D2244" s="2"/>
    </row>
    <row r="2245" spans="2:4">
      <c r="B2245" s="2"/>
      <c r="C2245" s="2"/>
      <c r="D2245" s="2"/>
    </row>
    <row r="2246" spans="2:4">
      <c r="B2246" s="2"/>
      <c r="C2246" s="2"/>
      <c r="D2246" s="2"/>
    </row>
    <row r="2247" spans="2:4">
      <c r="B2247" s="2"/>
      <c r="C2247" s="2"/>
      <c r="D2247" s="2"/>
    </row>
    <row r="2248" spans="2:4">
      <c r="B2248" s="2"/>
      <c r="C2248" s="2"/>
      <c r="D2248" s="2"/>
    </row>
    <row r="2249" spans="2:4">
      <c r="B2249" s="2"/>
      <c r="C2249" s="2"/>
      <c r="D2249" s="2"/>
    </row>
    <row r="2250" spans="2:4">
      <c r="B2250" s="2"/>
      <c r="C2250" s="2"/>
      <c r="D2250" s="2"/>
    </row>
    <row r="2251" spans="2:4">
      <c r="B2251" s="2"/>
      <c r="C2251" s="2"/>
      <c r="D2251" s="2"/>
    </row>
    <row r="2252" spans="2:4">
      <c r="B2252" s="2"/>
      <c r="C2252" s="2"/>
      <c r="D2252" s="2"/>
    </row>
    <row r="2253" spans="2:4">
      <c r="B2253" s="2"/>
      <c r="C2253" s="2"/>
      <c r="D2253" s="2"/>
    </row>
    <row r="2254" spans="2:4">
      <c r="B2254" s="2"/>
      <c r="C2254" s="2"/>
      <c r="D2254" s="2"/>
    </row>
    <row r="2255" spans="2:4">
      <c r="B2255" s="2"/>
      <c r="C2255" s="2"/>
      <c r="D2255" s="2"/>
    </row>
    <row r="2256" spans="2:4">
      <c r="B2256" s="2"/>
      <c r="C2256" s="2"/>
      <c r="D2256" s="2"/>
    </row>
    <row r="2257" spans="2:4">
      <c r="B2257" s="2"/>
      <c r="C2257" s="2"/>
      <c r="D2257" s="2"/>
    </row>
    <row r="2258" spans="2:4">
      <c r="B2258" s="2"/>
      <c r="C2258" s="2"/>
      <c r="D2258" s="2"/>
    </row>
    <row r="2259" spans="2:4">
      <c r="B2259" s="2"/>
      <c r="C2259" s="2"/>
      <c r="D2259" s="2"/>
    </row>
    <row r="2260" spans="2:4">
      <c r="B2260" s="2"/>
      <c r="C2260" s="2"/>
      <c r="D2260" s="2"/>
    </row>
    <row r="2261" spans="2:4">
      <c r="B2261" s="2"/>
      <c r="C2261" s="2"/>
      <c r="D2261" s="2"/>
    </row>
    <row r="2262" spans="2:4">
      <c r="B2262" s="2"/>
      <c r="C2262" s="2"/>
      <c r="D2262" s="2"/>
    </row>
    <row r="2263" spans="2:4">
      <c r="B2263" s="2"/>
      <c r="C2263" s="2"/>
      <c r="D2263" s="2"/>
    </row>
    <row r="2264" spans="2:4">
      <c r="B2264" s="2"/>
      <c r="C2264" s="2"/>
      <c r="D2264" s="2"/>
    </row>
    <row r="2265" spans="2:4">
      <c r="B2265" s="2"/>
      <c r="C2265" s="2"/>
      <c r="D2265" s="2"/>
    </row>
    <row r="2266" spans="2:4">
      <c r="B2266" s="2"/>
      <c r="C2266" s="2"/>
      <c r="D2266" s="2"/>
    </row>
    <row r="2267" spans="2:4">
      <c r="B2267" s="2"/>
      <c r="C2267" s="2"/>
      <c r="D2267" s="2"/>
    </row>
    <row r="2268" spans="2:4">
      <c r="B2268" s="2"/>
      <c r="C2268" s="2"/>
      <c r="D2268" s="2"/>
    </row>
    <row r="2269" spans="2:4">
      <c r="B2269" s="2"/>
      <c r="C2269" s="2"/>
      <c r="D2269" s="2"/>
    </row>
    <row r="2270" spans="2:4">
      <c r="B2270" s="2"/>
      <c r="C2270" s="2"/>
      <c r="D2270" s="2"/>
    </row>
    <row r="2271" spans="2:4">
      <c r="B2271" s="2"/>
      <c r="C2271" s="2"/>
      <c r="D2271" s="2"/>
    </row>
    <row r="2272" spans="2:4">
      <c r="B2272" s="2"/>
      <c r="C2272" s="2"/>
      <c r="D2272" s="2"/>
    </row>
    <row r="2273" spans="2:4">
      <c r="B2273" s="2"/>
      <c r="C2273" s="2"/>
      <c r="D2273" s="2"/>
    </row>
    <row r="2274" spans="2:4">
      <c r="B2274" s="2"/>
      <c r="C2274" s="2"/>
      <c r="D2274" s="2"/>
    </row>
    <row r="2275" spans="2:4">
      <c r="B2275" s="2"/>
      <c r="C2275" s="2"/>
      <c r="D2275" s="2"/>
    </row>
    <row r="2276" spans="2:4">
      <c r="B2276" s="2"/>
      <c r="C2276" s="2"/>
      <c r="D2276" s="2"/>
    </row>
    <row r="2277" spans="2:4">
      <c r="B2277" s="2"/>
      <c r="C2277" s="2"/>
      <c r="D2277" s="2"/>
    </row>
    <row r="2278" spans="2:4">
      <c r="B2278" s="2"/>
      <c r="C2278" s="2"/>
      <c r="D2278" s="2"/>
    </row>
    <row r="2279" spans="2:4">
      <c r="B2279" s="2"/>
      <c r="C2279" s="2"/>
      <c r="D2279" s="2"/>
    </row>
    <row r="2280" spans="2:4">
      <c r="B2280" s="2"/>
      <c r="C2280" s="2"/>
      <c r="D2280" s="2"/>
    </row>
    <row r="2281" spans="2:4">
      <c r="B2281" s="2"/>
      <c r="C2281" s="2"/>
      <c r="D2281" s="2"/>
    </row>
    <row r="2282" spans="2:4">
      <c r="B2282" s="2"/>
      <c r="C2282" s="2"/>
      <c r="D2282" s="2"/>
    </row>
    <row r="2283" spans="2:4">
      <c r="B2283" s="2"/>
      <c r="C2283" s="2"/>
      <c r="D2283" s="2"/>
    </row>
    <row r="2284" spans="2:4">
      <c r="B2284" s="2"/>
      <c r="C2284" s="2"/>
      <c r="D2284" s="2"/>
    </row>
    <row r="2285" spans="2:4">
      <c r="B2285" s="2"/>
      <c r="C2285" s="2"/>
      <c r="D2285" s="2"/>
    </row>
    <row r="2286" spans="2:4">
      <c r="B2286" s="2"/>
      <c r="C2286" s="2"/>
      <c r="D2286" s="2"/>
    </row>
    <row r="2287" spans="2:4">
      <c r="B2287" s="2"/>
      <c r="C2287" s="2"/>
      <c r="D2287" s="2"/>
    </row>
    <row r="2288" spans="2:4">
      <c r="B2288" s="2"/>
      <c r="C2288" s="2"/>
      <c r="D2288" s="2"/>
    </row>
    <row r="2289" spans="2:4">
      <c r="B2289" s="2"/>
      <c r="C2289" s="2"/>
      <c r="D2289" s="2"/>
    </row>
    <row r="2290" spans="2:4">
      <c r="B2290" s="2"/>
      <c r="C2290" s="2"/>
      <c r="D2290" s="2"/>
    </row>
    <row r="2291" spans="2:4">
      <c r="B2291" s="2"/>
      <c r="C2291" s="2"/>
      <c r="D2291" s="2"/>
    </row>
    <row r="2292" spans="2:4">
      <c r="B2292" s="2"/>
      <c r="C2292" s="2"/>
      <c r="D2292" s="2"/>
    </row>
    <row r="2293" spans="2:4">
      <c r="B2293" s="2"/>
      <c r="C2293" s="2"/>
      <c r="D2293" s="2"/>
    </row>
    <row r="2294" spans="2:4">
      <c r="B2294" s="2"/>
      <c r="C2294" s="2"/>
      <c r="D2294" s="2"/>
    </row>
    <row r="2295" spans="2:4">
      <c r="B2295" s="2"/>
      <c r="C2295" s="2"/>
      <c r="D2295" s="2"/>
    </row>
    <row r="2296" spans="2:4">
      <c r="B2296" s="2"/>
      <c r="C2296" s="2"/>
      <c r="D2296" s="2"/>
    </row>
    <row r="2297" spans="2:4">
      <c r="B2297" s="2"/>
      <c r="C2297" s="2"/>
      <c r="D2297" s="2"/>
    </row>
    <row r="2298" spans="2:4">
      <c r="B2298" s="2"/>
      <c r="C2298" s="2"/>
      <c r="D2298" s="2"/>
    </row>
    <row r="2299" spans="2:4">
      <c r="B2299" s="2"/>
      <c r="C2299" s="2"/>
      <c r="D2299" s="2"/>
    </row>
    <row r="2300" spans="2:4">
      <c r="B2300" s="2"/>
      <c r="C2300" s="2"/>
      <c r="D2300" s="2"/>
    </row>
    <row r="2301" spans="2:4">
      <c r="B2301" s="2"/>
      <c r="C2301" s="2"/>
      <c r="D2301" s="2"/>
    </row>
    <row r="2302" spans="2:4">
      <c r="B2302" s="2"/>
      <c r="C2302" s="2"/>
      <c r="D2302" s="2"/>
    </row>
    <row r="2303" spans="2:4">
      <c r="B2303" s="2"/>
      <c r="C2303" s="2"/>
      <c r="D2303" s="2"/>
    </row>
    <row r="2304" spans="2:4">
      <c r="B2304" s="2"/>
      <c r="C2304" s="2"/>
      <c r="D2304" s="2"/>
    </row>
    <row r="2305" spans="2:4">
      <c r="B2305" s="2"/>
      <c r="C2305" s="2"/>
      <c r="D2305" s="2"/>
    </row>
    <row r="2306" spans="2:4">
      <c r="B2306" s="2"/>
      <c r="C2306" s="2"/>
      <c r="D2306" s="2"/>
    </row>
    <row r="2307" spans="2:4">
      <c r="B2307" s="2"/>
      <c r="C2307" s="2"/>
      <c r="D2307" s="2"/>
    </row>
    <row r="2308" spans="2:4">
      <c r="B2308" s="2"/>
      <c r="C2308" s="2"/>
      <c r="D2308" s="2"/>
    </row>
    <row r="2309" spans="2:4">
      <c r="B2309" s="2"/>
      <c r="C2309" s="2"/>
      <c r="D2309" s="2"/>
    </row>
    <row r="2310" spans="2:4">
      <c r="B2310" s="2"/>
      <c r="C2310" s="2"/>
      <c r="D2310" s="2"/>
    </row>
    <row r="2311" spans="2:4">
      <c r="B2311" s="2"/>
      <c r="C2311" s="2"/>
      <c r="D2311" s="2"/>
    </row>
    <row r="2312" spans="2:4">
      <c r="B2312" s="2"/>
      <c r="C2312" s="2"/>
      <c r="D2312" s="2"/>
    </row>
    <row r="2313" spans="2:4">
      <c r="B2313" s="2"/>
      <c r="C2313" s="2"/>
      <c r="D2313" s="2"/>
    </row>
    <row r="2314" spans="2:4">
      <c r="B2314" s="2"/>
      <c r="C2314" s="2"/>
      <c r="D2314" s="2"/>
    </row>
    <row r="2315" spans="2:4">
      <c r="B2315" s="2"/>
      <c r="C2315" s="2"/>
      <c r="D2315" s="2"/>
    </row>
    <row r="2316" spans="2:4">
      <c r="B2316" s="2"/>
      <c r="C2316" s="2"/>
      <c r="D2316" s="2"/>
    </row>
    <row r="2317" spans="2:4">
      <c r="B2317" s="2"/>
      <c r="C2317" s="2"/>
      <c r="D2317" s="2"/>
    </row>
    <row r="2318" spans="2:4">
      <c r="B2318" s="2"/>
      <c r="C2318" s="2"/>
      <c r="D2318" s="2"/>
    </row>
    <row r="2319" spans="2:4">
      <c r="B2319" s="2"/>
      <c r="C2319" s="2"/>
      <c r="D2319" s="2"/>
    </row>
    <row r="2320" spans="2:4">
      <c r="B2320" s="2"/>
      <c r="C2320" s="2"/>
      <c r="D2320" s="2"/>
    </row>
    <row r="2321" spans="2:4">
      <c r="B2321" s="2"/>
      <c r="C2321" s="2"/>
      <c r="D2321" s="2"/>
    </row>
    <row r="2322" spans="2:4">
      <c r="B2322" s="2"/>
      <c r="C2322" s="2"/>
      <c r="D2322" s="2"/>
    </row>
    <row r="2323" spans="2:4">
      <c r="B2323" s="2"/>
      <c r="C2323" s="2"/>
      <c r="D2323" s="2"/>
    </row>
    <row r="2324" spans="2:4">
      <c r="B2324" s="2"/>
      <c r="C2324" s="2"/>
      <c r="D2324" s="2"/>
    </row>
    <row r="2325" spans="2:4">
      <c r="B2325" s="2"/>
      <c r="C2325" s="2"/>
      <c r="D2325" s="2"/>
    </row>
    <row r="2326" spans="2:4">
      <c r="B2326" s="2"/>
      <c r="C2326" s="2"/>
      <c r="D2326" s="2"/>
    </row>
    <row r="2327" spans="2:4">
      <c r="B2327" s="2"/>
      <c r="C2327" s="2"/>
      <c r="D2327" s="2"/>
    </row>
    <row r="2328" spans="2:4">
      <c r="B2328" s="2"/>
      <c r="C2328" s="2"/>
      <c r="D2328" s="2"/>
    </row>
    <row r="2329" spans="2:4">
      <c r="B2329" s="2"/>
      <c r="C2329" s="2"/>
      <c r="D2329" s="2"/>
    </row>
    <row r="2330" spans="2:4">
      <c r="B2330" s="2"/>
      <c r="C2330" s="2"/>
      <c r="D2330" s="2"/>
    </row>
    <row r="2331" spans="2:4">
      <c r="B2331" s="2"/>
      <c r="C2331" s="2"/>
      <c r="D2331" s="2"/>
    </row>
    <row r="2332" spans="2:4">
      <c r="B2332" s="2"/>
      <c r="C2332" s="2"/>
      <c r="D2332" s="2"/>
    </row>
    <row r="2333" spans="2:4">
      <c r="B2333" s="2"/>
      <c r="C2333" s="2"/>
      <c r="D2333" s="2"/>
    </row>
    <row r="2334" spans="2:4">
      <c r="B2334" s="2"/>
      <c r="C2334" s="2"/>
      <c r="D2334" s="2"/>
    </row>
    <row r="2335" spans="2:4">
      <c r="B2335" s="2"/>
      <c r="C2335" s="2"/>
      <c r="D2335" s="2"/>
    </row>
    <row r="2336" spans="2:4">
      <c r="B2336" s="2"/>
      <c r="C2336" s="2"/>
      <c r="D2336" s="2"/>
    </row>
    <row r="2337" spans="2:4">
      <c r="B2337" s="2"/>
      <c r="C2337" s="2"/>
      <c r="D2337" s="2"/>
    </row>
    <row r="2338" spans="2:4">
      <c r="B2338" s="2"/>
      <c r="C2338" s="2"/>
      <c r="D2338" s="2"/>
    </row>
    <row r="2339" spans="2:4">
      <c r="B2339" s="2"/>
      <c r="C2339" s="2"/>
      <c r="D2339" s="2"/>
    </row>
    <row r="2340" spans="2:4">
      <c r="B2340" s="2"/>
      <c r="C2340" s="2"/>
      <c r="D2340" s="2"/>
    </row>
    <row r="2341" spans="2:4">
      <c r="B2341" s="2"/>
      <c r="C2341" s="2"/>
      <c r="D2341" s="2"/>
    </row>
    <row r="2342" spans="2:4">
      <c r="B2342" s="2"/>
      <c r="C2342" s="2"/>
      <c r="D2342" s="2"/>
    </row>
    <row r="2343" spans="2:4">
      <c r="B2343" s="2"/>
      <c r="C2343" s="2"/>
      <c r="D2343" s="2"/>
    </row>
    <row r="2344" spans="2:4">
      <c r="B2344" s="2"/>
      <c r="C2344" s="2"/>
      <c r="D2344" s="2"/>
    </row>
    <row r="2345" spans="2:4">
      <c r="B2345" s="2"/>
      <c r="C2345" s="2"/>
      <c r="D2345" s="2"/>
    </row>
    <row r="2346" spans="2:4">
      <c r="B2346" s="2"/>
      <c r="C2346" s="2"/>
      <c r="D2346" s="2"/>
    </row>
    <row r="2347" spans="2:4">
      <c r="B2347" s="2"/>
      <c r="C2347" s="2"/>
      <c r="D2347" s="2"/>
    </row>
    <row r="2348" spans="2:4">
      <c r="B2348" s="2"/>
      <c r="C2348" s="2"/>
      <c r="D2348" s="2"/>
    </row>
    <row r="2349" spans="2:4">
      <c r="B2349" s="2"/>
      <c r="C2349" s="2"/>
      <c r="D2349" s="2"/>
    </row>
    <row r="2350" spans="2:4">
      <c r="B2350" s="2"/>
      <c r="C2350" s="2"/>
      <c r="D2350" s="2"/>
    </row>
    <row r="2351" spans="2:4">
      <c r="B2351" s="2"/>
      <c r="C2351" s="2"/>
      <c r="D2351" s="2"/>
    </row>
    <row r="2352" spans="2:4">
      <c r="B2352" s="2"/>
      <c r="C2352" s="2"/>
      <c r="D2352" s="2"/>
    </row>
    <row r="2353" spans="2:4">
      <c r="B2353" s="2"/>
      <c r="C2353" s="2"/>
      <c r="D2353" s="2"/>
    </row>
    <row r="2354" spans="2:4">
      <c r="B2354" s="2"/>
      <c r="C2354" s="2"/>
      <c r="D2354" s="2"/>
    </row>
    <row r="2355" spans="2:4">
      <c r="B2355" s="2"/>
      <c r="C2355" s="2"/>
      <c r="D2355" s="2"/>
    </row>
    <row r="2356" spans="2:4">
      <c r="B2356" s="2"/>
      <c r="C2356" s="2"/>
      <c r="D2356" s="2"/>
    </row>
    <row r="2357" spans="2:4">
      <c r="B2357" s="2"/>
      <c r="C2357" s="2"/>
      <c r="D2357" s="2"/>
    </row>
    <row r="2358" spans="2:4">
      <c r="B2358" s="2"/>
      <c r="C2358" s="2"/>
      <c r="D2358" s="2"/>
    </row>
    <row r="2359" spans="2:4">
      <c r="B2359" s="2"/>
      <c r="C2359" s="2"/>
      <c r="D2359" s="2"/>
    </row>
    <row r="2360" spans="2:4">
      <c r="B2360" s="2"/>
      <c r="C2360" s="2"/>
      <c r="D2360" s="2"/>
    </row>
    <row r="2361" spans="2:4">
      <c r="B2361" s="2"/>
      <c r="C2361" s="2"/>
      <c r="D2361" s="2"/>
    </row>
    <row r="2362" spans="2:4">
      <c r="B2362" s="2"/>
      <c r="C2362" s="2"/>
      <c r="D2362" s="2"/>
    </row>
    <row r="2363" spans="2:4">
      <c r="B2363" s="2"/>
      <c r="C2363" s="2"/>
      <c r="D2363" s="2"/>
    </row>
    <row r="2364" spans="2:4">
      <c r="B2364" s="2"/>
      <c r="C2364" s="2"/>
      <c r="D2364" s="2"/>
    </row>
    <row r="2365" spans="2:4">
      <c r="B2365" s="2"/>
      <c r="C2365" s="2"/>
      <c r="D2365" s="2"/>
    </row>
    <row r="2366" spans="2:4">
      <c r="B2366" s="2"/>
      <c r="C2366" s="2"/>
      <c r="D2366" s="2"/>
    </row>
    <row r="2367" spans="2:4">
      <c r="B2367" s="2"/>
      <c r="C2367" s="2"/>
      <c r="D2367" s="2"/>
    </row>
    <row r="2368" spans="2:4">
      <c r="B2368" s="2"/>
      <c r="C2368" s="2"/>
      <c r="D2368" s="2"/>
    </row>
    <row r="2369" spans="2:4">
      <c r="B2369" s="2"/>
      <c r="C2369" s="2"/>
      <c r="D2369" s="2"/>
    </row>
    <row r="2370" spans="2:4">
      <c r="B2370" s="2"/>
      <c r="C2370" s="2"/>
      <c r="D2370" s="2"/>
    </row>
    <row r="2371" spans="2:4">
      <c r="B2371" s="2"/>
      <c r="C2371" s="2"/>
      <c r="D2371" s="2"/>
    </row>
    <row r="2372" spans="2:4">
      <c r="B2372" s="2"/>
      <c r="C2372" s="2"/>
      <c r="D2372" s="2"/>
    </row>
    <row r="2373" spans="2:4">
      <c r="B2373" s="2"/>
      <c r="C2373" s="2"/>
      <c r="D2373" s="2"/>
    </row>
    <row r="2374" spans="2:4">
      <c r="B2374" s="2"/>
      <c r="C2374" s="2"/>
      <c r="D2374" s="2"/>
    </row>
    <row r="2375" spans="2:4">
      <c r="B2375" s="2"/>
      <c r="C2375" s="2"/>
      <c r="D2375" s="2"/>
    </row>
    <row r="2376" spans="2:4">
      <c r="B2376" s="2"/>
      <c r="C2376" s="2"/>
      <c r="D2376" s="2"/>
    </row>
    <row r="2377" spans="2:4">
      <c r="B2377" s="2"/>
      <c r="C2377" s="2"/>
      <c r="D2377" s="2"/>
    </row>
    <row r="2378" spans="2:4">
      <c r="B2378" s="2"/>
      <c r="C2378" s="2"/>
      <c r="D2378" s="2"/>
    </row>
    <row r="2379" spans="2:4">
      <c r="B2379" s="2"/>
      <c r="C2379" s="2"/>
      <c r="D2379" s="2"/>
    </row>
    <row r="2380" spans="2:4">
      <c r="B2380" s="2"/>
      <c r="C2380" s="2"/>
      <c r="D2380" s="2"/>
    </row>
    <row r="2381" spans="2:4">
      <c r="B2381" s="2"/>
      <c r="C2381" s="2"/>
      <c r="D2381" s="2"/>
    </row>
    <row r="2382" spans="2:4">
      <c r="B2382" s="2"/>
      <c r="C2382" s="2"/>
      <c r="D2382" s="2"/>
    </row>
    <row r="2383" spans="2:4">
      <c r="B2383" s="2"/>
      <c r="C2383" s="2"/>
      <c r="D2383" s="2"/>
    </row>
    <row r="2384" spans="2:4">
      <c r="B2384" s="2"/>
      <c r="C2384" s="2"/>
      <c r="D2384" s="2"/>
    </row>
    <row r="2385" spans="2:4">
      <c r="B2385" s="2"/>
      <c r="C2385" s="2"/>
      <c r="D2385" s="2"/>
    </row>
    <row r="2386" spans="2:4">
      <c r="B2386" s="2"/>
      <c r="C2386" s="2"/>
      <c r="D2386" s="2"/>
    </row>
    <row r="2387" spans="2:4">
      <c r="B2387" s="2"/>
      <c r="C2387" s="2"/>
      <c r="D2387" s="2"/>
    </row>
    <row r="2388" spans="2:4">
      <c r="B2388" s="2"/>
      <c r="C2388" s="2"/>
      <c r="D2388" s="2"/>
    </row>
    <row r="2389" spans="2:4">
      <c r="B2389" s="2"/>
      <c r="C2389" s="2"/>
      <c r="D2389" s="2"/>
    </row>
    <row r="2390" spans="2:4">
      <c r="B2390" s="2"/>
      <c r="C2390" s="2"/>
      <c r="D2390" s="2"/>
    </row>
    <row r="2391" spans="2:4">
      <c r="B2391" s="2"/>
      <c r="C2391" s="2"/>
      <c r="D2391" s="2"/>
    </row>
    <row r="2392" spans="2:4">
      <c r="B2392" s="2"/>
      <c r="C2392" s="2"/>
      <c r="D2392" s="2"/>
    </row>
    <row r="2393" spans="2:4">
      <c r="B2393" s="2"/>
      <c r="C2393" s="2"/>
      <c r="D2393" s="2"/>
    </row>
    <row r="2394" spans="2:4">
      <c r="B2394" s="2"/>
      <c r="C2394" s="2"/>
      <c r="D2394" s="2"/>
    </row>
    <row r="2395" spans="2:4">
      <c r="B2395" s="2"/>
      <c r="C2395" s="2"/>
      <c r="D2395" s="2"/>
    </row>
    <row r="2396" spans="2:4">
      <c r="B2396" s="2"/>
      <c r="C2396" s="2"/>
      <c r="D2396" s="2"/>
    </row>
    <row r="2397" spans="2:4">
      <c r="B2397" s="2"/>
      <c r="C2397" s="2"/>
      <c r="D2397" s="2"/>
    </row>
    <row r="2398" spans="2:4">
      <c r="B2398" s="2"/>
      <c r="C2398" s="2"/>
      <c r="D2398" s="2"/>
    </row>
    <row r="2399" spans="2:4">
      <c r="B2399" s="2"/>
      <c r="C2399" s="2"/>
      <c r="D2399" s="2"/>
    </row>
    <row r="2400" spans="2:4">
      <c r="B2400" s="2"/>
      <c r="C2400" s="2"/>
      <c r="D2400" s="2"/>
    </row>
    <row r="2401" spans="2:4">
      <c r="B2401" s="2"/>
      <c r="C2401" s="2"/>
      <c r="D2401" s="2"/>
    </row>
    <row r="2402" spans="2:4">
      <c r="B2402" s="2"/>
      <c r="C2402" s="2"/>
      <c r="D2402" s="2"/>
    </row>
    <row r="2403" spans="2:4">
      <c r="B2403" s="2"/>
      <c r="C2403" s="2"/>
      <c r="D2403" s="2"/>
    </row>
    <row r="2404" spans="2:4">
      <c r="B2404" s="2"/>
      <c r="C2404" s="2"/>
      <c r="D2404" s="2"/>
    </row>
    <row r="2405" spans="2:4">
      <c r="B2405" s="2"/>
      <c r="C2405" s="2"/>
      <c r="D2405" s="2"/>
    </row>
    <row r="2406" spans="2:4">
      <c r="B2406" s="2"/>
      <c r="C2406" s="2"/>
      <c r="D2406" s="2"/>
    </row>
    <row r="2407" spans="2:4">
      <c r="B2407" s="2"/>
      <c r="C2407" s="2"/>
      <c r="D2407" s="2"/>
    </row>
    <row r="2408" spans="2:4">
      <c r="B2408" s="2"/>
      <c r="C2408" s="2"/>
      <c r="D2408" s="2"/>
    </row>
    <row r="2409" spans="2:4">
      <c r="B2409" s="2"/>
      <c r="C2409" s="2"/>
      <c r="D2409" s="2"/>
    </row>
    <row r="2410" spans="2:4">
      <c r="B2410" s="2"/>
      <c r="C2410" s="2"/>
      <c r="D2410" s="2"/>
    </row>
    <row r="2411" spans="2:4">
      <c r="B2411" s="2"/>
      <c r="C2411" s="2"/>
      <c r="D2411" s="2"/>
    </row>
    <row r="2412" spans="2:4">
      <c r="B2412" s="2"/>
      <c r="C2412" s="2"/>
      <c r="D2412" s="2"/>
    </row>
    <row r="2413" spans="2:4">
      <c r="B2413" s="2"/>
      <c r="C2413" s="2"/>
      <c r="D2413" s="2"/>
    </row>
    <row r="2414" spans="2:4">
      <c r="B2414" s="2"/>
      <c r="C2414" s="2"/>
      <c r="D2414" s="2"/>
    </row>
    <row r="2415" spans="2:4">
      <c r="B2415" s="2"/>
      <c r="C2415" s="2"/>
      <c r="D2415" s="2"/>
    </row>
    <row r="2416" spans="2:4">
      <c r="B2416" s="2"/>
      <c r="C2416" s="2"/>
      <c r="D2416" s="2"/>
    </row>
    <row r="2417" spans="2:4">
      <c r="B2417" s="2"/>
      <c r="C2417" s="2"/>
      <c r="D2417" s="2"/>
    </row>
    <row r="2418" spans="2:4">
      <c r="B2418" s="2"/>
      <c r="C2418" s="2"/>
      <c r="D2418" s="2"/>
    </row>
    <row r="2419" spans="2:4">
      <c r="B2419" s="2"/>
      <c r="C2419" s="2"/>
      <c r="D2419" s="2"/>
    </row>
    <row r="2420" spans="2:4">
      <c r="B2420" s="2"/>
      <c r="C2420" s="2"/>
      <c r="D2420" s="2"/>
    </row>
    <row r="2421" spans="2:4">
      <c r="B2421" s="2"/>
      <c r="C2421" s="2"/>
      <c r="D2421" s="2"/>
    </row>
    <row r="2422" spans="2:4">
      <c r="B2422" s="2"/>
      <c r="C2422" s="2"/>
      <c r="D2422" s="2"/>
    </row>
    <row r="2423" spans="2:4">
      <c r="B2423" s="2"/>
      <c r="C2423" s="2"/>
      <c r="D2423" s="2"/>
    </row>
    <row r="2424" spans="2:4">
      <c r="B2424" s="2"/>
      <c r="C2424" s="2"/>
      <c r="D2424" s="2"/>
    </row>
    <row r="2425" spans="2:4">
      <c r="B2425" s="2"/>
      <c r="C2425" s="2"/>
      <c r="D2425" s="2"/>
    </row>
    <row r="2426" spans="2:4">
      <c r="B2426" s="2"/>
      <c r="C2426" s="2"/>
      <c r="D2426" s="2"/>
    </row>
    <row r="2427" spans="2:4">
      <c r="B2427" s="2"/>
      <c r="C2427" s="2"/>
      <c r="D2427" s="2"/>
    </row>
    <row r="2428" spans="2:4">
      <c r="B2428" s="2"/>
      <c r="C2428" s="2"/>
      <c r="D2428" s="2"/>
    </row>
    <row r="2429" spans="2:4">
      <c r="B2429" s="2"/>
      <c r="C2429" s="2"/>
      <c r="D2429" s="2"/>
    </row>
    <row r="2430" spans="2:4">
      <c r="B2430" s="2"/>
      <c r="C2430" s="2"/>
      <c r="D2430" s="2"/>
    </row>
    <row r="2431" spans="2:4">
      <c r="B2431" s="2"/>
      <c r="C2431" s="2"/>
      <c r="D2431" s="2"/>
    </row>
    <row r="2432" spans="2:4">
      <c r="B2432" s="2"/>
      <c r="C2432" s="2"/>
      <c r="D2432" s="2"/>
    </row>
    <row r="2433" spans="2:4">
      <c r="B2433" s="2"/>
      <c r="C2433" s="2"/>
      <c r="D2433" s="2"/>
    </row>
    <row r="2434" spans="2:4">
      <c r="B2434" s="2"/>
      <c r="C2434" s="2"/>
      <c r="D2434" s="2"/>
    </row>
    <row r="2435" spans="2:4">
      <c r="B2435" s="2"/>
      <c r="C2435" s="2"/>
      <c r="D2435" s="2"/>
    </row>
    <row r="2436" spans="2:4">
      <c r="B2436" s="2"/>
      <c r="C2436" s="2"/>
      <c r="D2436" s="2"/>
    </row>
    <row r="2437" spans="2:4">
      <c r="B2437" s="2"/>
      <c r="C2437" s="2"/>
      <c r="D2437" s="2"/>
    </row>
    <row r="2438" spans="2:4">
      <c r="B2438" s="2"/>
      <c r="C2438" s="2"/>
      <c r="D2438" s="2"/>
    </row>
    <row r="2439" spans="2:4">
      <c r="B2439" s="2"/>
      <c r="C2439" s="2"/>
      <c r="D2439" s="2"/>
    </row>
    <row r="2440" spans="2:4">
      <c r="B2440" s="2"/>
      <c r="C2440" s="2"/>
      <c r="D2440" s="2"/>
    </row>
    <row r="2441" spans="2:4">
      <c r="B2441" s="2"/>
      <c r="C2441" s="2"/>
      <c r="D2441" s="2"/>
    </row>
    <row r="2442" spans="2:4">
      <c r="B2442" s="2"/>
      <c r="C2442" s="2"/>
      <c r="D2442" s="2"/>
    </row>
    <row r="2443" spans="2:4">
      <c r="B2443" s="2"/>
      <c r="C2443" s="2"/>
      <c r="D2443" s="2"/>
    </row>
    <row r="2444" spans="2:4">
      <c r="B2444" s="2"/>
      <c r="C2444" s="2"/>
      <c r="D2444" s="2"/>
    </row>
    <row r="2445" spans="2:4">
      <c r="B2445" s="2"/>
      <c r="C2445" s="2"/>
      <c r="D2445" s="2"/>
    </row>
    <row r="2446" spans="2:4">
      <c r="B2446" s="2"/>
      <c r="C2446" s="2"/>
      <c r="D2446" s="2"/>
    </row>
    <row r="2447" spans="2:4">
      <c r="B2447" s="2"/>
      <c r="C2447" s="2"/>
      <c r="D2447" s="2"/>
    </row>
    <row r="2448" spans="2:4">
      <c r="B2448" s="2"/>
      <c r="C2448" s="2"/>
      <c r="D2448" s="2"/>
    </row>
    <row r="2449" spans="2:4">
      <c r="B2449" s="2"/>
      <c r="C2449" s="2"/>
      <c r="D2449" s="2"/>
    </row>
    <row r="2450" spans="2:4">
      <c r="B2450" s="2"/>
      <c r="C2450" s="2"/>
      <c r="D2450" s="2"/>
    </row>
    <row r="2451" spans="2:4">
      <c r="B2451" s="2"/>
      <c r="C2451" s="2"/>
      <c r="D2451" s="2"/>
    </row>
    <row r="2452" spans="2:4">
      <c r="B2452" s="2"/>
      <c r="C2452" s="2"/>
      <c r="D2452" s="2"/>
    </row>
    <row r="2453" spans="2:4">
      <c r="B2453" s="2"/>
      <c r="C2453" s="2"/>
      <c r="D2453" s="2"/>
    </row>
    <row r="2454" spans="2:4">
      <c r="B2454" s="2"/>
      <c r="C2454" s="2"/>
      <c r="D2454" s="2"/>
    </row>
    <row r="2455" spans="2:4">
      <c r="B2455" s="2"/>
      <c r="C2455" s="2"/>
      <c r="D2455" s="2"/>
    </row>
    <row r="2456" spans="2:4">
      <c r="B2456" s="2"/>
      <c r="C2456" s="2"/>
      <c r="D2456" s="2"/>
    </row>
    <row r="2457" spans="2:4">
      <c r="B2457" s="2"/>
      <c r="C2457" s="2"/>
      <c r="D2457" s="2"/>
    </row>
    <row r="2458" spans="2:4">
      <c r="B2458" s="2"/>
      <c r="C2458" s="2"/>
      <c r="D2458" s="2"/>
    </row>
    <row r="2459" spans="2:4">
      <c r="B2459" s="2"/>
      <c r="C2459" s="2"/>
      <c r="D2459" s="2"/>
    </row>
    <row r="2460" spans="2:4">
      <c r="B2460" s="2"/>
      <c r="C2460" s="2"/>
      <c r="D2460" s="2"/>
    </row>
    <row r="2461" spans="2:4">
      <c r="B2461" s="2"/>
      <c r="C2461" s="2"/>
      <c r="D2461" s="2"/>
    </row>
    <row r="2462" spans="2:4">
      <c r="B2462" s="2"/>
      <c r="C2462" s="2"/>
      <c r="D2462" s="2"/>
    </row>
    <row r="2463" spans="2:4">
      <c r="B2463" s="2"/>
      <c r="C2463" s="2"/>
      <c r="D2463" s="2"/>
    </row>
    <row r="2464" spans="2:4">
      <c r="B2464" s="2"/>
      <c r="C2464" s="2"/>
      <c r="D2464" s="2"/>
    </row>
    <row r="2465" spans="2:4">
      <c r="B2465" s="2"/>
      <c r="C2465" s="2"/>
      <c r="D2465" s="2"/>
    </row>
    <row r="2466" spans="2:4">
      <c r="B2466" s="2"/>
      <c r="C2466" s="2"/>
      <c r="D2466" s="2"/>
    </row>
    <row r="2467" spans="2:4">
      <c r="B2467" s="2"/>
      <c r="C2467" s="2"/>
      <c r="D2467" s="2"/>
    </row>
    <row r="2468" spans="2:4">
      <c r="B2468" s="2"/>
      <c r="C2468" s="2"/>
      <c r="D2468" s="2"/>
    </row>
    <row r="2469" spans="2:4">
      <c r="B2469" s="2"/>
      <c r="C2469" s="2"/>
      <c r="D2469" s="2"/>
    </row>
    <row r="2470" spans="2:4">
      <c r="B2470" s="2"/>
      <c r="C2470" s="2"/>
      <c r="D2470" s="2"/>
    </row>
    <row r="2471" spans="2:4">
      <c r="B2471" s="2"/>
      <c r="C2471" s="2"/>
      <c r="D2471" s="2"/>
    </row>
    <row r="2472" spans="2:4">
      <c r="B2472" s="2"/>
      <c r="C2472" s="2"/>
      <c r="D2472" s="2"/>
    </row>
    <row r="2473" spans="2:4">
      <c r="B2473" s="2"/>
      <c r="C2473" s="2"/>
      <c r="D2473" s="2"/>
    </row>
    <row r="2474" spans="2:4">
      <c r="B2474" s="2"/>
      <c r="C2474" s="2"/>
      <c r="D2474" s="2"/>
    </row>
    <row r="2475" spans="2:4">
      <c r="B2475" s="2"/>
      <c r="C2475" s="2"/>
      <c r="D2475" s="2"/>
    </row>
    <row r="2476" spans="2:4">
      <c r="B2476" s="2"/>
      <c r="C2476" s="2"/>
      <c r="D2476" s="2"/>
    </row>
    <row r="2477" spans="2:4">
      <c r="B2477" s="2"/>
      <c r="C2477" s="2"/>
      <c r="D2477" s="2"/>
    </row>
    <row r="2478" spans="2:4">
      <c r="B2478" s="2"/>
      <c r="C2478" s="2"/>
      <c r="D2478" s="2"/>
    </row>
    <row r="2479" spans="2:4">
      <c r="B2479" s="2"/>
      <c r="C2479" s="2"/>
      <c r="D2479" s="2"/>
    </row>
    <row r="2480" spans="2:4">
      <c r="B2480" s="2"/>
      <c r="C2480" s="2"/>
      <c r="D2480" s="2"/>
    </row>
    <row r="2481" spans="2:4">
      <c r="B2481" s="2"/>
      <c r="C2481" s="2"/>
      <c r="D2481" s="2"/>
    </row>
    <row r="2482" spans="2:4">
      <c r="B2482" s="2"/>
      <c r="C2482" s="2"/>
      <c r="D2482" s="2"/>
    </row>
    <row r="2483" spans="2:4">
      <c r="B2483" s="2"/>
      <c r="C2483" s="2"/>
      <c r="D2483" s="2"/>
    </row>
    <row r="2484" spans="2:4">
      <c r="B2484" s="2"/>
      <c r="C2484" s="2"/>
      <c r="D2484" s="2"/>
    </row>
    <row r="2485" spans="2:4">
      <c r="B2485" s="2"/>
      <c r="C2485" s="2"/>
      <c r="D2485" s="2"/>
    </row>
    <row r="2486" spans="2:4">
      <c r="B2486" s="2"/>
      <c r="C2486" s="2"/>
      <c r="D2486" s="2"/>
    </row>
    <row r="2487" spans="2:4">
      <c r="B2487" s="2"/>
      <c r="C2487" s="2"/>
      <c r="D2487" s="2"/>
    </row>
    <row r="2488" spans="2:4">
      <c r="B2488" s="2"/>
      <c r="C2488" s="2"/>
      <c r="D2488" s="2"/>
    </row>
    <row r="2489" spans="2:4">
      <c r="B2489" s="2"/>
      <c r="C2489" s="2"/>
      <c r="D2489" s="2"/>
    </row>
    <row r="2490" spans="2:4">
      <c r="B2490" s="2"/>
      <c r="C2490" s="2"/>
      <c r="D2490" s="2"/>
    </row>
    <row r="2491" spans="2:4">
      <c r="B2491" s="2"/>
      <c r="C2491" s="2"/>
      <c r="D2491" s="2"/>
    </row>
    <row r="2492" spans="2:4">
      <c r="B2492" s="2"/>
      <c r="C2492" s="2"/>
      <c r="D2492" s="2"/>
    </row>
    <row r="2493" spans="2:4">
      <c r="B2493" s="2"/>
      <c r="C2493" s="2"/>
      <c r="D2493" s="2"/>
    </row>
    <row r="2494" spans="2:4">
      <c r="B2494" s="2"/>
      <c r="C2494" s="2"/>
      <c r="D2494" s="2"/>
    </row>
    <row r="2495" spans="2:4">
      <c r="B2495" s="2"/>
      <c r="C2495" s="2"/>
      <c r="D2495" s="2"/>
    </row>
    <row r="2496" spans="2:4">
      <c r="B2496" s="2"/>
      <c r="C2496" s="2"/>
      <c r="D2496" s="2"/>
    </row>
    <row r="2497" spans="2:4">
      <c r="B2497" s="2"/>
      <c r="C2497" s="2"/>
      <c r="D2497" s="2"/>
    </row>
    <row r="2498" spans="2:4">
      <c r="B2498" s="2"/>
      <c r="C2498" s="2"/>
      <c r="D2498" s="2"/>
    </row>
    <row r="2499" spans="2:4">
      <c r="B2499" s="2"/>
      <c r="C2499" s="2"/>
      <c r="D2499" s="2"/>
    </row>
    <row r="2500" spans="2:4">
      <c r="B2500" s="2"/>
      <c r="C2500" s="2"/>
      <c r="D2500" s="2"/>
    </row>
    <row r="2501" spans="2:4">
      <c r="B2501" s="2"/>
      <c r="C2501" s="2"/>
      <c r="D2501" s="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39A8E-E92B-4618-9E6C-AF523048E93E}">
  <dimension ref="A1:W1822"/>
  <sheetViews>
    <sheetView workbookViewId="0">
      <selection activeCell="D11" sqref="D11"/>
    </sheetView>
  </sheetViews>
  <sheetFormatPr defaultRowHeight="14.4"/>
  <cols>
    <col min="1" max="1" width="9.44140625" customWidth="1"/>
    <col min="2" max="3" width="12.21875" style="5" customWidth="1"/>
    <col min="4" max="4" width="13.6640625" style="5" customWidth="1"/>
    <col min="6" max="6" width="9.6640625" customWidth="1"/>
    <col min="9" max="9" width="18.5546875" customWidth="1"/>
    <col min="10" max="10" width="14.33203125" customWidth="1"/>
    <col min="11" max="11" width="14.44140625" customWidth="1"/>
    <col min="12" max="12" width="18.88671875" customWidth="1"/>
    <col min="13" max="13" width="10.44140625" style="7" bestFit="1" customWidth="1"/>
    <col min="14" max="14" width="10.21875" customWidth="1"/>
    <col min="15" max="15" width="10.44140625" style="7" bestFit="1" customWidth="1"/>
    <col min="16" max="16" width="10.21875" customWidth="1"/>
    <col min="17" max="17" width="15.88671875" customWidth="1"/>
    <col min="18" max="18" width="15.44140625" customWidth="1"/>
    <col min="21" max="21" width="14.6640625" customWidth="1"/>
    <col min="22" max="22" width="14.109375" customWidth="1"/>
    <col min="23" max="23" width="9" style="9" customWidth="1"/>
  </cols>
  <sheetData>
    <row r="1" spans="1:23">
      <c r="A1" s="1" t="s">
        <v>0</v>
      </c>
      <c r="B1" s="4" t="s">
        <v>1</v>
      </c>
      <c r="C1" s="4" t="s">
        <v>2</v>
      </c>
      <c r="D1" s="4" t="s">
        <v>3</v>
      </c>
      <c r="E1" s="1" t="s">
        <v>4</v>
      </c>
      <c r="F1" s="1" t="s">
        <v>5</v>
      </c>
      <c r="G1" s="1" t="s">
        <v>6</v>
      </c>
      <c r="H1" s="1" t="s">
        <v>7</v>
      </c>
      <c r="I1" s="1" t="s">
        <v>8</v>
      </c>
      <c r="J1" s="1" t="s">
        <v>9</v>
      </c>
      <c r="K1" s="1" t="s">
        <v>10</v>
      </c>
      <c r="L1" s="1" t="s">
        <v>11</v>
      </c>
      <c r="M1" s="6" t="s">
        <v>12</v>
      </c>
      <c r="N1" s="1" t="s">
        <v>13</v>
      </c>
      <c r="O1" s="6" t="s">
        <v>14</v>
      </c>
      <c r="P1" s="1" t="s">
        <v>15</v>
      </c>
      <c r="Q1" s="1" t="s">
        <v>16</v>
      </c>
      <c r="R1" s="1" t="s">
        <v>17</v>
      </c>
      <c r="S1" s="3" t="s">
        <v>63</v>
      </c>
      <c r="T1" s="3" t="s">
        <v>64</v>
      </c>
      <c r="U1" s="3" t="s">
        <v>65</v>
      </c>
      <c r="V1" s="3" t="s">
        <v>66</v>
      </c>
      <c r="W1" s="8" t="s">
        <v>67</v>
      </c>
    </row>
    <row r="2" spans="1:23">
      <c r="A2">
        <v>10001</v>
      </c>
      <c r="B2" s="5">
        <v>44197</v>
      </c>
      <c r="C2" s="5">
        <v>44199</v>
      </c>
      <c r="D2" s="5">
        <v>44203</v>
      </c>
      <c r="E2" t="s">
        <v>18</v>
      </c>
      <c r="F2" t="s">
        <v>22</v>
      </c>
      <c r="G2" t="s">
        <v>23</v>
      </c>
      <c r="H2" t="s">
        <v>29</v>
      </c>
      <c r="I2" t="s">
        <v>34</v>
      </c>
      <c r="J2" t="s">
        <v>37</v>
      </c>
      <c r="K2" t="s">
        <v>44</v>
      </c>
      <c r="L2" t="s">
        <v>51</v>
      </c>
      <c r="M2" s="7">
        <v>58593</v>
      </c>
      <c r="N2">
        <v>0.15</v>
      </c>
      <c r="O2" s="7">
        <v>13209</v>
      </c>
      <c r="P2">
        <v>21</v>
      </c>
      <c r="Q2" t="s">
        <v>54</v>
      </c>
      <c r="R2" t="s">
        <v>59</v>
      </c>
      <c r="S2">
        <f>YEAR(B2)</f>
        <v>2021</v>
      </c>
      <c r="T2" t="str">
        <f>TEXT(B2,"mmm")</f>
        <v>Jan</v>
      </c>
      <c r="U2">
        <f>C2-B2</f>
        <v>2</v>
      </c>
      <c r="V2">
        <f>D2-B2</f>
        <v>6</v>
      </c>
      <c r="W2" s="9">
        <f>IFERROR(O2/M2,0)</f>
        <v>0.22543648558701551</v>
      </c>
    </row>
    <row r="3" spans="1:23">
      <c r="A3">
        <v>10002</v>
      </c>
      <c r="B3" s="5">
        <v>44198</v>
      </c>
      <c r="C3" s="5">
        <v>44204</v>
      </c>
      <c r="D3" s="5">
        <v>44208</v>
      </c>
      <c r="E3" t="s">
        <v>19</v>
      </c>
      <c r="F3" t="s">
        <v>22</v>
      </c>
      <c r="G3" t="s">
        <v>24</v>
      </c>
      <c r="H3" t="s">
        <v>25</v>
      </c>
      <c r="I3" t="s">
        <v>35</v>
      </c>
      <c r="J3" t="s">
        <v>38</v>
      </c>
      <c r="K3" t="s">
        <v>45</v>
      </c>
      <c r="L3" t="s">
        <v>51</v>
      </c>
      <c r="M3" s="7">
        <v>71540</v>
      </c>
      <c r="N3">
        <v>0.25</v>
      </c>
      <c r="O3" s="7">
        <v>17196</v>
      </c>
      <c r="P3">
        <v>22</v>
      </c>
      <c r="Q3" t="s">
        <v>54</v>
      </c>
      <c r="R3" t="s">
        <v>60</v>
      </c>
      <c r="S3">
        <f t="shared" ref="S3:S66" si="0">YEAR(B3)</f>
        <v>2021</v>
      </c>
      <c r="T3" t="str">
        <f t="shared" ref="T3:T66" si="1">TEXT(B3,"mmm")</f>
        <v>Jan</v>
      </c>
      <c r="U3">
        <f t="shared" ref="U3:U66" si="2">C3-B3</f>
        <v>6</v>
      </c>
      <c r="V3">
        <f t="shared" ref="V3:V66" si="3">D3-B3</f>
        <v>10</v>
      </c>
      <c r="W3" s="9">
        <f t="shared" ref="W3:W66" si="4">IFERROR(O3/M3,0)</f>
        <v>0.24036902432205759</v>
      </c>
    </row>
    <row r="4" spans="1:23">
      <c r="A4">
        <v>10003</v>
      </c>
      <c r="B4" s="5">
        <v>44199</v>
      </c>
      <c r="C4" s="5">
        <v>44206</v>
      </c>
      <c r="D4" s="5">
        <v>44208</v>
      </c>
      <c r="E4" t="s">
        <v>20</v>
      </c>
      <c r="F4" t="s">
        <v>22</v>
      </c>
      <c r="G4" t="s">
        <v>24</v>
      </c>
      <c r="H4" t="s">
        <v>30</v>
      </c>
      <c r="I4" t="s">
        <v>34</v>
      </c>
      <c r="J4" t="s">
        <v>39</v>
      </c>
      <c r="K4" t="s">
        <v>46</v>
      </c>
      <c r="L4" t="s">
        <v>51</v>
      </c>
      <c r="M4" s="7">
        <v>65230</v>
      </c>
      <c r="N4">
        <v>0.35</v>
      </c>
      <c r="O4" s="7">
        <v>1181</v>
      </c>
      <c r="P4">
        <v>17</v>
      </c>
      <c r="Q4" t="s">
        <v>55</v>
      </c>
      <c r="R4" t="s">
        <v>61</v>
      </c>
      <c r="S4">
        <f t="shared" si="0"/>
        <v>2021</v>
      </c>
      <c r="T4" t="str">
        <f t="shared" si="1"/>
        <v>Jan</v>
      </c>
      <c r="U4">
        <f t="shared" si="2"/>
        <v>7</v>
      </c>
      <c r="V4">
        <f t="shared" si="3"/>
        <v>9</v>
      </c>
      <c r="W4" s="9">
        <f t="shared" si="4"/>
        <v>1.8105166334508663E-2</v>
      </c>
    </row>
    <row r="5" spans="1:23">
      <c r="A5">
        <v>10004</v>
      </c>
      <c r="B5" s="5">
        <v>44200</v>
      </c>
      <c r="C5" s="5">
        <v>44205</v>
      </c>
      <c r="D5" s="5">
        <v>44208</v>
      </c>
      <c r="E5" t="s">
        <v>21</v>
      </c>
      <c r="F5" t="s">
        <v>22</v>
      </c>
      <c r="G5" t="s">
        <v>25</v>
      </c>
      <c r="H5" t="s">
        <v>29</v>
      </c>
      <c r="I5" t="s">
        <v>35</v>
      </c>
      <c r="J5" t="s">
        <v>39</v>
      </c>
      <c r="K5" t="s">
        <v>45</v>
      </c>
      <c r="L5" t="s">
        <v>52</v>
      </c>
      <c r="M5" s="7">
        <v>44292</v>
      </c>
      <c r="N5">
        <v>0.25</v>
      </c>
      <c r="O5" s="7">
        <v>16220</v>
      </c>
      <c r="P5">
        <v>13</v>
      </c>
      <c r="Q5" t="s">
        <v>54</v>
      </c>
      <c r="R5" t="s">
        <v>59</v>
      </c>
      <c r="S5">
        <f t="shared" si="0"/>
        <v>2021</v>
      </c>
      <c r="T5" t="str">
        <f t="shared" si="1"/>
        <v>Jan</v>
      </c>
      <c r="U5">
        <f t="shared" si="2"/>
        <v>5</v>
      </c>
      <c r="V5">
        <f t="shared" si="3"/>
        <v>8</v>
      </c>
      <c r="W5" s="9">
        <f t="shared" si="4"/>
        <v>0.3662060868779915</v>
      </c>
    </row>
    <row r="6" spans="1:23">
      <c r="A6">
        <v>10005</v>
      </c>
      <c r="B6" s="5">
        <v>44201</v>
      </c>
      <c r="C6" s="5">
        <v>44206</v>
      </c>
      <c r="D6" s="5">
        <v>44207</v>
      </c>
      <c r="E6" t="s">
        <v>18</v>
      </c>
      <c r="F6" t="s">
        <v>22</v>
      </c>
      <c r="G6" t="s">
        <v>26</v>
      </c>
      <c r="H6" t="s">
        <v>25</v>
      </c>
      <c r="I6" t="s">
        <v>36</v>
      </c>
      <c r="J6" t="s">
        <v>40</v>
      </c>
      <c r="K6" t="s">
        <v>45</v>
      </c>
      <c r="L6" t="s">
        <v>52</v>
      </c>
      <c r="M6" s="7">
        <v>9733</v>
      </c>
      <c r="N6">
        <v>0.03</v>
      </c>
      <c r="O6" s="7">
        <v>-225</v>
      </c>
      <c r="P6">
        <v>24</v>
      </c>
      <c r="Q6" t="s">
        <v>54</v>
      </c>
      <c r="R6" t="s">
        <v>59</v>
      </c>
      <c r="S6">
        <f t="shared" si="0"/>
        <v>2021</v>
      </c>
      <c r="T6" t="str">
        <f t="shared" si="1"/>
        <v>Jan</v>
      </c>
      <c r="U6">
        <f t="shared" si="2"/>
        <v>5</v>
      </c>
      <c r="V6">
        <f t="shared" si="3"/>
        <v>6</v>
      </c>
      <c r="W6" s="9">
        <f t="shared" si="4"/>
        <v>-2.311723004212473E-2</v>
      </c>
    </row>
    <row r="7" spans="1:23">
      <c r="A7">
        <v>10006</v>
      </c>
      <c r="B7" s="5">
        <v>44202</v>
      </c>
      <c r="C7" s="5">
        <v>44204</v>
      </c>
      <c r="D7" s="5">
        <v>44208</v>
      </c>
      <c r="E7" t="s">
        <v>18</v>
      </c>
      <c r="F7" t="s">
        <v>22</v>
      </c>
      <c r="G7" t="s">
        <v>25</v>
      </c>
      <c r="H7" t="s">
        <v>31</v>
      </c>
      <c r="I7" t="s">
        <v>35</v>
      </c>
      <c r="J7" t="s">
        <v>40</v>
      </c>
      <c r="K7" t="s">
        <v>47</v>
      </c>
      <c r="L7" t="s">
        <v>53</v>
      </c>
      <c r="M7" s="7">
        <v>12743</v>
      </c>
      <c r="N7">
        <v>0.13</v>
      </c>
      <c r="O7" s="7">
        <v>19285</v>
      </c>
      <c r="P7">
        <v>18</v>
      </c>
      <c r="Q7" t="s">
        <v>56</v>
      </c>
      <c r="R7" t="s">
        <v>59</v>
      </c>
      <c r="S7">
        <f t="shared" si="0"/>
        <v>2021</v>
      </c>
      <c r="T7" t="str">
        <f t="shared" si="1"/>
        <v>Jan</v>
      </c>
      <c r="U7">
        <f t="shared" si="2"/>
        <v>2</v>
      </c>
      <c r="V7">
        <f t="shared" si="3"/>
        <v>6</v>
      </c>
      <c r="W7" s="9">
        <f t="shared" si="4"/>
        <v>1.5133798948442283</v>
      </c>
    </row>
    <row r="8" spans="1:23">
      <c r="A8">
        <v>10007</v>
      </c>
      <c r="B8" s="5">
        <v>44203</v>
      </c>
      <c r="C8" s="5">
        <v>44209</v>
      </c>
      <c r="D8" s="5">
        <v>44211</v>
      </c>
      <c r="E8" t="s">
        <v>18</v>
      </c>
      <c r="F8" t="s">
        <v>22</v>
      </c>
      <c r="G8" t="s">
        <v>27</v>
      </c>
      <c r="H8" t="s">
        <v>32</v>
      </c>
      <c r="I8" t="s">
        <v>34</v>
      </c>
      <c r="J8" t="s">
        <v>39</v>
      </c>
      <c r="K8" t="s">
        <v>48</v>
      </c>
      <c r="L8" t="s">
        <v>53</v>
      </c>
      <c r="M8" s="7">
        <v>24441</v>
      </c>
      <c r="N8">
        <v>0.15</v>
      </c>
      <c r="O8" s="7">
        <v>2384</v>
      </c>
      <c r="P8">
        <v>5</v>
      </c>
      <c r="Q8" t="s">
        <v>57</v>
      </c>
      <c r="R8" t="s">
        <v>62</v>
      </c>
      <c r="S8">
        <f t="shared" si="0"/>
        <v>2021</v>
      </c>
      <c r="T8" t="str">
        <f t="shared" si="1"/>
        <v>Jan</v>
      </c>
      <c r="U8">
        <f t="shared" si="2"/>
        <v>6</v>
      </c>
      <c r="V8">
        <f t="shared" si="3"/>
        <v>8</v>
      </c>
      <c r="W8" s="9">
        <f t="shared" si="4"/>
        <v>9.7541017143324735E-2</v>
      </c>
    </row>
    <row r="9" spans="1:23">
      <c r="A9">
        <v>10008</v>
      </c>
      <c r="B9" s="5">
        <v>44204</v>
      </c>
      <c r="C9" s="5">
        <v>44207</v>
      </c>
      <c r="D9" s="5">
        <v>44209</v>
      </c>
      <c r="E9" t="s">
        <v>18</v>
      </c>
      <c r="F9" t="s">
        <v>22</v>
      </c>
      <c r="G9" t="s">
        <v>28</v>
      </c>
      <c r="H9" t="s">
        <v>29</v>
      </c>
      <c r="I9" t="s">
        <v>35</v>
      </c>
      <c r="J9" t="s">
        <v>38</v>
      </c>
      <c r="K9" t="s">
        <v>47</v>
      </c>
      <c r="L9" t="s">
        <v>53</v>
      </c>
      <c r="M9" s="7">
        <v>71119</v>
      </c>
      <c r="N9">
        <v>0.28000000000000003</v>
      </c>
      <c r="O9" s="7">
        <v>1987</v>
      </c>
      <c r="P9">
        <v>23</v>
      </c>
      <c r="Q9" t="s">
        <v>56</v>
      </c>
      <c r="R9" t="s">
        <v>61</v>
      </c>
      <c r="S9">
        <f t="shared" si="0"/>
        <v>2021</v>
      </c>
      <c r="T9" t="str">
        <f t="shared" si="1"/>
        <v>Jan</v>
      </c>
      <c r="U9">
        <f t="shared" si="2"/>
        <v>3</v>
      </c>
      <c r="V9">
        <f t="shared" si="3"/>
        <v>5</v>
      </c>
      <c r="W9" s="9">
        <f t="shared" si="4"/>
        <v>2.7939088007424177E-2</v>
      </c>
    </row>
    <row r="10" spans="1:23">
      <c r="A10">
        <v>10009</v>
      </c>
      <c r="B10" s="5">
        <v>44205</v>
      </c>
      <c r="C10" s="5">
        <v>44207</v>
      </c>
      <c r="D10" s="5">
        <v>44208</v>
      </c>
      <c r="E10" t="s">
        <v>19</v>
      </c>
      <c r="F10" t="s">
        <v>22</v>
      </c>
      <c r="G10" t="s">
        <v>28</v>
      </c>
      <c r="H10" t="s">
        <v>32</v>
      </c>
      <c r="I10" t="s">
        <v>35</v>
      </c>
      <c r="J10" t="s">
        <v>41</v>
      </c>
      <c r="K10" t="s">
        <v>48</v>
      </c>
      <c r="L10" t="s">
        <v>52</v>
      </c>
      <c r="M10" s="7">
        <v>29497</v>
      </c>
      <c r="N10">
        <v>0.15</v>
      </c>
      <c r="O10" s="7">
        <v>17236</v>
      </c>
      <c r="P10">
        <v>10</v>
      </c>
      <c r="Q10" t="s">
        <v>56</v>
      </c>
      <c r="R10" t="s">
        <v>61</v>
      </c>
      <c r="S10">
        <f t="shared" si="0"/>
        <v>2021</v>
      </c>
      <c r="T10" t="str">
        <f t="shared" si="1"/>
        <v>Jan</v>
      </c>
      <c r="U10">
        <f t="shared" si="2"/>
        <v>2</v>
      </c>
      <c r="V10">
        <f t="shared" si="3"/>
        <v>3</v>
      </c>
      <c r="W10" s="9">
        <f t="shared" si="4"/>
        <v>0.58433060989253149</v>
      </c>
    </row>
    <row r="11" spans="1:23">
      <c r="A11">
        <v>10010</v>
      </c>
      <c r="B11" s="5">
        <v>44206</v>
      </c>
      <c r="C11" s="5">
        <v>44213</v>
      </c>
      <c r="D11" s="5">
        <v>44215</v>
      </c>
      <c r="E11" t="s">
        <v>20</v>
      </c>
      <c r="F11" t="s">
        <v>22</v>
      </c>
      <c r="G11" t="s">
        <v>24</v>
      </c>
      <c r="H11" t="s">
        <v>33</v>
      </c>
      <c r="I11" t="s">
        <v>34</v>
      </c>
      <c r="J11" t="s">
        <v>41</v>
      </c>
      <c r="K11" t="s">
        <v>49</v>
      </c>
      <c r="L11" t="s">
        <v>51</v>
      </c>
      <c r="M11" s="7">
        <v>69182</v>
      </c>
      <c r="N11">
        <v>0.35</v>
      </c>
      <c r="O11" s="7">
        <v>3604</v>
      </c>
      <c r="P11">
        <v>12</v>
      </c>
      <c r="Q11" t="s">
        <v>55</v>
      </c>
      <c r="R11" t="s">
        <v>62</v>
      </c>
      <c r="S11">
        <f t="shared" si="0"/>
        <v>2021</v>
      </c>
      <c r="T11" t="str">
        <f t="shared" si="1"/>
        <v>Jan</v>
      </c>
      <c r="U11">
        <f t="shared" si="2"/>
        <v>7</v>
      </c>
      <c r="V11">
        <f t="shared" si="3"/>
        <v>9</v>
      </c>
      <c r="W11" s="9">
        <f t="shared" si="4"/>
        <v>5.209447544158885E-2</v>
      </c>
    </row>
    <row r="12" spans="1:23">
      <c r="A12">
        <v>10011</v>
      </c>
      <c r="B12" s="5">
        <v>44207</v>
      </c>
      <c r="C12" s="5">
        <v>44214</v>
      </c>
      <c r="D12" s="5">
        <v>44215</v>
      </c>
      <c r="E12" t="s">
        <v>21</v>
      </c>
      <c r="F12" t="s">
        <v>22</v>
      </c>
      <c r="G12" t="s">
        <v>26</v>
      </c>
      <c r="H12" t="s">
        <v>32</v>
      </c>
      <c r="I12" t="s">
        <v>35</v>
      </c>
      <c r="J12" t="s">
        <v>42</v>
      </c>
      <c r="K12" t="s">
        <v>49</v>
      </c>
      <c r="L12" t="s">
        <v>53</v>
      </c>
      <c r="M12" s="7">
        <v>74703</v>
      </c>
      <c r="N12">
        <v>0.15</v>
      </c>
      <c r="O12" s="7">
        <v>12837</v>
      </c>
      <c r="P12">
        <v>14</v>
      </c>
      <c r="Q12" t="s">
        <v>55</v>
      </c>
      <c r="R12" t="s">
        <v>59</v>
      </c>
      <c r="S12">
        <f t="shared" si="0"/>
        <v>2021</v>
      </c>
      <c r="T12" t="str">
        <f t="shared" si="1"/>
        <v>Jan</v>
      </c>
      <c r="U12">
        <f t="shared" si="2"/>
        <v>7</v>
      </c>
      <c r="V12">
        <f t="shared" si="3"/>
        <v>8</v>
      </c>
      <c r="W12" s="9">
        <f t="shared" si="4"/>
        <v>0.17184048833380186</v>
      </c>
    </row>
    <row r="13" spans="1:23">
      <c r="A13">
        <v>10012</v>
      </c>
      <c r="B13" s="5">
        <v>44208</v>
      </c>
      <c r="C13" s="5">
        <v>44211</v>
      </c>
      <c r="D13" s="5">
        <v>44212</v>
      </c>
      <c r="E13" t="s">
        <v>18</v>
      </c>
      <c r="F13" t="s">
        <v>22</v>
      </c>
      <c r="G13" t="s">
        <v>23</v>
      </c>
      <c r="H13" t="s">
        <v>29</v>
      </c>
      <c r="I13" t="s">
        <v>34</v>
      </c>
      <c r="J13" t="s">
        <v>39</v>
      </c>
      <c r="K13" t="s">
        <v>44</v>
      </c>
      <c r="L13" t="s">
        <v>53</v>
      </c>
      <c r="M13" s="7">
        <v>60567</v>
      </c>
      <c r="N13">
        <v>0.16</v>
      </c>
      <c r="O13" s="7">
        <v>8255</v>
      </c>
      <c r="P13">
        <v>13</v>
      </c>
      <c r="Q13" t="s">
        <v>58</v>
      </c>
      <c r="R13" t="s">
        <v>61</v>
      </c>
      <c r="S13">
        <f t="shared" si="0"/>
        <v>2021</v>
      </c>
      <c r="T13" t="str">
        <f t="shared" si="1"/>
        <v>Jan</v>
      </c>
      <c r="U13">
        <f t="shared" si="2"/>
        <v>3</v>
      </c>
      <c r="V13">
        <f t="shared" si="3"/>
        <v>4</v>
      </c>
      <c r="W13" s="9">
        <f t="shared" si="4"/>
        <v>0.13629534234814339</v>
      </c>
    </row>
    <row r="14" spans="1:23">
      <c r="A14">
        <v>10013</v>
      </c>
      <c r="B14" s="5">
        <v>44209</v>
      </c>
      <c r="C14" s="5">
        <v>44214</v>
      </c>
      <c r="D14" s="5">
        <v>44215</v>
      </c>
      <c r="E14" t="s">
        <v>19</v>
      </c>
      <c r="F14" t="s">
        <v>22</v>
      </c>
      <c r="G14" t="s">
        <v>28</v>
      </c>
      <c r="H14" t="s">
        <v>32</v>
      </c>
      <c r="I14" t="s">
        <v>35</v>
      </c>
      <c r="J14" t="s">
        <v>40</v>
      </c>
      <c r="K14" t="s">
        <v>49</v>
      </c>
      <c r="L14" t="s">
        <v>52</v>
      </c>
      <c r="M14" s="7">
        <v>11195</v>
      </c>
      <c r="N14">
        <v>0.24</v>
      </c>
      <c r="O14" s="7">
        <v>15849</v>
      </c>
      <c r="P14">
        <v>3</v>
      </c>
      <c r="Q14" t="s">
        <v>54</v>
      </c>
      <c r="R14" t="s">
        <v>59</v>
      </c>
      <c r="S14">
        <f t="shared" si="0"/>
        <v>2021</v>
      </c>
      <c r="T14" t="str">
        <f t="shared" si="1"/>
        <v>Jan</v>
      </c>
      <c r="U14">
        <f t="shared" si="2"/>
        <v>5</v>
      </c>
      <c r="V14">
        <f t="shared" si="3"/>
        <v>6</v>
      </c>
      <c r="W14" s="9">
        <f t="shared" si="4"/>
        <v>1.4157213041536401</v>
      </c>
    </row>
    <row r="15" spans="1:23">
      <c r="A15">
        <v>10014</v>
      </c>
      <c r="B15" s="5">
        <v>44210</v>
      </c>
      <c r="C15" s="5">
        <v>44216</v>
      </c>
      <c r="D15" s="5">
        <v>44217</v>
      </c>
      <c r="E15" t="s">
        <v>20</v>
      </c>
      <c r="F15" t="s">
        <v>22</v>
      </c>
      <c r="G15" t="s">
        <v>28</v>
      </c>
      <c r="H15" t="s">
        <v>32</v>
      </c>
      <c r="I15" t="s">
        <v>35</v>
      </c>
      <c r="J15" t="s">
        <v>42</v>
      </c>
      <c r="K15" t="s">
        <v>46</v>
      </c>
      <c r="L15" t="s">
        <v>52</v>
      </c>
      <c r="M15" s="7">
        <v>10762</v>
      </c>
      <c r="N15">
        <v>0.27</v>
      </c>
      <c r="O15" s="7">
        <v>7556</v>
      </c>
      <c r="P15">
        <v>4</v>
      </c>
      <c r="Q15" t="s">
        <v>57</v>
      </c>
      <c r="R15" t="s">
        <v>60</v>
      </c>
      <c r="S15">
        <f t="shared" si="0"/>
        <v>2021</v>
      </c>
      <c r="T15" t="str">
        <f t="shared" si="1"/>
        <v>Jan</v>
      </c>
      <c r="U15">
        <f t="shared" si="2"/>
        <v>6</v>
      </c>
      <c r="V15">
        <f t="shared" si="3"/>
        <v>7</v>
      </c>
      <c r="W15" s="9">
        <f t="shared" si="4"/>
        <v>0.70209998141609364</v>
      </c>
    </row>
    <row r="16" spans="1:23">
      <c r="A16">
        <v>10015</v>
      </c>
      <c r="B16" s="5">
        <v>44211</v>
      </c>
      <c r="C16" s="5">
        <v>44215</v>
      </c>
      <c r="D16" s="5">
        <v>44217</v>
      </c>
      <c r="E16" t="s">
        <v>21</v>
      </c>
      <c r="F16" t="s">
        <v>22</v>
      </c>
      <c r="G16" t="s">
        <v>24</v>
      </c>
      <c r="H16" t="s">
        <v>30</v>
      </c>
      <c r="I16" t="s">
        <v>35</v>
      </c>
      <c r="J16" t="s">
        <v>37</v>
      </c>
      <c r="K16" t="s">
        <v>48</v>
      </c>
      <c r="L16" t="s">
        <v>53</v>
      </c>
      <c r="M16" s="7">
        <v>12243</v>
      </c>
      <c r="N16">
        <v>0.34</v>
      </c>
      <c r="O16" s="7">
        <v>3727</v>
      </c>
      <c r="P16">
        <v>17</v>
      </c>
      <c r="Q16" t="s">
        <v>54</v>
      </c>
      <c r="R16" t="s">
        <v>62</v>
      </c>
      <c r="S16">
        <f t="shared" si="0"/>
        <v>2021</v>
      </c>
      <c r="T16" t="str">
        <f t="shared" si="1"/>
        <v>Jan</v>
      </c>
      <c r="U16">
        <f t="shared" si="2"/>
        <v>4</v>
      </c>
      <c r="V16">
        <f t="shared" si="3"/>
        <v>6</v>
      </c>
      <c r="W16" s="9">
        <f t="shared" si="4"/>
        <v>0.30441885158866289</v>
      </c>
    </row>
    <row r="17" spans="1:23">
      <c r="A17">
        <v>10016</v>
      </c>
      <c r="B17" s="5">
        <v>44212</v>
      </c>
      <c r="C17" s="5">
        <v>44219</v>
      </c>
      <c r="D17" s="5">
        <v>44220</v>
      </c>
      <c r="E17" t="s">
        <v>21</v>
      </c>
      <c r="F17" t="s">
        <v>22</v>
      </c>
      <c r="G17" t="s">
        <v>27</v>
      </c>
      <c r="H17" t="s">
        <v>29</v>
      </c>
      <c r="I17" t="s">
        <v>35</v>
      </c>
      <c r="J17" t="s">
        <v>39</v>
      </c>
      <c r="K17" t="s">
        <v>46</v>
      </c>
      <c r="L17" t="s">
        <v>51</v>
      </c>
      <c r="M17" s="7">
        <v>69727</v>
      </c>
      <c r="N17">
        <v>0.04</v>
      </c>
      <c r="O17" s="7">
        <v>10871</v>
      </c>
      <c r="P17">
        <v>22</v>
      </c>
      <c r="Q17" t="s">
        <v>54</v>
      </c>
      <c r="R17" t="s">
        <v>62</v>
      </c>
      <c r="S17">
        <f t="shared" si="0"/>
        <v>2021</v>
      </c>
      <c r="T17" t="str">
        <f t="shared" si="1"/>
        <v>Jan</v>
      </c>
      <c r="U17">
        <f t="shared" si="2"/>
        <v>7</v>
      </c>
      <c r="V17">
        <f t="shared" si="3"/>
        <v>8</v>
      </c>
      <c r="W17" s="9">
        <f t="shared" si="4"/>
        <v>0.15590804136130912</v>
      </c>
    </row>
    <row r="18" spans="1:23">
      <c r="A18">
        <v>10017</v>
      </c>
      <c r="B18" s="5">
        <v>44213</v>
      </c>
      <c r="C18" s="5">
        <v>44217</v>
      </c>
      <c r="D18" s="5">
        <v>44219</v>
      </c>
      <c r="E18" t="s">
        <v>21</v>
      </c>
      <c r="F18" t="s">
        <v>22</v>
      </c>
      <c r="G18" t="s">
        <v>27</v>
      </c>
      <c r="H18" t="s">
        <v>25</v>
      </c>
      <c r="I18" t="s">
        <v>34</v>
      </c>
      <c r="J18" t="s">
        <v>42</v>
      </c>
      <c r="K18" t="s">
        <v>48</v>
      </c>
      <c r="L18" t="s">
        <v>52</v>
      </c>
      <c r="M18" s="7">
        <v>17375</v>
      </c>
      <c r="N18">
        <v>7.0000000000000007E-2</v>
      </c>
      <c r="O18" s="7">
        <v>6797</v>
      </c>
      <c r="P18">
        <v>23</v>
      </c>
      <c r="Q18" t="s">
        <v>55</v>
      </c>
      <c r="R18" t="s">
        <v>60</v>
      </c>
      <c r="S18">
        <f t="shared" si="0"/>
        <v>2021</v>
      </c>
      <c r="T18" t="str">
        <f t="shared" si="1"/>
        <v>Jan</v>
      </c>
      <c r="U18">
        <f t="shared" si="2"/>
        <v>4</v>
      </c>
      <c r="V18">
        <f t="shared" si="3"/>
        <v>6</v>
      </c>
      <c r="W18" s="9">
        <f t="shared" si="4"/>
        <v>0.39119424460431657</v>
      </c>
    </row>
    <row r="19" spans="1:23">
      <c r="A19">
        <v>10018</v>
      </c>
      <c r="B19" s="5">
        <v>44214</v>
      </c>
      <c r="C19" s="5">
        <v>44216</v>
      </c>
      <c r="D19" s="5">
        <v>44221</v>
      </c>
      <c r="E19" t="s">
        <v>19</v>
      </c>
      <c r="F19" t="s">
        <v>22</v>
      </c>
      <c r="G19" t="s">
        <v>25</v>
      </c>
      <c r="H19" t="s">
        <v>30</v>
      </c>
      <c r="I19" t="s">
        <v>35</v>
      </c>
      <c r="J19" t="s">
        <v>40</v>
      </c>
      <c r="K19" t="s">
        <v>50</v>
      </c>
      <c r="L19" t="s">
        <v>53</v>
      </c>
      <c r="M19" s="7">
        <v>3772</v>
      </c>
      <c r="N19">
        <v>0.24</v>
      </c>
      <c r="O19" s="7">
        <v>-904</v>
      </c>
      <c r="P19">
        <v>6</v>
      </c>
      <c r="Q19" t="s">
        <v>55</v>
      </c>
      <c r="R19" t="s">
        <v>60</v>
      </c>
      <c r="S19">
        <f t="shared" si="0"/>
        <v>2021</v>
      </c>
      <c r="T19" t="str">
        <f t="shared" si="1"/>
        <v>Jan</v>
      </c>
      <c r="U19">
        <f t="shared" si="2"/>
        <v>2</v>
      </c>
      <c r="V19">
        <f t="shared" si="3"/>
        <v>7</v>
      </c>
      <c r="W19" s="9">
        <f t="shared" si="4"/>
        <v>-0.23966065747613999</v>
      </c>
    </row>
    <row r="20" spans="1:23">
      <c r="A20">
        <v>10019</v>
      </c>
      <c r="B20" s="5">
        <v>44215</v>
      </c>
      <c r="C20" s="5">
        <v>44218</v>
      </c>
      <c r="D20" s="5">
        <v>44223</v>
      </c>
      <c r="E20" t="s">
        <v>18</v>
      </c>
      <c r="F20" t="s">
        <v>22</v>
      </c>
      <c r="G20" t="s">
        <v>28</v>
      </c>
      <c r="H20" t="s">
        <v>32</v>
      </c>
      <c r="I20" t="s">
        <v>34</v>
      </c>
      <c r="J20" t="s">
        <v>42</v>
      </c>
      <c r="K20" t="s">
        <v>49</v>
      </c>
      <c r="L20" t="s">
        <v>52</v>
      </c>
      <c r="M20" s="7">
        <v>69011</v>
      </c>
      <c r="N20">
        <v>0.09</v>
      </c>
      <c r="O20" s="7">
        <v>13375</v>
      </c>
      <c r="P20">
        <v>17</v>
      </c>
      <c r="Q20" t="s">
        <v>54</v>
      </c>
      <c r="R20" t="s">
        <v>61</v>
      </c>
      <c r="S20">
        <f t="shared" si="0"/>
        <v>2021</v>
      </c>
      <c r="T20" t="str">
        <f t="shared" si="1"/>
        <v>Jan</v>
      </c>
      <c r="U20">
        <f t="shared" si="2"/>
        <v>3</v>
      </c>
      <c r="V20">
        <f t="shared" si="3"/>
        <v>8</v>
      </c>
      <c r="W20" s="9">
        <f t="shared" si="4"/>
        <v>0.19380968251438177</v>
      </c>
    </row>
    <row r="21" spans="1:23">
      <c r="A21">
        <v>10020</v>
      </c>
      <c r="B21" s="5">
        <v>44216</v>
      </c>
      <c r="C21" s="5">
        <v>44221</v>
      </c>
      <c r="D21" s="5">
        <v>44225</v>
      </c>
      <c r="E21" t="s">
        <v>21</v>
      </c>
      <c r="F21" t="s">
        <v>22</v>
      </c>
      <c r="G21" t="s">
        <v>24</v>
      </c>
      <c r="H21" t="s">
        <v>33</v>
      </c>
      <c r="I21" t="s">
        <v>36</v>
      </c>
      <c r="J21" t="s">
        <v>40</v>
      </c>
      <c r="K21" t="s">
        <v>49</v>
      </c>
      <c r="L21" t="s">
        <v>51</v>
      </c>
      <c r="M21" s="7">
        <v>12713</v>
      </c>
      <c r="N21">
        <v>0.01</v>
      </c>
      <c r="O21" s="7">
        <v>-1696</v>
      </c>
      <c r="P21">
        <v>11</v>
      </c>
      <c r="Q21" t="s">
        <v>58</v>
      </c>
      <c r="R21" t="s">
        <v>59</v>
      </c>
      <c r="S21">
        <f t="shared" si="0"/>
        <v>2021</v>
      </c>
      <c r="T21" t="str">
        <f t="shared" si="1"/>
        <v>Jan</v>
      </c>
      <c r="U21">
        <f t="shared" si="2"/>
        <v>5</v>
      </c>
      <c r="V21">
        <f t="shared" si="3"/>
        <v>9</v>
      </c>
      <c r="W21" s="9">
        <f t="shared" si="4"/>
        <v>-0.1334067489970896</v>
      </c>
    </row>
    <row r="22" spans="1:23">
      <c r="A22">
        <v>10021</v>
      </c>
      <c r="B22" s="5">
        <v>44217</v>
      </c>
      <c r="C22" s="5">
        <v>44224</v>
      </c>
      <c r="D22" s="5">
        <v>44229</v>
      </c>
      <c r="E22" t="s">
        <v>19</v>
      </c>
      <c r="F22" t="s">
        <v>22</v>
      </c>
      <c r="G22" t="s">
        <v>27</v>
      </c>
      <c r="H22" t="s">
        <v>31</v>
      </c>
      <c r="I22" t="s">
        <v>35</v>
      </c>
      <c r="J22" t="s">
        <v>43</v>
      </c>
      <c r="K22" t="s">
        <v>48</v>
      </c>
      <c r="L22" t="s">
        <v>53</v>
      </c>
      <c r="M22" s="7">
        <v>4489</v>
      </c>
      <c r="N22">
        <v>0.15</v>
      </c>
      <c r="O22" s="7">
        <v>9784</v>
      </c>
      <c r="P22">
        <v>19</v>
      </c>
      <c r="Q22" t="s">
        <v>55</v>
      </c>
      <c r="R22" t="s">
        <v>61</v>
      </c>
      <c r="S22">
        <f t="shared" si="0"/>
        <v>2021</v>
      </c>
      <c r="T22" t="str">
        <f t="shared" si="1"/>
        <v>Jan</v>
      </c>
      <c r="U22">
        <f t="shared" si="2"/>
        <v>7</v>
      </c>
      <c r="V22">
        <f t="shared" si="3"/>
        <v>12</v>
      </c>
      <c r="W22" s="9">
        <f t="shared" si="4"/>
        <v>2.1795500111383381</v>
      </c>
    </row>
    <row r="23" spans="1:23">
      <c r="A23">
        <v>10022</v>
      </c>
      <c r="B23" s="5">
        <v>44218</v>
      </c>
      <c r="C23" s="5">
        <v>44225</v>
      </c>
      <c r="D23" s="5">
        <v>44227</v>
      </c>
      <c r="E23" t="s">
        <v>19</v>
      </c>
      <c r="F23" t="s">
        <v>22</v>
      </c>
      <c r="G23" t="s">
        <v>24</v>
      </c>
      <c r="H23" t="s">
        <v>32</v>
      </c>
      <c r="I23" t="s">
        <v>35</v>
      </c>
      <c r="J23" t="s">
        <v>41</v>
      </c>
      <c r="K23" t="s">
        <v>47</v>
      </c>
      <c r="L23" t="s">
        <v>51</v>
      </c>
      <c r="M23" s="7">
        <v>20571</v>
      </c>
      <c r="N23">
        <v>0.18</v>
      </c>
      <c r="O23" s="7">
        <v>3698</v>
      </c>
      <c r="P23">
        <v>4</v>
      </c>
      <c r="Q23" t="s">
        <v>55</v>
      </c>
      <c r="R23" t="s">
        <v>59</v>
      </c>
      <c r="S23">
        <f t="shared" si="0"/>
        <v>2021</v>
      </c>
      <c r="T23" t="str">
        <f t="shared" si="1"/>
        <v>Jan</v>
      </c>
      <c r="U23">
        <f t="shared" si="2"/>
        <v>7</v>
      </c>
      <c r="V23">
        <f t="shared" si="3"/>
        <v>9</v>
      </c>
      <c r="W23" s="9">
        <f t="shared" si="4"/>
        <v>0.17976763404793156</v>
      </c>
    </row>
    <row r="24" spans="1:23">
      <c r="A24">
        <v>10023</v>
      </c>
      <c r="B24" s="5">
        <v>44219</v>
      </c>
      <c r="C24" s="5">
        <v>44226</v>
      </c>
      <c r="D24" s="5">
        <v>44227</v>
      </c>
      <c r="E24" t="s">
        <v>18</v>
      </c>
      <c r="F24" t="s">
        <v>22</v>
      </c>
      <c r="G24" t="s">
        <v>26</v>
      </c>
      <c r="H24" t="s">
        <v>29</v>
      </c>
      <c r="I24" t="s">
        <v>34</v>
      </c>
      <c r="J24" t="s">
        <v>37</v>
      </c>
      <c r="K24" t="s">
        <v>49</v>
      </c>
      <c r="L24" t="s">
        <v>51</v>
      </c>
      <c r="M24" s="7">
        <v>30455</v>
      </c>
      <c r="N24">
        <v>0.2</v>
      </c>
      <c r="O24" s="7">
        <v>618</v>
      </c>
      <c r="P24">
        <v>15</v>
      </c>
      <c r="Q24" t="s">
        <v>55</v>
      </c>
      <c r="R24" t="s">
        <v>61</v>
      </c>
      <c r="S24">
        <f t="shared" si="0"/>
        <v>2021</v>
      </c>
      <c r="T24" t="str">
        <f t="shared" si="1"/>
        <v>Jan</v>
      </c>
      <c r="U24">
        <f t="shared" si="2"/>
        <v>7</v>
      </c>
      <c r="V24">
        <f t="shared" si="3"/>
        <v>8</v>
      </c>
      <c r="W24" s="9">
        <f t="shared" si="4"/>
        <v>2.0292234444262026E-2</v>
      </c>
    </row>
    <row r="25" spans="1:23">
      <c r="A25">
        <v>10024</v>
      </c>
      <c r="B25" s="5">
        <v>44220</v>
      </c>
      <c r="C25" s="5">
        <v>44224</v>
      </c>
      <c r="D25" s="5">
        <v>44227</v>
      </c>
      <c r="E25" t="s">
        <v>18</v>
      </c>
      <c r="F25" t="s">
        <v>22</v>
      </c>
      <c r="G25" t="s">
        <v>23</v>
      </c>
      <c r="H25" t="s">
        <v>32</v>
      </c>
      <c r="I25" t="s">
        <v>35</v>
      </c>
      <c r="J25" t="s">
        <v>42</v>
      </c>
      <c r="K25" t="s">
        <v>46</v>
      </c>
      <c r="L25" t="s">
        <v>53</v>
      </c>
      <c r="M25" s="7">
        <v>69865</v>
      </c>
      <c r="N25">
        <v>0.17</v>
      </c>
      <c r="O25" s="7">
        <v>5590</v>
      </c>
      <c r="P25">
        <v>11</v>
      </c>
      <c r="Q25" t="s">
        <v>58</v>
      </c>
      <c r="R25" t="s">
        <v>59</v>
      </c>
      <c r="S25">
        <f t="shared" si="0"/>
        <v>2021</v>
      </c>
      <c r="T25" t="str">
        <f t="shared" si="1"/>
        <v>Jan</v>
      </c>
      <c r="U25">
        <f t="shared" si="2"/>
        <v>4</v>
      </c>
      <c r="V25">
        <f t="shared" si="3"/>
        <v>7</v>
      </c>
      <c r="W25" s="9">
        <f t="shared" si="4"/>
        <v>8.0011450654834324E-2</v>
      </c>
    </row>
    <row r="26" spans="1:23">
      <c r="A26">
        <v>10025</v>
      </c>
      <c r="B26" s="5">
        <v>44221</v>
      </c>
      <c r="C26" s="5">
        <v>44225</v>
      </c>
      <c r="D26" s="5">
        <v>44229</v>
      </c>
      <c r="E26" t="s">
        <v>19</v>
      </c>
      <c r="F26" t="s">
        <v>22</v>
      </c>
      <c r="G26" t="s">
        <v>27</v>
      </c>
      <c r="H26" t="s">
        <v>33</v>
      </c>
      <c r="I26" t="s">
        <v>34</v>
      </c>
      <c r="J26" t="s">
        <v>39</v>
      </c>
      <c r="K26" t="s">
        <v>48</v>
      </c>
      <c r="L26" t="s">
        <v>51</v>
      </c>
      <c r="M26" s="7">
        <v>22553</v>
      </c>
      <c r="N26">
        <v>0.12</v>
      </c>
      <c r="O26" s="7">
        <v>1951</v>
      </c>
      <c r="P26">
        <v>8</v>
      </c>
      <c r="Q26" t="s">
        <v>56</v>
      </c>
      <c r="R26" t="s">
        <v>62</v>
      </c>
      <c r="S26">
        <f t="shared" si="0"/>
        <v>2021</v>
      </c>
      <c r="T26" t="str">
        <f t="shared" si="1"/>
        <v>Jan</v>
      </c>
      <c r="U26">
        <f t="shared" si="2"/>
        <v>4</v>
      </c>
      <c r="V26">
        <f t="shared" si="3"/>
        <v>8</v>
      </c>
      <c r="W26" s="9">
        <f t="shared" si="4"/>
        <v>8.650733826985324E-2</v>
      </c>
    </row>
    <row r="27" spans="1:23">
      <c r="A27">
        <v>10026</v>
      </c>
      <c r="B27" s="5">
        <v>44222</v>
      </c>
      <c r="C27" s="5">
        <v>44226</v>
      </c>
      <c r="D27" s="5">
        <v>44228</v>
      </c>
      <c r="E27" t="s">
        <v>19</v>
      </c>
      <c r="F27" t="s">
        <v>22</v>
      </c>
      <c r="G27" t="s">
        <v>27</v>
      </c>
      <c r="H27" t="s">
        <v>29</v>
      </c>
      <c r="I27" t="s">
        <v>35</v>
      </c>
      <c r="J27" t="s">
        <v>43</v>
      </c>
      <c r="K27" t="s">
        <v>46</v>
      </c>
      <c r="L27" t="s">
        <v>53</v>
      </c>
      <c r="M27" s="7">
        <v>59493</v>
      </c>
      <c r="N27">
        <v>0.15</v>
      </c>
      <c r="O27" s="7">
        <v>13178</v>
      </c>
      <c r="P27">
        <v>20</v>
      </c>
      <c r="Q27" t="s">
        <v>57</v>
      </c>
      <c r="R27" t="s">
        <v>61</v>
      </c>
      <c r="S27">
        <f t="shared" si="0"/>
        <v>2021</v>
      </c>
      <c r="T27" t="str">
        <f t="shared" si="1"/>
        <v>Jan</v>
      </c>
      <c r="U27">
        <f t="shared" si="2"/>
        <v>4</v>
      </c>
      <c r="V27">
        <f t="shared" si="3"/>
        <v>6</v>
      </c>
      <c r="W27" s="9">
        <f t="shared" si="4"/>
        <v>0.22150505101440507</v>
      </c>
    </row>
    <row r="28" spans="1:23">
      <c r="A28">
        <v>10027</v>
      </c>
      <c r="B28" s="5">
        <v>44223</v>
      </c>
      <c r="C28" s="5">
        <v>44227</v>
      </c>
      <c r="D28" s="5">
        <v>44230</v>
      </c>
      <c r="E28" t="s">
        <v>18</v>
      </c>
      <c r="F28" t="s">
        <v>22</v>
      </c>
      <c r="G28" t="s">
        <v>23</v>
      </c>
      <c r="H28" t="s">
        <v>31</v>
      </c>
      <c r="I28" t="s">
        <v>35</v>
      </c>
      <c r="J28" t="s">
        <v>39</v>
      </c>
      <c r="K28" t="s">
        <v>44</v>
      </c>
      <c r="L28" t="s">
        <v>53</v>
      </c>
      <c r="M28" s="7">
        <v>29882</v>
      </c>
      <c r="N28">
        <v>0.16</v>
      </c>
      <c r="O28" s="7">
        <v>10738</v>
      </c>
      <c r="P28">
        <v>9</v>
      </c>
      <c r="Q28" t="s">
        <v>56</v>
      </c>
      <c r="R28" t="s">
        <v>62</v>
      </c>
      <c r="S28">
        <f t="shared" si="0"/>
        <v>2021</v>
      </c>
      <c r="T28" t="str">
        <f t="shared" si="1"/>
        <v>Jan</v>
      </c>
      <c r="U28">
        <f t="shared" si="2"/>
        <v>4</v>
      </c>
      <c r="V28">
        <f t="shared" si="3"/>
        <v>7</v>
      </c>
      <c r="W28" s="9">
        <f t="shared" si="4"/>
        <v>0.35934676393815673</v>
      </c>
    </row>
    <row r="29" spans="1:23">
      <c r="A29">
        <v>10028</v>
      </c>
      <c r="B29" s="5">
        <v>44224</v>
      </c>
      <c r="C29" s="5">
        <v>44231</v>
      </c>
      <c r="D29" s="5">
        <v>44236</v>
      </c>
      <c r="E29" t="s">
        <v>18</v>
      </c>
      <c r="F29" t="s">
        <v>22</v>
      </c>
      <c r="G29" t="s">
        <v>24</v>
      </c>
      <c r="H29" t="s">
        <v>30</v>
      </c>
      <c r="I29" t="s">
        <v>34</v>
      </c>
      <c r="J29" t="s">
        <v>40</v>
      </c>
      <c r="K29" t="s">
        <v>49</v>
      </c>
      <c r="L29" t="s">
        <v>52</v>
      </c>
      <c r="M29" s="7">
        <v>58069</v>
      </c>
      <c r="N29">
        <v>0.04</v>
      </c>
      <c r="O29" s="7">
        <v>4892</v>
      </c>
      <c r="P29">
        <v>6</v>
      </c>
      <c r="Q29" t="s">
        <v>58</v>
      </c>
      <c r="R29" t="s">
        <v>59</v>
      </c>
      <c r="S29">
        <f t="shared" si="0"/>
        <v>2021</v>
      </c>
      <c r="T29" t="str">
        <f t="shared" si="1"/>
        <v>Jan</v>
      </c>
      <c r="U29">
        <f t="shared" si="2"/>
        <v>7</v>
      </c>
      <c r="V29">
        <f t="shared" si="3"/>
        <v>12</v>
      </c>
      <c r="W29" s="9">
        <f t="shared" si="4"/>
        <v>8.4244605555459887E-2</v>
      </c>
    </row>
    <row r="30" spans="1:23">
      <c r="A30">
        <v>10029</v>
      </c>
      <c r="B30" s="5">
        <v>44225</v>
      </c>
      <c r="C30" s="5">
        <v>44228</v>
      </c>
      <c r="D30" s="5">
        <v>44231</v>
      </c>
      <c r="E30" t="s">
        <v>21</v>
      </c>
      <c r="F30" t="s">
        <v>22</v>
      </c>
      <c r="G30" t="s">
        <v>24</v>
      </c>
      <c r="H30" t="s">
        <v>29</v>
      </c>
      <c r="I30" t="s">
        <v>34</v>
      </c>
      <c r="J30" t="s">
        <v>37</v>
      </c>
      <c r="K30" t="s">
        <v>49</v>
      </c>
      <c r="L30" t="s">
        <v>53</v>
      </c>
      <c r="M30" s="7">
        <v>20697</v>
      </c>
      <c r="N30">
        <v>0.36</v>
      </c>
      <c r="O30" s="7">
        <v>18593</v>
      </c>
      <c r="P30">
        <v>10</v>
      </c>
      <c r="Q30" t="s">
        <v>58</v>
      </c>
      <c r="R30" t="s">
        <v>61</v>
      </c>
      <c r="S30">
        <f t="shared" si="0"/>
        <v>2021</v>
      </c>
      <c r="T30" t="str">
        <f t="shared" si="1"/>
        <v>Jan</v>
      </c>
      <c r="U30">
        <f t="shared" si="2"/>
        <v>3</v>
      </c>
      <c r="V30">
        <f t="shared" si="3"/>
        <v>6</v>
      </c>
      <c r="W30" s="9">
        <f t="shared" si="4"/>
        <v>0.89834275498864569</v>
      </c>
    </row>
    <row r="31" spans="1:23">
      <c r="A31">
        <v>10030</v>
      </c>
      <c r="B31" s="5">
        <v>44226</v>
      </c>
      <c r="C31" s="5">
        <v>44231</v>
      </c>
      <c r="D31" s="5">
        <v>44233</v>
      </c>
      <c r="E31" t="s">
        <v>21</v>
      </c>
      <c r="F31" t="s">
        <v>22</v>
      </c>
      <c r="G31" t="s">
        <v>27</v>
      </c>
      <c r="H31" t="s">
        <v>30</v>
      </c>
      <c r="I31" t="s">
        <v>35</v>
      </c>
      <c r="J31" t="s">
        <v>41</v>
      </c>
      <c r="K31" t="s">
        <v>45</v>
      </c>
      <c r="L31" t="s">
        <v>51</v>
      </c>
      <c r="M31" s="7">
        <v>46987</v>
      </c>
      <c r="N31">
        <v>0.31</v>
      </c>
      <c r="O31" s="7">
        <v>17640</v>
      </c>
      <c r="P31">
        <v>1</v>
      </c>
      <c r="Q31" t="s">
        <v>58</v>
      </c>
      <c r="R31" t="s">
        <v>62</v>
      </c>
      <c r="S31">
        <f t="shared" si="0"/>
        <v>2021</v>
      </c>
      <c r="T31" t="str">
        <f t="shared" si="1"/>
        <v>Jan</v>
      </c>
      <c r="U31">
        <f t="shared" si="2"/>
        <v>5</v>
      </c>
      <c r="V31">
        <f t="shared" si="3"/>
        <v>7</v>
      </c>
      <c r="W31" s="9">
        <f t="shared" si="4"/>
        <v>0.37542298933747631</v>
      </c>
    </row>
    <row r="32" spans="1:23">
      <c r="A32">
        <v>10031</v>
      </c>
      <c r="B32" s="5">
        <v>44227</v>
      </c>
      <c r="C32" s="5">
        <v>44231</v>
      </c>
      <c r="D32" s="5">
        <v>44235</v>
      </c>
      <c r="E32" t="s">
        <v>18</v>
      </c>
      <c r="F32" t="s">
        <v>22</v>
      </c>
      <c r="G32" t="s">
        <v>27</v>
      </c>
      <c r="H32" t="s">
        <v>32</v>
      </c>
      <c r="I32" t="s">
        <v>36</v>
      </c>
      <c r="J32" t="s">
        <v>38</v>
      </c>
      <c r="K32" t="s">
        <v>45</v>
      </c>
      <c r="L32" t="s">
        <v>51</v>
      </c>
      <c r="M32" s="7">
        <v>10383</v>
      </c>
      <c r="N32">
        <v>0.16</v>
      </c>
      <c r="O32" s="7">
        <v>4020</v>
      </c>
      <c r="P32">
        <v>1</v>
      </c>
      <c r="Q32" t="s">
        <v>57</v>
      </c>
      <c r="R32" t="s">
        <v>59</v>
      </c>
      <c r="S32">
        <f t="shared" si="0"/>
        <v>2021</v>
      </c>
      <c r="T32" t="str">
        <f t="shared" si="1"/>
        <v>Jan</v>
      </c>
      <c r="U32">
        <f t="shared" si="2"/>
        <v>4</v>
      </c>
      <c r="V32">
        <f t="shared" si="3"/>
        <v>8</v>
      </c>
      <c r="W32" s="9">
        <f t="shared" si="4"/>
        <v>0.38717133776365215</v>
      </c>
    </row>
    <row r="33" spans="1:23">
      <c r="A33">
        <v>10032</v>
      </c>
      <c r="B33" s="5">
        <v>44228</v>
      </c>
      <c r="C33" s="5">
        <v>44235</v>
      </c>
      <c r="D33" s="5">
        <v>44236</v>
      </c>
      <c r="E33" t="s">
        <v>19</v>
      </c>
      <c r="F33" t="s">
        <v>22</v>
      </c>
      <c r="G33" t="s">
        <v>24</v>
      </c>
      <c r="H33" t="s">
        <v>32</v>
      </c>
      <c r="I33" t="s">
        <v>36</v>
      </c>
      <c r="J33" t="s">
        <v>39</v>
      </c>
      <c r="K33" t="s">
        <v>45</v>
      </c>
      <c r="L33" t="s">
        <v>53</v>
      </c>
      <c r="M33" s="7">
        <v>51793</v>
      </c>
      <c r="N33">
        <v>0.08</v>
      </c>
      <c r="O33" s="7">
        <v>19126</v>
      </c>
      <c r="P33">
        <v>24</v>
      </c>
      <c r="Q33" t="s">
        <v>58</v>
      </c>
      <c r="R33" t="s">
        <v>60</v>
      </c>
      <c r="S33">
        <f t="shared" si="0"/>
        <v>2021</v>
      </c>
      <c r="T33" t="str">
        <f t="shared" si="1"/>
        <v>Feb</v>
      </c>
      <c r="U33">
        <f t="shared" si="2"/>
        <v>7</v>
      </c>
      <c r="V33">
        <f t="shared" si="3"/>
        <v>8</v>
      </c>
      <c r="W33" s="9">
        <f t="shared" si="4"/>
        <v>0.36927770161991003</v>
      </c>
    </row>
    <row r="34" spans="1:23">
      <c r="A34">
        <v>10033</v>
      </c>
      <c r="B34" s="5">
        <v>44229</v>
      </c>
      <c r="C34" s="5">
        <v>44235</v>
      </c>
      <c r="D34" s="5">
        <v>44236</v>
      </c>
      <c r="E34" t="s">
        <v>19</v>
      </c>
      <c r="F34" t="s">
        <v>22</v>
      </c>
      <c r="G34" t="s">
        <v>28</v>
      </c>
      <c r="H34" t="s">
        <v>30</v>
      </c>
      <c r="I34" t="s">
        <v>35</v>
      </c>
      <c r="J34" t="s">
        <v>42</v>
      </c>
      <c r="K34" t="s">
        <v>50</v>
      </c>
      <c r="L34" t="s">
        <v>53</v>
      </c>
      <c r="M34" s="7">
        <v>57387</v>
      </c>
      <c r="N34">
        <v>0.25</v>
      </c>
      <c r="O34" s="7">
        <v>13581</v>
      </c>
      <c r="P34">
        <v>14</v>
      </c>
      <c r="Q34" t="s">
        <v>57</v>
      </c>
      <c r="R34" t="s">
        <v>59</v>
      </c>
      <c r="S34">
        <f t="shared" si="0"/>
        <v>2021</v>
      </c>
      <c r="T34" t="str">
        <f t="shared" si="1"/>
        <v>Feb</v>
      </c>
      <c r="U34">
        <f t="shared" si="2"/>
        <v>6</v>
      </c>
      <c r="V34">
        <f t="shared" si="3"/>
        <v>7</v>
      </c>
      <c r="W34" s="9">
        <f t="shared" si="4"/>
        <v>0.23665638559255581</v>
      </c>
    </row>
    <row r="35" spans="1:23">
      <c r="A35">
        <v>10034</v>
      </c>
      <c r="B35" s="5">
        <v>44230</v>
      </c>
      <c r="C35" s="5">
        <v>44236</v>
      </c>
      <c r="D35" s="5">
        <v>44239</v>
      </c>
      <c r="E35" t="s">
        <v>18</v>
      </c>
      <c r="F35" t="s">
        <v>22</v>
      </c>
      <c r="G35" t="s">
        <v>27</v>
      </c>
      <c r="H35" t="s">
        <v>29</v>
      </c>
      <c r="I35" t="s">
        <v>35</v>
      </c>
      <c r="J35" t="s">
        <v>37</v>
      </c>
      <c r="K35" t="s">
        <v>44</v>
      </c>
      <c r="L35" t="s">
        <v>52</v>
      </c>
      <c r="M35" s="7">
        <v>58866</v>
      </c>
      <c r="N35">
        <v>0.03</v>
      </c>
      <c r="O35" s="7">
        <v>17721</v>
      </c>
      <c r="P35">
        <v>18</v>
      </c>
      <c r="Q35" t="s">
        <v>58</v>
      </c>
      <c r="R35" t="s">
        <v>60</v>
      </c>
      <c r="S35">
        <f t="shared" si="0"/>
        <v>2021</v>
      </c>
      <c r="T35" t="str">
        <f t="shared" si="1"/>
        <v>Feb</v>
      </c>
      <c r="U35">
        <f t="shared" si="2"/>
        <v>6</v>
      </c>
      <c r="V35">
        <f t="shared" si="3"/>
        <v>9</v>
      </c>
      <c r="W35" s="9">
        <f t="shared" si="4"/>
        <v>0.30103964937315258</v>
      </c>
    </row>
    <row r="36" spans="1:23">
      <c r="A36">
        <v>10035</v>
      </c>
      <c r="B36" s="5">
        <v>44231</v>
      </c>
      <c r="C36" s="5">
        <v>44234</v>
      </c>
      <c r="D36" s="5">
        <v>44235</v>
      </c>
      <c r="E36" t="s">
        <v>20</v>
      </c>
      <c r="F36" t="s">
        <v>22</v>
      </c>
      <c r="G36" t="s">
        <v>24</v>
      </c>
      <c r="H36" t="s">
        <v>30</v>
      </c>
      <c r="I36" t="s">
        <v>36</v>
      </c>
      <c r="J36" t="s">
        <v>37</v>
      </c>
      <c r="K36" t="s">
        <v>44</v>
      </c>
      <c r="L36" t="s">
        <v>51</v>
      </c>
      <c r="M36" s="7">
        <v>47675</v>
      </c>
      <c r="N36">
        <v>0.23</v>
      </c>
      <c r="O36" s="7">
        <v>9184</v>
      </c>
      <c r="P36">
        <v>5</v>
      </c>
      <c r="Q36" t="s">
        <v>56</v>
      </c>
      <c r="R36" t="s">
        <v>60</v>
      </c>
      <c r="S36">
        <f t="shared" si="0"/>
        <v>2021</v>
      </c>
      <c r="T36" t="str">
        <f t="shared" si="1"/>
        <v>Feb</v>
      </c>
      <c r="U36">
        <f t="shared" si="2"/>
        <v>3</v>
      </c>
      <c r="V36">
        <f t="shared" si="3"/>
        <v>4</v>
      </c>
      <c r="W36" s="9">
        <f t="shared" si="4"/>
        <v>0.19263765076035658</v>
      </c>
    </row>
    <row r="37" spans="1:23">
      <c r="A37">
        <v>10036</v>
      </c>
      <c r="B37" s="5">
        <v>44232</v>
      </c>
      <c r="C37" s="5">
        <v>44235</v>
      </c>
      <c r="D37" s="5">
        <v>44239</v>
      </c>
      <c r="E37" t="s">
        <v>19</v>
      </c>
      <c r="F37" t="s">
        <v>22</v>
      </c>
      <c r="G37" t="s">
        <v>28</v>
      </c>
      <c r="H37" t="s">
        <v>30</v>
      </c>
      <c r="I37" t="s">
        <v>36</v>
      </c>
      <c r="J37" t="s">
        <v>41</v>
      </c>
      <c r="K37" t="s">
        <v>46</v>
      </c>
      <c r="L37" t="s">
        <v>52</v>
      </c>
      <c r="M37" s="7">
        <v>64661</v>
      </c>
      <c r="N37">
        <v>0.05</v>
      </c>
      <c r="O37" s="7">
        <v>7131</v>
      </c>
      <c r="P37">
        <v>6</v>
      </c>
      <c r="Q37" t="s">
        <v>57</v>
      </c>
      <c r="R37" t="s">
        <v>61</v>
      </c>
      <c r="S37">
        <f t="shared" si="0"/>
        <v>2021</v>
      </c>
      <c r="T37" t="str">
        <f t="shared" si="1"/>
        <v>Feb</v>
      </c>
      <c r="U37">
        <f t="shared" si="2"/>
        <v>3</v>
      </c>
      <c r="V37">
        <f t="shared" si="3"/>
        <v>7</v>
      </c>
      <c r="W37" s="9">
        <f t="shared" si="4"/>
        <v>0.11028285983823324</v>
      </c>
    </row>
    <row r="38" spans="1:23">
      <c r="A38">
        <v>10037</v>
      </c>
      <c r="B38" s="5">
        <v>44233</v>
      </c>
      <c r="C38" s="5">
        <v>44240</v>
      </c>
      <c r="D38" s="5">
        <v>44243</v>
      </c>
      <c r="E38" t="s">
        <v>19</v>
      </c>
      <c r="F38" t="s">
        <v>22</v>
      </c>
      <c r="G38" t="s">
        <v>23</v>
      </c>
      <c r="H38" t="s">
        <v>30</v>
      </c>
      <c r="I38" t="s">
        <v>34</v>
      </c>
      <c r="J38" t="s">
        <v>39</v>
      </c>
      <c r="K38" t="s">
        <v>48</v>
      </c>
      <c r="L38" t="s">
        <v>53</v>
      </c>
      <c r="M38" s="7">
        <v>68282</v>
      </c>
      <c r="N38">
        <v>0.1</v>
      </c>
      <c r="O38" s="7">
        <v>5251</v>
      </c>
      <c r="P38">
        <v>8</v>
      </c>
      <c r="Q38" t="s">
        <v>56</v>
      </c>
      <c r="R38" t="s">
        <v>62</v>
      </c>
      <c r="S38">
        <f t="shared" si="0"/>
        <v>2021</v>
      </c>
      <c r="T38" t="str">
        <f t="shared" si="1"/>
        <v>Feb</v>
      </c>
      <c r="U38">
        <f t="shared" si="2"/>
        <v>7</v>
      </c>
      <c r="V38">
        <f t="shared" si="3"/>
        <v>10</v>
      </c>
      <c r="W38" s="9">
        <f t="shared" si="4"/>
        <v>7.6901672475908733E-2</v>
      </c>
    </row>
    <row r="39" spans="1:23">
      <c r="A39">
        <v>10038</v>
      </c>
      <c r="B39" s="5">
        <v>44234</v>
      </c>
      <c r="C39" s="5">
        <v>44240</v>
      </c>
      <c r="D39" s="5">
        <v>44243</v>
      </c>
      <c r="E39" t="s">
        <v>18</v>
      </c>
      <c r="F39" t="s">
        <v>22</v>
      </c>
      <c r="G39" t="s">
        <v>28</v>
      </c>
      <c r="H39" t="s">
        <v>31</v>
      </c>
      <c r="I39" t="s">
        <v>34</v>
      </c>
      <c r="J39" t="s">
        <v>43</v>
      </c>
      <c r="K39" t="s">
        <v>45</v>
      </c>
      <c r="L39" t="s">
        <v>52</v>
      </c>
      <c r="M39" s="7">
        <v>57286</v>
      </c>
      <c r="N39">
        <v>0.06</v>
      </c>
      <c r="O39" s="7">
        <v>2253</v>
      </c>
      <c r="P39">
        <v>18</v>
      </c>
      <c r="Q39" t="s">
        <v>58</v>
      </c>
      <c r="R39" t="s">
        <v>62</v>
      </c>
      <c r="S39">
        <f t="shared" si="0"/>
        <v>2021</v>
      </c>
      <c r="T39" t="str">
        <f t="shared" si="1"/>
        <v>Feb</v>
      </c>
      <c r="U39">
        <f t="shared" si="2"/>
        <v>6</v>
      </c>
      <c r="V39">
        <f t="shared" si="3"/>
        <v>9</v>
      </c>
      <c r="W39" s="9">
        <f t="shared" si="4"/>
        <v>3.9328980902838387E-2</v>
      </c>
    </row>
    <row r="40" spans="1:23">
      <c r="A40">
        <v>10039</v>
      </c>
      <c r="B40" s="5">
        <v>44235</v>
      </c>
      <c r="C40" s="5">
        <v>44237</v>
      </c>
      <c r="D40" s="5">
        <v>44240</v>
      </c>
      <c r="E40" t="s">
        <v>20</v>
      </c>
      <c r="F40" t="s">
        <v>22</v>
      </c>
      <c r="G40" t="s">
        <v>24</v>
      </c>
      <c r="H40" t="s">
        <v>30</v>
      </c>
      <c r="I40" t="s">
        <v>36</v>
      </c>
      <c r="J40" t="s">
        <v>43</v>
      </c>
      <c r="K40" t="s">
        <v>47</v>
      </c>
      <c r="L40" t="s">
        <v>52</v>
      </c>
      <c r="M40" s="7">
        <v>18920</v>
      </c>
      <c r="N40">
        <v>0.02</v>
      </c>
      <c r="O40" s="7">
        <v>-1617</v>
      </c>
      <c r="P40">
        <v>1</v>
      </c>
      <c r="Q40" t="s">
        <v>57</v>
      </c>
      <c r="R40" t="s">
        <v>59</v>
      </c>
      <c r="S40">
        <f t="shared" si="0"/>
        <v>2021</v>
      </c>
      <c r="T40" t="str">
        <f t="shared" si="1"/>
        <v>Feb</v>
      </c>
      <c r="U40">
        <f t="shared" si="2"/>
        <v>2</v>
      </c>
      <c r="V40">
        <f t="shared" si="3"/>
        <v>5</v>
      </c>
      <c r="W40" s="9">
        <f t="shared" si="4"/>
        <v>-8.5465116279069761E-2</v>
      </c>
    </row>
    <row r="41" spans="1:23">
      <c r="A41">
        <v>10040</v>
      </c>
      <c r="B41" s="5">
        <v>44236</v>
      </c>
      <c r="C41" s="5">
        <v>44242</v>
      </c>
      <c r="D41" s="5">
        <v>44245</v>
      </c>
      <c r="E41" t="s">
        <v>19</v>
      </c>
      <c r="F41" t="s">
        <v>22</v>
      </c>
      <c r="G41" t="s">
        <v>25</v>
      </c>
      <c r="H41" t="s">
        <v>25</v>
      </c>
      <c r="I41" t="s">
        <v>34</v>
      </c>
      <c r="J41" t="s">
        <v>37</v>
      </c>
      <c r="K41" t="s">
        <v>47</v>
      </c>
      <c r="L41" t="s">
        <v>52</v>
      </c>
      <c r="M41" s="7">
        <v>1636</v>
      </c>
      <c r="N41">
        <v>0.16</v>
      </c>
      <c r="O41" s="7">
        <v>15868</v>
      </c>
      <c r="P41">
        <v>7</v>
      </c>
      <c r="Q41" t="s">
        <v>54</v>
      </c>
      <c r="R41" t="s">
        <v>61</v>
      </c>
      <c r="S41">
        <f t="shared" si="0"/>
        <v>2021</v>
      </c>
      <c r="T41" t="str">
        <f t="shared" si="1"/>
        <v>Feb</v>
      </c>
      <c r="U41">
        <f t="shared" si="2"/>
        <v>6</v>
      </c>
      <c r="V41">
        <f t="shared" si="3"/>
        <v>9</v>
      </c>
      <c r="W41" s="9">
        <f t="shared" si="4"/>
        <v>9.6992665036674808</v>
      </c>
    </row>
    <row r="42" spans="1:23">
      <c r="A42">
        <v>10041</v>
      </c>
      <c r="B42" s="5">
        <v>44237</v>
      </c>
      <c r="C42" s="5">
        <v>44244</v>
      </c>
      <c r="D42" s="5">
        <v>44248</v>
      </c>
      <c r="E42" t="s">
        <v>18</v>
      </c>
      <c r="F42" t="s">
        <v>22</v>
      </c>
      <c r="G42" t="s">
        <v>27</v>
      </c>
      <c r="H42" t="s">
        <v>33</v>
      </c>
      <c r="I42" t="s">
        <v>35</v>
      </c>
      <c r="J42" t="s">
        <v>40</v>
      </c>
      <c r="K42" t="s">
        <v>47</v>
      </c>
      <c r="L42" t="s">
        <v>52</v>
      </c>
      <c r="M42" s="7">
        <v>46789</v>
      </c>
      <c r="N42">
        <v>0.19</v>
      </c>
      <c r="O42" s="7">
        <v>3620</v>
      </c>
      <c r="P42">
        <v>21</v>
      </c>
      <c r="Q42" t="s">
        <v>55</v>
      </c>
      <c r="R42" t="s">
        <v>59</v>
      </c>
      <c r="S42">
        <f t="shared" si="0"/>
        <v>2021</v>
      </c>
      <c r="T42" t="str">
        <f t="shared" si="1"/>
        <v>Feb</v>
      </c>
      <c r="U42">
        <f t="shared" si="2"/>
        <v>7</v>
      </c>
      <c r="V42">
        <f t="shared" si="3"/>
        <v>11</v>
      </c>
      <c r="W42" s="9">
        <f t="shared" si="4"/>
        <v>7.7368612280664259E-2</v>
      </c>
    </row>
    <row r="43" spans="1:23">
      <c r="A43">
        <v>10042</v>
      </c>
      <c r="B43" s="5">
        <v>44238</v>
      </c>
      <c r="C43" s="5">
        <v>44241</v>
      </c>
      <c r="D43" s="5">
        <v>44246</v>
      </c>
      <c r="E43" t="s">
        <v>20</v>
      </c>
      <c r="F43" t="s">
        <v>22</v>
      </c>
      <c r="G43" t="s">
        <v>27</v>
      </c>
      <c r="H43" t="s">
        <v>25</v>
      </c>
      <c r="I43" t="s">
        <v>35</v>
      </c>
      <c r="J43" t="s">
        <v>37</v>
      </c>
      <c r="K43" t="s">
        <v>48</v>
      </c>
      <c r="L43" t="s">
        <v>52</v>
      </c>
      <c r="M43" s="7">
        <v>53074</v>
      </c>
      <c r="N43">
        <v>0.08</v>
      </c>
      <c r="O43" s="7">
        <v>11223</v>
      </c>
      <c r="P43">
        <v>9</v>
      </c>
      <c r="Q43" t="s">
        <v>56</v>
      </c>
      <c r="R43" t="s">
        <v>61</v>
      </c>
      <c r="S43">
        <f t="shared" si="0"/>
        <v>2021</v>
      </c>
      <c r="T43" t="str">
        <f t="shared" si="1"/>
        <v>Feb</v>
      </c>
      <c r="U43">
        <f t="shared" si="2"/>
        <v>3</v>
      </c>
      <c r="V43">
        <f t="shared" si="3"/>
        <v>8</v>
      </c>
      <c r="W43" s="9">
        <f t="shared" si="4"/>
        <v>0.21145947168104909</v>
      </c>
    </row>
    <row r="44" spans="1:23">
      <c r="A44">
        <v>10043</v>
      </c>
      <c r="B44" s="5">
        <v>44239</v>
      </c>
      <c r="C44" s="5">
        <v>44244</v>
      </c>
      <c r="D44" s="5">
        <v>44246</v>
      </c>
      <c r="E44" t="s">
        <v>19</v>
      </c>
      <c r="F44" t="s">
        <v>22</v>
      </c>
      <c r="G44" t="s">
        <v>24</v>
      </c>
      <c r="H44" t="s">
        <v>29</v>
      </c>
      <c r="I44" t="s">
        <v>35</v>
      </c>
      <c r="J44" t="s">
        <v>41</v>
      </c>
      <c r="K44" t="s">
        <v>47</v>
      </c>
      <c r="L44" t="s">
        <v>51</v>
      </c>
      <c r="M44" s="7">
        <v>49792</v>
      </c>
      <c r="N44">
        <v>0.4</v>
      </c>
      <c r="O44" s="7">
        <v>667</v>
      </c>
      <c r="P44">
        <v>3</v>
      </c>
      <c r="Q44" t="s">
        <v>58</v>
      </c>
      <c r="R44" t="s">
        <v>61</v>
      </c>
      <c r="S44">
        <f t="shared" si="0"/>
        <v>2021</v>
      </c>
      <c r="T44" t="str">
        <f t="shared" si="1"/>
        <v>Feb</v>
      </c>
      <c r="U44">
        <f t="shared" si="2"/>
        <v>5</v>
      </c>
      <c r="V44">
        <f t="shared" si="3"/>
        <v>7</v>
      </c>
      <c r="W44" s="9">
        <f t="shared" si="4"/>
        <v>1.3395726221079691E-2</v>
      </c>
    </row>
    <row r="45" spans="1:23">
      <c r="A45">
        <v>10044</v>
      </c>
      <c r="B45" s="5">
        <v>44240</v>
      </c>
      <c r="C45" s="5">
        <v>44246</v>
      </c>
      <c r="D45" s="5">
        <v>44251</v>
      </c>
      <c r="E45" t="s">
        <v>21</v>
      </c>
      <c r="F45" t="s">
        <v>22</v>
      </c>
      <c r="G45" t="s">
        <v>26</v>
      </c>
      <c r="H45" t="s">
        <v>30</v>
      </c>
      <c r="I45" t="s">
        <v>35</v>
      </c>
      <c r="J45" t="s">
        <v>40</v>
      </c>
      <c r="K45" t="s">
        <v>49</v>
      </c>
      <c r="L45" t="s">
        <v>51</v>
      </c>
      <c r="M45" s="7">
        <v>19171</v>
      </c>
      <c r="N45">
        <v>0.36</v>
      </c>
      <c r="O45" s="7">
        <v>9916</v>
      </c>
      <c r="P45">
        <v>17</v>
      </c>
      <c r="Q45" t="s">
        <v>55</v>
      </c>
      <c r="R45" t="s">
        <v>61</v>
      </c>
      <c r="S45">
        <f t="shared" si="0"/>
        <v>2021</v>
      </c>
      <c r="T45" t="str">
        <f t="shared" si="1"/>
        <v>Feb</v>
      </c>
      <c r="U45">
        <f t="shared" si="2"/>
        <v>6</v>
      </c>
      <c r="V45">
        <f t="shared" si="3"/>
        <v>11</v>
      </c>
      <c r="W45" s="9">
        <f t="shared" si="4"/>
        <v>0.51723958061655628</v>
      </c>
    </row>
    <row r="46" spans="1:23">
      <c r="A46">
        <v>10045</v>
      </c>
      <c r="B46" s="5">
        <v>44241</v>
      </c>
      <c r="C46" s="5">
        <v>44247</v>
      </c>
      <c r="D46" s="5">
        <v>44252</v>
      </c>
      <c r="E46" t="s">
        <v>19</v>
      </c>
      <c r="F46" t="s">
        <v>22</v>
      </c>
      <c r="G46" t="s">
        <v>28</v>
      </c>
      <c r="H46" t="s">
        <v>33</v>
      </c>
      <c r="I46" t="s">
        <v>34</v>
      </c>
      <c r="J46" t="s">
        <v>37</v>
      </c>
      <c r="K46" t="s">
        <v>49</v>
      </c>
      <c r="L46" t="s">
        <v>53</v>
      </c>
      <c r="M46" s="7">
        <v>29045</v>
      </c>
      <c r="N46">
        <v>0.28000000000000003</v>
      </c>
      <c r="O46" s="7">
        <v>13693</v>
      </c>
      <c r="P46">
        <v>12</v>
      </c>
      <c r="Q46" t="s">
        <v>54</v>
      </c>
      <c r="R46" t="s">
        <v>59</v>
      </c>
      <c r="S46">
        <f t="shared" si="0"/>
        <v>2021</v>
      </c>
      <c r="T46" t="str">
        <f t="shared" si="1"/>
        <v>Feb</v>
      </c>
      <c r="U46">
        <f t="shared" si="2"/>
        <v>6</v>
      </c>
      <c r="V46">
        <f t="shared" si="3"/>
        <v>11</v>
      </c>
      <c r="W46" s="9">
        <f t="shared" si="4"/>
        <v>0.47144086761921156</v>
      </c>
    </row>
    <row r="47" spans="1:23">
      <c r="A47">
        <v>10046</v>
      </c>
      <c r="B47" s="5">
        <v>44242</v>
      </c>
      <c r="C47" s="5">
        <v>44245</v>
      </c>
      <c r="D47" s="5">
        <v>44250</v>
      </c>
      <c r="E47" t="s">
        <v>20</v>
      </c>
      <c r="F47" t="s">
        <v>22</v>
      </c>
      <c r="G47" t="s">
        <v>27</v>
      </c>
      <c r="H47" t="s">
        <v>25</v>
      </c>
      <c r="I47" t="s">
        <v>36</v>
      </c>
      <c r="J47" t="s">
        <v>40</v>
      </c>
      <c r="K47" t="s">
        <v>50</v>
      </c>
      <c r="L47" t="s">
        <v>53</v>
      </c>
      <c r="M47" s="7">
        <v>71214</v>
      </c>
      <c r="N47">
        <v>0.31</v>
      </c>
      <c r="O47" s="7">
        <v>6553</v>
      </c>
      <c r="P47">
        <v>1</v>
      </c>
      <c r="Q47" t="s">
        <v>54</v>
      </c>
      <c r="R47" t="s">
        <v>59</v>
      </c>
      <c r="S47">
        <f t="shared" si="0"/>
        <v>2021</v>
      </c>
      <c r="T47" t="str">
        <f t="shared" si="1"/>
        <v>Feb</v>
      </c>
      <c r="U47">
        <f t="shared" si="2"/>
        <v>3</v>
      </c>
      <c r="V47">
        <f t="shared" si="3"/>
        <v>8</v>
      </c>
      <c r="W47" s="9">
        <f t="shared" si="4"/>
        <v>9.2018423343724551E-2</v>
      </c>
    </row>
    <row r="48" spans="1:23">
      <c r="A48">
        <v>10047</v>
      </c>
      <c r="B48" s="5">
        <v>44243</v>
      </c>
      <c r="C48" s="5">
        <v>44250</v>
      </c>
      <c r="D48" s="5">
        <v>44251</v>
      </c>
      <c r="E48" t="s">
        <v>21</v>
      </c>
      <c r="F48" t="s">
        <v>22</v>
      </c>
      <c r="G48" t="s">
        <v>23</v>
      </c>
      <c r="H48" t="s">
        <v>33</v>
      </c>
      <c r="I48" t="s">
        <v>36</v>
      </c>
      <c r="J48" t="s">
        <v>38</v>
      </c>
      <c r="K48" t="s">
        <v>47</v>
      </c>
      <c r="L48" t="s">
        <v>52</v>
      </c>
      <c r="M48" s="7">
        <v>43748</v>
      </c>
      <c r="N48">
        <v>0.05</v>
      </c>
      <c r="O48" s="7">
        <v>90</v>
      </c>
      <c r="P48">
        <v>22</v>
      </c>
      <c r="Q48" t="s">
        <v>56</v>
      </c>
      <c r="R48" t="s">
        <v>61</v>
      </c>
      <c r="S48">
        <f t="shared" si="0"/>
        <v>2021</v>
      </c>
      <c r="T48" t="str">
        <f t="shared" si="1"/>
        <v>Feb</v>
      </c>
      <c r="U48">
        <f t="shared" si="2"/>
        <v>7</v>
      </c>
      <c r="V48">
        <f t="shared" si="3"/>
        <v>8</v>
      </c>
      <c r="W48" s="9">
        <f t="shared" si="4"/>
        <v>2.0572369022583891E-3</v>
      </c>
    </row>
    <row r="49" spans="1:23">
      <c r="A49">
        <v>10048</v>
      </c>
      <c r="B49" s="5">
        <v>44244</v>
      </c>
      <c r="C49" s="5">
        <v>44247</v>
      </c>
      <c r="D49" s="5">
        <v>44251</v>
      </c>
      <c r="E49" t="s">
        <v>21</v>
      </c>
      <c r="F49" t="s">
        <v>22</v>
      </c>
      <c r="G49" t="s">
        <v>28</v>
      </c>
      <c r="H49" t="s">
        <v>30</v>
      </c>
      <c r="I49" t="s">
        <v>35</v>
      </c>
      <c r="J49" t="s">
        <v>42</v>
      </c>
      <c r="K49" t="s">
        <v>48</v>
      </c>
      <c r="L49" t="s">
        <v>51</v>
      </c>
      <c r="M49" s="7">
        <v>5025</v>
      </c>
      <c r="N49">
        <v>0.3</v>
      </c>
      <c r="O49" s="7">
        <v>11035</v>
      </c>
      <c r="P49">
        <v>7</v>
      </c>
      <c r="Q49" t="s">
        <v>54</v>
      </c>
      <c r="R49" t="s">
        <v>61</v>
      </c>
      <c r="S49">
        <f t="shared" si="0"/>
        <v>2021</v>
      </c>
      <c r="T49" t="str">
        <f t="shared" si="1"/>
        <v>Feb</v>
      </c>
      <c r="U49">
        <f t="shared" si="2"/>
        <v>3</v>
      </c>
      <c r="V49">
        <f t="shared" si="3"/>
        <v>7</v>
      </c>
      <c r="W49" s="9">
        <f t="shared" si="4"/>
        <v>2.1960199004975123</v>
      </c>
    </row>
    <row r="50" spans="1:23">
      <c r="A50">
        <v>10049</v>
      </c>
      <c r="B50" s="5">
        <v>44245</v>
      </c>
      <c r="C50" s="5">
        <v>44251</v>
      </c>
      <c r="D50" s="5">
        <v>44252</v>
      </c>
      <c r="E50" t="s">
        <v>19</v>
      </c>
      <c r="F50" t="s">
        <v>22</v>
      </c>
      <c r="G50" t="s">
        <v>27</v>
      </c>
      <c r="H50" t="s">
        <v>32</v>
      </c>
      <c r="I50" t="s">
        <v>34</v>
      </c>
      <c r="J50" t="s">
        <v>43</v>
      </c>
      <c r="K50" t="s">
        <v>50</v>
      </c>
      <c r="L50" t="s">
        <v>53</v>
      </c>
      <c r="M50" s="7">
        <v>49243</v>
      </c>
      <c r="N50">
        <v>0.35</v>
      </c>
      <c r="O50" s="7">
        <v>18984</v>
      </c>
      <c r="P50">
        <v>19</v>
      </c>
      <c r="Q50" t="s">
        <v>56</v>
      </c>
      <c r="R50" t="s">
        <v>62</v>
      </c>
      <c r="S50">
        <f t="shared" si="0"/>
        <v>2021</v>
      </c>
      <c r="T50" t="str">
        <f t="shared" si="1"/>
        <v>Feb</v>
      </c>
      <c r="U50">
        <f t="shared" si="2"/>
        <v>6</v>
      </c>
      <c r="V50">
        <f t="shared" si="3"/>
        <v>7</v>
      </c>
      <c r="W50" s="9">
        <f t="shared" si="4"/>
        <v>0.3855167231890827</v>
      </c>
    </row>
    <row r="51" spans="1:23">
      <c r="A51">
        <v>10050</v>
      </c>
      <c r="B51" s="5">
        <v>44246</v>
      </c>
      <c r="C51" s="5">
        <v>44249</v>
      </c>
      <c r="D51" s="5">
        <v>44253</v>
      </c>
      <c r="E51" t="s">
        <v>21</v>
      </c>
      <c r="F51" t="s">
        <v>22</v>
      </c>
      <c r="G51" t="s">
        <v>24</v>
      </c>
      <c r="H51" t="s">
        <v>32</v>
      </c>
      <c r="I51" t="s">
        <v>34</v>
      </c>
      <c r="J51" t="s">
        <v>41</v>
      </c>
      <c r="K51" t="s">
        <v>46</v>
      </c>
      <c r="L51" t="s">
        <v>53</v>
      </c>
      <c r="M51" s="7">
        <v>17265</v>
      </c>
      <c r="N51">
        <v>0.35</v>
      </c>
      <c r="O51" s="7">
        <v>8237</v>
      </c>
      <c r="P51">
        <v>8</v>
      </c>
      <c r="Q51" t="s">
        <v>58</v>
      </c>
      <c r="R51" t="s">
        <v>62</v>
      </c>
      <c r="S51">
        <f t="shared" si="0"/>
        <v>2021</v>
      </c>
      <c r="T51" t="str">
        <f t="shared" si="1"/>
        <v>Feb</v>
      </c>
      <c r="U51">
        <f t="shared" si="2"/>
        <v>3</v>
      </c>
      <c r="V51">
        <f t="shared" si="3"/>
        <v>7</v>
      </c>
      <c r="W51" s="9">
        <f t="shared" si="4"/>
        <v>0.47709238343469446</v>
      </c>
    </row>
    <row r="52" spans="1:23">
      <c r="A52">
        <v>10051</v>
      </c>
      <c r="B52" s="5">
        <v>44247</v>
      </c>
      <c r="C52" s="5">
        <v>44253</v>
      </c>
      <c r="D52" s="5">
        <v>44255</v>
      </c>
      <c r="E52" t="s">
        <v>20</v>
      </c>
      <c r="F52" t="s">
        <v>22</v>
      </c>
      <c r="G52" t="s">
        <v>23</v>
      </c>
      <c r="H52" t="s">
        <v>29</v>
      </c>
      <c r="I52" t="s">
        <v>36</v>
      </c>
      <c r="J52" t="s">
        <v>43</v>
      </c>
      <c r="K52" t="s">
        <v>48</v>
      </c>
      <c r="L52" t="s">
        <v>52</v>
      </c>
      <c r="M52" s="7">
        <v>24430</v>
      </c>
      <c r="N52">
        <v>0.25</v>
      </c>
      <c r="O52" s="7">
        <v>13332</v>
      </c>
      <c r="P52">
        <v>16</v>
      </c>
      <c r="Q52" t="s">
        <v>58</v>
      </c>
      <c r="R52" t="s">
        <v>59</v>
      </c>
      <c r="S52">
        <f t="shared" si="0"/>
        <v>2021</v>
      </c>
      <c r="T52" t="str">
        <f t="shared" si="1"/>
        <v>Feb</v>
      </c>
      <c r="U52">
        <f t="shared" si="2"/>
        <v>6</v>
      </c>
      <c r="V52">
        <f t="shared" si="3"/>
        <v>8</v>
      </c>
      <c r="W52" s="9">
        <f t="shared" si="4"/>
        <v>0.54572247237003679</v>
      </c>
    </row>
    <row r="53" spans="1:23">
      <c r="A53">
        <v>10052</v>
      </c>
      <c r="B53" s="5">
        <v>44248</v>
      </c>
      <c r="C53" s="5">
        <v>44254</v>
      </c>
      <c r="D53" s="5">
        <v>44259</v>
      </c>
      <c r="E53" t="s">
        <v>18</v>
      </c>
      <c r="F53" t="s">
        <v>22</v>
      </c>
      <c r="G53" t="s">
        <v>23</v>
      </c>
      <c r="H53" t="s">
        <v>29</v>
      </c>
      <c r="I53" t="s">
        <v>34</v>
      </c>
      <c r="J53" t="s">
        <v>42</v>
      </c>
      <c r="K53" t="s">
        <v>46</v>
      </c>
      <c r="L53" t="s">
        <v>53</v>
      </c>
      <c r="M53" s="7">
        <v>3543</v>
      </c>
      <c r="N53">
        <v>0.11</v>
      </c>
      <c r="O53" s="7">
        <v>14094</v>
      </c>
      <c r="P53">
        <v>24</v>
      </c>
      <c r="Q53" t="s">
        <v>57</v>
      </c>
      <c r="R53" t="s">
        <v>59</v>
      </c>
      <c r="S53">
        <f t="shared" si="0"/>
        <v>2021</v>
      </c>
      <c r="T53" t="str">
        <f t="shared" si="1"/>
        <v>Feb</v>
      </c>
      <c r="U53">
        <f t="shared" si="2"/>
        <v>6</v>
      </c>
      <c r="V53">
        <f t="shared" si="3"/>
        <v>11</v>
      </c>
      <c r="W53" s="9">
        <f t="shared" si="4"/>
        <v>3.9779847586790855</v>
      </c>
    </row>
    <row r="54" spans="1:23">
      <c r="A54">
        <v>10053</v>
      </c>
      <c r="B54" s="5">
        <v>44249</v>
      </c>
      <c r="C54" s="5">
        <v>44252</v>
      </c>
      <c r="D54" s="5">
        <v>44256</v>
      </c>
      <c r="E54" t="s">
        <v>18</v>
      </c>
      <c r="F54" t="s">
        <v>22</v>
      </c>
      <c r="G54" t="s">
        <v>26</v>
      </c>
      <c r="H54" t="s">
        <v>32</v>
      </c>
      <c r="I54" t="s">
        <v>36</v>
      </c>
      <c r="J54" t="s">
        <v>40</v>
      </c>
      <c r="K54" t="s">
        <v>45</v>
      </c>
      <c r="L54" t="s">
        <v>53</v>
      </c>
      <c r="M54" s="7">
        <v>34319</v>
      </c>
      <c r="N54">
        <v>0.08</v>
      </c>
      <c r="O54" s="7">
        <v>8486</v>
      </c>
      <c r="P54">
        <v>10</v>
      </c>
      <c r="Q54" t="s">
        <v>56</v>
      </c>
      <c r="R54" t="s">
        <v>60</v>
      </c>
      <c r="S54">
        <f t="shared" si="0"/>
        <v>2021</v>
      </c>
      <c r="T54" t="str">
        <f t="shared" si="1"/>
        <v>Feb</v>
      </c>
      <c r="U54">
        <f t="shared" si="2"/>
        <v>3</v>
      </c>
      <c r="V54">
        <f t="shared" si="3"/>
        <v>7</v>
      </c>
      <c r="W54" s="9">
        <f t="shared" si="4"/>
        <v>0.24726827704769952</v>
      </c>
    </row>
    <row r="55" spans="1:23">
      <c r="A55">
        <v>10054</v>
      </c>
      <c r="B55" s="5">
        <v>44250</v>
      </c>
      <c r="C55" s="5">
        <v>44252</v>
      </c>
      <c r="D55" s="5">
        <v>44257</v>
      </c>
      <c r="E55" t="s">
        <v>18</v>
      </c>
      <c r="F55" t="s">
        <v>22</v>
      </c>
      <c r="G55" t="s">
        <v>25</v>
      </c>
      <c r="H55" t="s">
        <v>29</v>
      </c>
      <c r="I55" t="s">
        <v>35</v>
      </c>
      <c r="J55" t="s">
        <v>42</v>
      </c>
      <c r="K55" t="s">
        <v>44</v>
      </c>
      <c r="L55" t="s">
        <v>52</v>
      </c>
      <c r="M55" s="7">
        <v>29370</v>
      </c>
      <c r="N55">
        <v>0.06</v>
      </c>
      <c r="O55" s="7">
        <v>18900</v>
      </c>
      <c r="P55">
        <v>9</v>
      </c>
      <c r="Q55" t="s">
        <v>56</v>
      </c>
      <c r="R55" t="s">
        <v>62</v>
      </c>
      <c r="S55">
        <f t="shared" si="0"/>
        <v>2021</v>
      </c>
      <c r="T55" t="str">
        <f t="shared" si="1"/>
        <v>Feb</v>
      </c>
      <c r="U55">
        <f t="shared" si="2"/>
        <v>2</v>
      </c>
      <c r="V55">
        <f t="shared" si="3"/>
        <v>7</v>
      </c>
      <c r="W55" s="9">
        <f t="shared" si="4"/>
        <v>0.64351378958120531</v>
      </c>
    </row>
    <row r="56" spans="1:23">
      <c r="A56">
        <v>10055</v>
      </c>
      <c r="B56" s="5">
        <v>44251</v>
      </c>
      <c r="C56" s="5">
        <v>44255</v>
      </c>
      <c r="D56" s="5">
        <v>44256</v>
      </c>
      <c r="E56" t="s">
        <v>19</v>
      </c>
      <c r="F56" t="s">
        <v>22</v>
      </c>
      <c r="G56" t="s">
        <v>23</v>
      </c>
      <c r="H56" t="s">
        <v>30</v>
      </c>
      <c r="I56" t="s">
        <v>35</v>
      </c>
      <c r="J56" t="s">
        <v>37</v>
      </c>
      <c r="K56" t="s">
        <v>50</v>
      </c>
      <c r="L56" t="s">
        <v>53</v>
      </c>
      <c r="M56" s="7">
        <v>8876</v>
      </c>
      <c r="N56">
        <v>0.38</v>
      </c>
      <c r="O56" s="7">
        <v>1457</v>
      </c>
      <c r="P56">
        <v>16</v>
      </c>
      <c r="Q56" t="s">
        <v>55</v>
      </c>
      <c r="R56" t="s">
        <v>62</v>
      </c>
      <c r="S56">
        <f t="shared" si="0"/>
        <v>2021</v>
      </c>
      <c r="T56" t="str">
        <f t="shared" si="1"/>
        <v>Feb</v>
      </c>
      <c r="U56">
        <f t="shared" si="2"/>
        <v>4</v>
      </c>
      <c r="V56">
        <f t="shared" si="3"/>
        <v>5</v>
      </c>
      <c r="W56" s="9">
        <f t="shared" si="4"/>
        <v>0.16415051825146462</v>
      </c>
    </row>
    <row r="57" spans="1:23">
      <c r="A57">
        <v>10056</v>
      </c>
      <c r="B57" s="5">
        <v>44252</v>
      </c>
      <c r="C57" s="5">
        <v>44257</v>
      </c>
      <c r="D57" s="5">
        <v>44260</v>
      </c>
      <c r="E57" t="s">
        <v>18</v>
      </c>
      <c r="F57" t="s">
        <v>22</v>
      </c>
      <c r="G57" t="s">
        <v>24</v>
      </c>
      <c r="H57" t="s">
        <v>33</v>
      </c>
      <c r="I57" t="s">
        <v>35</v>
      </c>
      <c r="J57" t="s">
        <v>38</v>
      </c>
      <c r="K57" t="s">
        <v>47</v>
      </c>
      <c r="L57" t="s">
        <v>52</v>
      </c>
      <c r="M57" s="7">
        <v>64193</v>
      </c>
      <c r="N57">
        <v>0.34</v>
      </c>
      <c r="O57" s="7">
        <v>-1113</v>
      </c>
      <c r="P57">
        <v>16</v>
      </c>
      <c r="Q57" t="s">
        <v>54</v>
      </c>
      <c r="R57" t="s">
        <v>59</v>
      </c>
      <c r="S57">
        <f t="shared" si="0"/>
        <v>2021</v>
      </c>
      <c r="T57" t="str">
        <f t="shared" si="1"/>
        <v>Feb</v>
      </c>
      <c r="U57">
        <f t="shared" si="2"/>
        <v>5</v>
      </c>
      <c r="V57">
        <f t="shared" si="3"/>
        <v>8</v>
      </c>
      <c r="W57" s="9">
        <f t="shared" si="4"/>
        <v>-1.7338339071238298E-2</v>
      </c>
    </row>
    <row r="58" spans="1:23">
      <c r="A58">
        <v>10057</v>
      </c>
      <c r="B58" s="5">
        <v>44253</v>
      </c>
      <c r="C58" s="5">
        <v>44260</v>
      </c>
      <c r="D58" s="5">
        <v>44265</v>
      </c>
      <c r="E58" t="s">
        <v>19</v>
      </c>
      <c r="F58" t="s">
        <v>22</v>
      </c>
      <c r="G58" t="s">
        <v>26</v>
      </c>
      <c r="H58" t="s">
        <v>25</v>
      </c>
      <c r="I58" t="s">
        <v>34</v>
      </c>
      <c r="J58" t="s">
        <v>42</v>
      </c>
      <c r="K58" t="s">
        <v>44</v>
      </c>
      <c r="L58" t="s">
        <v>52</v>
      </c>
      <c r="M58" s="7">
        <v>32537</v>
      </c>
      <c r="N58">
        <v>0.22</v>
      </c>
      <c r="O58" s="7">
        <v>5751</v>
      </c>
      <c r="P58">
        <v>12</v>
      </c>
      <c r="Q58" t="s">
        <v>55</v>
      </c>
      <c r="R58" t="s">
        <v>62</v>
      </c>
      <c r="S58">
        <f t="shared" si="0"/>
        <v>2021</v>
      </c>
      <c r="T58" t="str">
        <f t="shared" si="1"/>
        <v>Feb</v>
      </c>
      <c r="U58">
        <f t="shared" si="2"/>
        <v>7</v>
      </c>
      <c r="V58">
        <f t="shared" si="3"/>
        <v>12</v>
      </c>
      <c r="W58" s="9">
        <f t="shared" si="4"/>
        <v>0.17675262009404677</v>
      </c>
    </row>
    <row r="59" spans="1:23">
      <c r="A59">
        <v>10058</v>
      </c>
      <c r="B59" s="5">
        <v>44254</v>
      </c>
      <c r="C59" s="5">
        <v>44257</v>
      </c>
      <c r="D59" s="5">
        <v>44260</v>
      </c>
      <c r="E59" t="s">
        <v>20</v>
      </c>
      <c r="F59" t="s">
        <v>22</v>
      </c>
      <c r="G59" t="s">
        <v>27</v>
      </c>
      <c r="H59" t="s">
        <v>30</v>
      </c>
      <c r="I59" t="s">
        <v>36</v>
      </c>
      <c r="J59" t="s">
        <v>43</v>
      </c>
      <c r="K59" t="s">
        <v>47</v>
      </c>
      <c r="L59" t="s">
        <v>51</v>
      </c>
      <c r="M59" s="7">
        <v>38119</v>
      </c>
      <c r="N59">
        <v>0.38</v>
      </c>
      <c r="O59" s="7">
        <v>17108</v>
      </c>
      <c r="P59">
        <v>24</v>
      </c>
      <c r="Q59" t="s">
        <v>54</v>
      </c>
      <c r="R59" t="s">
        <v>62</v>
      </c>
      <c r="S59">
        <f t="shared" si="0"/>
        <v>2021</v>
      </c>
      <c r="T59" t="str">
        <f t="shared" si="1"/>
        <v>Feb</v>
      </c>
      <c r="U59">
        <f t="shared" si="2"/>
        <v>3</v>
      </c>
      <c r="V59">
        <f t="shared" si="3"/>
        <v>6</v>
      </c>
      <c r="W59" s="9">
        <f t="shared" si="4"/>
        <v>0.44880505784516905</v>
      </c>
    </row>
    <row r="60" spans="1:23">
      <c r="A60">
        <v>10059</v>
      </c>
      <c r="B60" s="5">
        <v>44255</v>
      </c>
      <c r="C60" s="5">
        <v>44259</v>
      </c>
      <c r="D60" s="5">
        <v>44263</v>
      </c>
      <c r="E60" t="s">
        <v>19</v>
      </c>
      <c r="F60" t="s">
        <v>22</v>
      </c>
      <c r="G60" t="s">
        <v>25</v>
      </c>
      <c r="H60" t="s">
        <v>33</v>
      </c>
      <c r="I60" t="s">
        <v>35</v>
      </c>
      <c r="J60" t="s">
        <v>41</v>
      </c>
      <c r="K60" t="s">
        <v>46</v>
      </c>
      <c r="L60" t="s">
        <v>52</v>
      </c>
      <c r="M60" s="7">
        <v>28331</v>
      </c>
      <c r="N60">
        <v>0.01</v>
      </c>
      <c r="O60" s="7">
        <v>15298</v>
      </c>
      <c r="P60">
        <v>4</v>
      </c>
      <c r="Q60" t="s">
        <v>58</v>
      </c>
      <c r="R60" t="s">
        <v>61</v>
      </c>
      <c r="S60">
        <f t="shared" si="0"/>
        <v>2021</v>
      </c>
      <c r="T60" t="str">
        <f t="shared" si="1"/>
        <v>Feb</v>
      </c>
      <c r="U60">
        <f t="shared" si="2"/>
        <v>4</v>
      </c>
      <c r="V60">
        <f t="shared" si="3"/>
        <v>8</v>
      </c>
      <c r="W60" s="9">
        <f t="shared" si="4"/>
        <v>0.53997388020189896</v>
      </c>
    </row>
    <row r="61" spans="1:23">
      <c r="A61">
        <v>10060</v>
      </c>
      <c r="B61" s="5">
        <v>44256</v>
      </c>
      <c r="C61" s="5">
        <v>44259</v>
      </c>
      <c r="D61" s="5">
        <v>44264</v>
      </c>
      <c r="E61" t="s">
        <v>19</v>
      </c>
      <c r="F61" t="s">
        <v>22</v>
      </c>
      <c r="G61" t="s">
        <v>23</v>
      </c>
      <c r="H61" t="s">
        <v>31</v>
      </c>
      <c r="I61" t="s">
        <v>36</v>
      </c>
      <c r="J61" t="s">
        <v>43</v>
      </c>
      <c r="K61" t="s">
        <v>50</v>
      </c>
      <c r="L61" t="s">
        <v>53</v>
      </c>
      <c r="M61" s="7">
        <v>67846</v>
      </c>
      <c r="N61">
        <v>0.12</v>
      </c>
      <c r="O61" s="7">
        <v>8387</v>
      </c>
      <c r="P61">
        <v>23</v>
      </c>
      <c r="Q61" t="s">
        <v>57</v>
      </c>
      <c r="R61" t="s">
        <v>62</v>
      </c>
      <c r="S61">
        <f t="shared" si="0"/>
        <v>2021</v>
      </c>
      <c r="T61" t="str">
        <f t="shared" si="1"/>
        <v>Mar</v>
      </c>
      <c r="U61">
        <f t="shared" si="2"/>
        <v>3</v>
      </c>
      <c r="V61">
        <f t="shared" si="3"/>
        <v>8</v>
      </c>
      <c r="W61" s="9">
        <f t="shared" si="4"/>
        <v>0.12361819414556495</v>
      </c>
    </row>
    <row r="62" spans="1:23">
      <c r="A62">
        <v>10061</v>
      </c>
      <c r="B62" s="5">
        <v>44257</v>
      </c>
      <c r="C62" s="5">
        <v>44262</v>
      </c>
      <c r="D62" s="5">
        <v>44263</v>
      </c>
      <c r="E62" t="s">
        <v>21</v>
      </c>
      <c r="F62" t="s">
        <v>22</v>
      </c>
      <c r="G62" t="s">
        <v>27</v>
      </c>
      <c r="H62" t="s">
        <v>32</v>
      </c>
      <c r="I62" t="s">
        <v>36</v>
      </c>
      <c r="J62" t="s">
        <v>43</v>
      </c>
      <c r="K62" t="s">
        <v>45</v>
      </c>
      <c r="L62" t="s">
        <v>52</v>
      </c>
      <c r="M62" s="7">
        <v>14601</v>
      </c>
      <c r="N62">
        <v>0.21</v>
      </c>
      <c r="O62" s="7">
        <v>3633</v>
      </c>
      <c r="P62">
        <v>2</v>
      </c>
      <c r="Q62" t="s">
        <v>56</v>
      </c>
      <c r="R62" t="s">
        <v>59</v>
      </c>
      <c r="S62">
        <f t="shared" si="0"/>
        <v>2021</v>
      </c>
      <c r="T62" t="str">
        <f t="shared" si="1"/>
        <v>Mar</v>
      </c>
      <c r="U62">
        <f t="shared" si="2"/>
        <v>5</v>
      </c>
      <c r="V62">
        <f t="shared" si="3"/>
        <v>6</v>
      </c>
      <c r="W62" s="9">
        <f t="shared" si="4"/>
        <v>0.24881857407026917</v>
      </c>
    </row>
    <row r="63" spans="1:23">
      <c r="A63">
        <v>10062</v>
      </c>
      <c r="B63" s="5">
        <v>44258</v>
      </c>
      <c r="C63" s="5">
        <v>44265</v>
      </c>
      <c r="D63" s="5">
        <v>44267</v>
      </c>
      <c r="E63" t="s">
        <v>18</v>
      </c>
      <c r="F63" t="s">
        <v>22</v>
      </c>
      <c r="G63" t="s">
        <v>26</v>
      </c>
      <c r="H63" t="s">
        <v>30</v>
      </c>
      <c r="I63" t="s">
        <v>35</v>
      </c>
      <c r="J63" t="s">
        <v>38</v>
      </c>
      <c r="K63" t="s">
        <v>50</v>
      </c>
      <c r="L63" t="s">
        <v>53</v>
      </c>
      <c r="M63" s="7">
        <v>64543</v>
      </c>
      <c r="N63">
        <v>0.25</v>
      </c>
      <c r="O63" s="7">
        <v>17686</v>
      </c>
      <c r="P63">
        <v>3</v>
      </c>
      <c r="Q63" t="s">
        <v>54</v>
      </c>
      <c r="R63" t="s">
        <v>62</v>
      </c>
      <c r="S63">
        <f t="shared" si="0"/>
        <v>2021</v>
      </c>
      <c r="T63" t="str">
        <f t="shared" si="1"/>
        <v>Mar</v>
      </c>
      <c r="U63">
        <f t="shared" si="2"/>
        <v>7</v>
      </c>
      <c r="V63">
        <f t="shared" si="3"/>
        <v>9</v>
      </c>
      <c r="W63" s="9">
        <f t="shared" si="4"/>
        <v>0.27401887114017009</v>
      </c>
    </row>
    <row r="64" spans="1:23">
      <c r="A64">
        <v>10063</v>
      </c>
      <c r="B64" s="5">
        <v>44259</v>
      </c>
      <c r="C64" s="5">
        <v>44263</v>
      </c>
      <c r="D64" s="5">
        <v>44266</v>
      </c>
      <c r="E64" t="s">
        <v>20</v>
      </c>
      <c r="F64" t="s">
        <v>22</v>
      </c>
      <c r="G64" t="s">
        <v>26</v>
      </c>
      <c r="H64" t="s">
        <v>33</v>
      </c>
      <c r="I64" t="s">
        <v>34</v>
      </c>
      <c r="J64" t="s">
        <v>42</v>
      </c>
      <c r="K64" t="s">
        <v>50</v>
      </c>
      <c r="L64" t="s">
        <v>51</v>
      </c>
      <c r="M64" s="7">
        <v>62217</v>
      </c>
      <c r="N64">
        <v>0.11</v>
      </c>
      <c r="O64" s="7">
        <v>9060</v>
      </c>
      <c r="P64">
        <v>24</v>
      </c>
      <c r="Q64" t="s">
        <v>56</v>
      </c>
      <c r="R64" t="s">
        <v>62</v>
      </c>
      <c r="S64">
        <f t="shared" si="0"/>
        <v>2021</v>
      </c>
      <c r="T64" t="str">
        <f t="shared" si="1"/>
        <v>Mar</v>
      </c>
      <c r="U64">
        <f t="shared" si="2"/>
        <v>4</v>
      </c>
      <c r="V64">
        <f t="shared" si="3"/>
        <v>7</v>
      </c>
      <c r="W64" s="9">
        <f t="shared" si="4"/>
        <v>0.1456193644823762</v>
      </c>
    </row>
    <row r="65" spans="1:23">
      <c r="A65">
        <v>10064</v>
      </c>
      <c r="B65" s="5">
        <v>44260</v>
      </c>
      <c r="C65" s="5">
        <v>44264</v>
      </c>
      <c r="D65" s="5">
        <v>44265</v>
      </c>
      <c r="E65" t="s">
        <v>19</v>
      </c>
      <c r="F65" t="s">
        <v>22</v>
      </c>
      <c r="G65" t="s">
        <v>23</v>
      </c>
      <c r="H65" t="s">
        <v>33</v>
      </c>
      <c r="I65" t="s">
        <v>34</v>
      </c>
      <c r="J65" t="s">
        <v>38</v>
      </c>
      <c r="K65" t="s">
        <v>46</v>
      </c>
      <c r="L65" t="s">
        <v>51</v>
      </c>
      <c r="M65" s="7">
        <v>37731</v>
      </c>
      <c r="N65">
        <v>0.03</v>
      </c>
      <c r="O65" s="7">
        <v>7494</v>
      </c>
      <c r="P65">
        <v>18</v>
      </c>
      <c r="Q65" t="s">
        <v>58</v>
      </c>
      <c r="R65" t="s">
        <v>61</v>
      </c>
      <c r="S65">
        <f t="shared" si="0"/>
        <v>2021</v>
      </c>
      <c r="T65" t="str">
        <f t="shared" si="1"/>
        <v>Mar</v>
      </c>
      <c r="U65">
        <f t="shared" si="2"/>
        <v>4</v>
      </c>
      <c r="V65">
        <f t="shared" si="3"/>
        <v>5</v>
      </c>
      <c r="W65" s="9">
        <f t="shared" si="4"/>
        <v>0.19861652222310566</v>
      </c>
    </row>
    <row r="66" spans="1:23">
      <c r="A66">
        <v>10065</v>
      </c>
      <c r="B66" s="5">
        <v>44261</v>
      </c>
      <c r="C66" s="5">
        <v>44266</v>
      </c>
      <c r="D66" s="5">
        <v>44269</v>
      </c>
      <c r="E66" t="s">
        <v>19</v>
      </c>
      <c r="F66" t="s">
        <v>22</v>
      </c>
      <c r="G66" t="s">
        <v>28</v>
      </c>
      <c r="H66" t="s">
        <v>32</v>
      </c>
      <c r="I66" t="s">
        <v>35</v>
      </c>
      <c r="J66" t="s">
        <v>37</v>
      </c>
      <c r="K66" t="s">
        <v>48</v>
      </c>
      <c r="L66" t="s">
        <v>51</v>
      </c>
      <c r="M66" s="7">
        <v>71468</v>
      </c>
      <c r="N66">
        <v>0.27</v>
      </c>
      <c r="O66" s="7">
        <v>4126</v>
      </c>
      <c r="P66">
        <v>11</v>
      </c>
      <c r="Q66" t="s">
        <v>54</v>
      </c>
      <c r="R66" t="s">
        <v>61</v>
      </c>
      <c r="S66">
        <f t="shared" si="0"/>
        <v>2021</v>
      </c>
      <c r="T66" t="str">
        <f t="shared" si="1"/>
        <v>Mar</v>
      </c>
      <c r="U66">
        <f t="shared" si="2"/>
        <v>5</v>
      </c>
      <c r="V66">
        <f t="shared" si="3"/>
        <v>8</v>
      </c>
      <c r="W66" s="9">
        <f t="shared" si="4"/>
        <v>5.7732131863211508E-2</v>
      </c>
    </row>
    <row r="67" spans="1:23">
      <c r="A67">
        <v>10066</v>
      </c>
      <c r="B67" s="5">
        <v>44262</v>
      </c>
      <c r="C67" s="5">
        <v>44265</v>
      </c>
      <c r="D67" s="5">
        <v>44266</v>
      </c>
      <c r="E67" t="s">
        <v>19</v>
      </c>
      <c r="F67" t="s">
        <v>22</v>
      </c>
      <c r="G67" t="s">
        <v>27</v>
      </c>
      <c r="H67" t="s">
        <v>32</v>
      </c>
      <c r="I67" t="s">
        <v>36</v>
      </c>
      <c r="J67" t="s">
        <v>42</v>
      </c>
      <c r="K67" t="s">
        <v>46</v>
      </c>
      <c r="L67" t="s">
        <v>53</v>
      </c>
      <c r="M67" s="7">
        <v>29965</v>
      </c>
      <c r="N67">
        <v>0.15</v>
      </c>
      <c r="O67" s="7">
        <v>1945</v>
      </c>
      <c r="P67">
        <v>6</v>
      </c>
      <c r="Q67" t="s">
        <v>58</v>
      </c>
      <c r="R67" t="s">
        <v>60</v>
      </c>
      <c r="S67">
        <f t="shared" ref="S67:S130" si="5">YEAR(B67)</f>
        <v>2021</v>
      </c>
      <c r="T67" t="str">
        <f t="shared" ref="T67:T130" si="6">TEXT(B67,"mmm")</f>
        <v>Mar</v>
      </c>
      <c r="U67">
        <f t="shared" ref="U67:U130" si="7">C67-B67</f>
        <v>3</v>
      </c>
      <c r="V67">
        <f t="shared" ref="V67:V130" si="8">D67-B67</f>
        <v>4</v>
      </c>
      <c r="W67" s="9">
        <f t="shared" ref="W67:W130" si="9">IFERROR(O67/M67,0)</f>
        <v>6.4909060570665783E-2</v>
      </c>
    </row>
    <row r="68" spans="1:23">
      <c r="A68">
        <v>10067</v>
      </c>
      <c r="B68" s="5">
        <v>44263</v>
      </c>
      <c r="C68" s="5">
        <v>44269</v>
      </c>
      <c r="D68" s="5">
        <v>44274</v>
      </c>
      <c r="E68" t="s">
        <v>18</v>
      </c>
      <c r="F68" t="s">
        <v>22</v>
      </c>
      <c r="G68" t="s">
        <v>24</v>
      </c>
      <c r="H68" t="s">
        <v>31</v>
      </c>
      <c r="I68" t="s">
        <v>36</v>
      </c>
      <c r="J68" t="s">
        <v>40</v>
      </c>
      <c r="K68" t="s">
        <v>49</v>
      </c>
      <c r="L68" t="s">
        <v>51</v>
      </c>
      <c r="M68" s="7">
        <v>66117</v>
      </c>
      <c r="N68">
        <v>0.05</v>
      </c>
      <c r="O68" s="7">
        <v>8664</v>
      </c>
      <c r="P68">
        <v>20</v>
      </c>
      <c r="Q68" t="s">
        <v>56</v>
      </c>
      <c r="R68" t="s">
        <v>60</v>
      </c>
      <c r="S68">
        <f t="shared" si="5"/>
        <v>2021</v>
      </c>
      <c r="T68" t="str">
        <f t="shared" si="6"/>
        <v>Mar</v>
      </c>
      <c r="U68">
        <f t="shared" si="7"/>
        <v>6</v>
      </c>
      <c r="V68">
        <f t="shared" si="8"/>
        <v>11</v>
      </c>
      <c r="W68" s="9">
        <f t="shared" si="9"/>
        <v>0.13104042833159399</v>
      </c>
    </row>
    <row r="69" spans="1:23">
      <c r="A69">
        <v>10068</v>
      </c>
      <c r="B69" s="5">
        <v>44264</v>
      </c>
      <c r="C69" s="5">
        <v>44268</v>
      </c>
      <c r="D69" s="5">
        <v>44270</v>
      </c>
      <c r="E69" t="s">
        <v>18</v>
      </c>
      <c r="F69" t="s">
        <v>22</v>
      </c>
      <c r="G69" t="s">
        <v>24</v>
      </c>
      <c r="H69" t="s">
        <v>25</v>
      </c>
      <c r="I69" t="s">
        <v>35</v>
      </c>
      <c r="J69" t="s">
        <v>38</v>
      </c>
      <c r="K69" t="s">
        <v>50</v>
      </c>
      <c r="L69" t="s">
        <v>52</v>
      </c>
      <c r="M69" s="7">
        <v>18482</v>
      </c>
      <c r="N69">
        <v>0.12</v>
      </c>
      <c r="O69" s="7">
        <v>9475</v>
      </c>
      <c r="P69">
        <v>14</v>
      </c>
      <c r="Q69" t="s">
        <v>56</v>
      </c>
      <c r="R69" t="s">
        <v>59</v>
      </c>
      <c r="S69">
        <f t="shared" si="5"/>
        <v>2021</v>
      </c>
      <c r="T69" t="str">
        <f t="shared" si="6"/>
        <v>Mar</v>
      </c>
      <c r="U69">
        <f t="shared" si="7"/>
        <v>4</v>
      </c>
      <c r="V69">
        <f t="shared" si="8"/>
        <v>6</v>
      </c>
      <c r="W69" s="9">
        <f t="shared" si="9"/>
        <v>0.51266096742776757</v>
      </c>
    </row>
    <row r="70" spans="1:23">
      <c r="A70">
        <v>10069</v>
      </c>
      <c r="B70" s="5">
        <v>44265</v>
      </c>
      <c r="C70" s="5">
        <v>44268</v>
      </c>
      <c r="D70" s="5">
        <v>44273</v>
      </c>
      <c r="E70" t="s">
        <v>21</v>
      </c>
      <c r="F70" t="s">
        <v>22</v>
      </c>
      <c r="G70" t="s">
        <v>28</v>
      </c>
      <c r="H70" t="s">
        <v>29</v>
      </c>
      <c r="I70" t="s">
        <v>34</v>
      </c>
      <c r="J70" t="s">
        <v>40</v>
      </c>
      <c r="K70" t="s">
        <v>47</v>
      </c>
      <c r="L70" t="s">
        <v>52</v>
      </c>
      <c r="M70" s="7">
        <v>47595</v>
      </c>
      <c r="N70">
        <v>0.16</v>
      </c>
      <c r="O70" s="7">
        <v>18843</v>
      </c>
      <c r="P70">
        <v>3</v>
      </c>
      <c r="Q70" t="s">
        <v>57</v>
      </c>
      <c r="R70" t="s">
        <v>61</v>
      </c>
      <c r="S70">
        <f t="shared" si="5"/>
        <v>2021</v>
      </c>
      <c r="T70" t="str">
        <f t="shared" si="6"/>
        <v>Mar</v>
      </c>
      <c r="U70">
        <f t="shared" si="7"/>
        <v>3</v>
      </c>
      <c r="V70">
        <f t="shared" si="8"/>
        <v>8</v>
      </c>
      <c r="W70" s="9">
        <f t="shared" si="9"/>
        <v>0.39590293098014495</v>
      </c>
    </row>
    <row r="71" spans="1:23">
      <c r="A71">
        <v>10070</v>
      </c>
      <c r="B71" s="5">
        <v>44266</v>
      </c>
      <c r="C71" s="5">
        <v>44270</v>
      </c>
      <c r="D71" s="5">
        <v>44273</v>
      </c>
      <c r="E71" t="s">
        <v>20</v>
      </c>
      <c r="F71" t="s">
        <v>22</v>
      </c>
      <c r="G71" t="s">
        <v>28</v>
      </c>
      <c r="H71" t="s">
        <v>32</v>
      </c>
      <c r="I71" t="s">
        <v>36</v>
      </c>
      <c r="J71" t="s">
        <v>41</v>
      </c>
      <c r="K71" t="s">
        <v>46</v>
      </c>
      <c r="L71" t="s">
        <v>53</v>
      </c>
      <c r="M71" s="7">
        <v>16097</v>
      </c>
      <c r="N71">
        <v>0.31</v>
      </c>
      <c r="O71" s="7">
        <v>12044</v>
      </c>
      <c r="P71">
        <v>19</v>
      </c>
      <c r="Q71" t="s">
        <v>57</v>
      </c>
      <c r="R71" t="s">
        <v>62</v>
      </c>
      <c r="S71">
        <f t="shared" si="5"/>
        <v>2021</v>
      </c>
      <c r="T71" t="str">
        <f t="shared" si="6"/>
        <v>Mar</v>
      </c>
      <c r="U71">
        <f t="shared" si="7"/>
        <v>4</v>
      </c>
      <c r="V71">
        <f t="shared" si="8"/>
        <v>7</v>
      </c>
      <c r="W71" s="9">
        <f t="shared" si="9"/>
        <v>0.74821395291048021</v>
      </c>
    </row>
    <row r="72" spans="1:23">
      <c r="A72">
        <v>10071</v>
      </c>
      <c r="B72" s="5">
        <v>44267</v>
      </c>
      <c r="C72" s="5">
        <v>44269</v>
      </c>
      <c r="D72" s="5">
        <v>44270</v>
      </c>
      <c r="E72" t="s">
        <v>18</v>
      </c>
      <c r="F72" t="s">
        <v>22</v>
      </c>
      <c r="G72" t="s">
        <v>23</v>
      </c>
      <c r="H72" t="s">
        <v>32</v>
      </c>
      <c r="I72" t="s">
        <v>36</v>
      </c>
      <c r="J72" t="s">
        <v>39</v>
      </c>
      <c r="K72" t="s">
        <v>44</v>
      </c>
      <c r="L72" t="s">
        <v>51</v>
      </c>
      <c r="M72" s="7">
        <v>65219</v>
      </c>
      <c r="N72">
        <v>0.34</v>
      </c>
      <c r="O72" s="7">
        <v>8068</v>
      </c>
      <c r="P72">
        <v>9</v>
      </c>
      <c r="Q72" t="s">
        <v>57</v>
      </c>
      <c r="R72" t="s">
        <v>62</v>
      </c>
      <c r="S72">
        <f t="shared" si="5"/>
        <v>2021</v>
      </c>
      <c r="T72" t="str">
        <f t="shared" si="6"/>
        <v>Mar</v>
      </c>
      <c r="U72">
        <f t="shared" si="7"/>
        <v>2</v>
      </c>
      <c r="V72">
        <f t="shared" si="8"/>
        <v>3</v>
      </c>
      <c r="W72" s="9">
        <f t="shared" si="9"/>
        <v>0.12370628191171285</v>
      </c>
    </row>
    <row r="73" spans="1:23">
      <c r="A73">
        <v>10072</v>
      </c>
      <c r="B73" s="5">
        <v>44268</v>
      </c>
      <c r="C73" s="5">
        <v>44273</v>
      </c>
      <c r="D73" s="5">
        <v>44274</v>
      </c>
      <c r="E73" t="s">
        <v>19</v>
      </c>
      <c r="F73" t="s">
        <v>22</v>
      </c>
      <c r="G73" t="s">
        <v>23</v>
      </c>
      <c r="H73" t="s">
        <v>25</v>
      </c>
      <c r="I73" t="s">
        <v>36</v>
      </c>
      <c r="J73" t="s">
        <v>40</v>
      </c>
      <c r="K73" t="s">
        <v>50</v>
      </c>
      <c r="L73" t="s">
        <v>53</v>
      </c>
      <c r="M73" s="7">
        <v>73023</v>
      </c>
      <c r="N73">
        <v>7.0000000000000007E-2</v>
      </c>
      <c r="O73" s="7">
        <v>17402</v>
      </c>
      <c r="P73">
        <v>16</v>
      </c>
      <c r="Q73" t="s">
        <v>54</v>
      </c>
      <c r="R73" t="s">
        <v>59</v>
      </c>
      <c r="S73">
        <f t="shared" si="5"/>
        <v>2021</v>
      </c>
      <c r="T73" t="str">
        <f t="shared" si="6"/>
        <v>Mar</v>
      </c>
      <c r="U73">
        <f t="shared" si="7"/>
        <v>5</v>
      </c>
      <c r="V73">
        <f t="shared" si="8"/>
        <v>6</v>
      </c>
      <c r="W73" s="9">
        <f t="shared" si="9"/>
        <v>0.23830847815071965</v>
      </c>
    </row>
    <row r="74" spans="1:23">
      <c r="A74">
        <v>10073</v>
      </c>
      <c r="B74" s="5">
        <v>44269</v>
      </c>
      <c r="C74" s="5">
        <v>44271</v>
      </c>
      <c r="D74" s="5">
        <v>44275</v>
      </c>
      <c r="E74" t="s">
        <v>20</v>
      </c>
      <c r="F74" t="s">
        <v>22</v>
      </c>
      <c r="G74" t="s">
        <v>26</v>
      </c>
      <c r="H74" t="s">
        <v>33</v>
      </c>
      <c r="I74" t="s">
        <v>34</v>
      </c>
      <c r="J74" t="s">
        <v>39</v>
      </c>
      <c r="K74" t="s">
        <v>45</v>
      </c>
      <c r="L74" t="s">
        <v>53</v>
      </c>
      <c r="M74" s="7">
        <v>24586</v>
      </c>
      <c r="N74">
        <v>0.28000000000000003</v>
      </c>
      <c r="O74" s="7">
        <v>9922</v>
      </c>
      <c r="P74">
        <v>10</v>
      </c>
      <c r="Q74" t="s">
        <v>58</v>
      </c>
      <c r="R74" t="s">
        <v>60</v>
      </c>
      <c r="S74">
        <f t="shared" si="5"/>
        <v>2021</v>
      </c>
      <c r="T74" t="str">
        <f t="shared" si="6"/>
        <v>Mar</v>
      </c>
      <c r="U74">
        <f t="shared" si="7"/>
        <v>2</v>
      </c>
      <c r="V74">
        <f t="shared" si="8"/>
        <v>6</v>
      </c>
      <c r="W74" s="9">
        <f t="shared" si="9"/>
        <v>0.40356300333523143</v>
      </c>
    </row>
    <row r="75" spans="1:23">
      <c r="A75">
        <v>10074</v>
      </c>
      <c r="B75" s="5">
        <v>44270</v>
      </c>
      <c r="C75" s="5">
        <v>44273</v>
      </c>
      <c r="D75" s="5">
        <v>44276</v>
      </c>
      <c r="E75" t="s">
        <v>18</v>
      </c>
      <c r="F75" t="s">
        <v>22</v>
      </c>
      <c r="G75" t="s">
        <v>24</v>
      </c>
      <c r="H75" t="s">
        <v>29</v>
      </c>
      <c r="I75" t="s">
        <v>35</v>
      </c>
      <c r="J75" t="s">
        <v>41</v>
      </c>
      <c r="K75" t="s">
        <v>46</v>
      </c>
      <c r="L75" t="s">
        <v>53</v>
      </c>
      <c r="M75" s="7">
        <v>33683</v>
      </c>
      <c r="N75">
        <v>0.35</v>
      </c>
      <c r="O75" s="7">
        <v>4197</v>
      </c>
      <c r="P75">
        <v>7</v>
      </c>
      <c r="Q75" t="s">
        <v>55</v>
      </c>
      <c r="R75" t="s">
        <v>61</v>
      </c>
      <c r="S75">
        <f t="shared" si="5"/>
        <v>2021</v>
      </c>
      <c r="T75" t="str">
        <f t="shared" si="6"/>
        <v>Mar</v>
      </c>
      <c r="U75">
        <f t="shared" si="7"/>
        <v>3</v>
      </c>
      <c r="V75">
        <f t="shared" si="8"/>
        <v>6</v>
      </c>
      <c r="W75" s="9">
        <f t="shared" si="9"/>
        <v>0.12460291541727281</v>
      </c>
    </row>
    <row r="76" spans="1:23">
      <c r="A76">
        <v>10075</v>
      </c>
      <c r="B76" s="5">
        <v>44271</v>
      </c>
      <c r="C76" s="5">
        <v>44276</v>
      </c>
      <c r="D76" s="5">
        <v>44280</v>
      </c>
      <c r="E76" t="s">
        <v>18</v>
      </c>
      <c r="F76" t="s">
        <v>22</v>
      </c>
      <c r="G76" t="s">
        <v>24</v>
      </c>
      <c r="H76" t="s">
        <v>25</v>
      </c>
      <c r="I76" t="s">
        <v>34</v>
      </c>
      <c r="J76" t="s">
        <v>41</v>
      </c>
      <c r="K76" t="s">
        <v>46</v>
      </c>
      <c r="L76" t="s">
        <v>53</v>
      </c>
      <c r="M76" s="7">
        <v>56426</v>
      </c>
      <c r="N76">
        <v>0.36</v>
      </c>
      <c r="O76" s="7">
        <v>2053</v>
      </c>
      <c r="P76">
        <v>17</v>
      </c>
      <c r="Q76" t="s">
        <v>55</v>
      </c>
      <c r="R76" t="s">
        <v>61</v>
      </c>
      <c r="S76">
        <f t="shared" si="5"/>
        <v>2021</v>
      </c>
      <c r="T76" t="str">
        <f t="shared" si="6"/>
        <v>Mar</v>
      </c>
      <c r="U76">
        <f t="shared" si="7"/>
        <v>5</v>
      </c>
      <c r="V76">
        <f t="shared" si="8"/>
        <v>9</v>
      </c>
      <c r="W76" s="9">
        <f t="shared" si="9"/>
        <v>3.6383936483181514E-2</v>
      </c>
    </row>
    <row r="77" spans="1:23">
      <c r="A77">
        <v>10076</v>
      </c>
      <c r="B77" s="5">
        <v>44272</v>
      </c>
      <c r="C77" s="5">
        <v>44275</v>
      </c>
      <c r="D77" s="5">
        <v>44277</v>
      </c>
      <c r="E77" t="s">
        <v>19</v>
      </c>
      <c r="F77" t="s">
        <v>22</v>
      </c>
      <c r="G77" t="s">
        <v>28</v>
      </c>
      <c r="H77" t="s">
        <v>32</v>
      </c>
      <c r="I77" t="s">
        <v>35</v>
      </c>
      <c r="J77" t="s">
        <v>39</v>
      </c>
      <c r="K77" t="s">
        <v>45</v>
      </c>
      <c r="L77" t="s">
        <v>52</v>
      </c>
      <c r="M77" s="7">
        <v>50896</v>
      </c>
      <c r="N77">
        <v>0.03</v>
      </c>
      <c r="O77" s="7">
        <v>-1771</v>
      </c>
      <c r="P77">
        <v>3</v>
      </c>
      <c r="Q77" t="s">
        <v>57</v>
      </c>
      <c r="R77" t="s">
        <v>62</v>
      </c>
      <c r="S77">
        <f t="shared" si="5"/>
        <v>2021</v>
      </c>
      <c r="T77" t="str">
        <f t="shared" si="6"/>
        <v>Mar</v>
      </c>
      <c r="U77">
        <f t="shared" si="7"/>
        <v>3</v>
      </c>
      <c r="V77">
        <f t="shared" si="8"/>
        <v>5</v>
      </c>
      <c r="W77" s="9">
        <f t="shared" si="9"/>
        <v>-3.4796447657969194E-2</v>
      </c>
    </row>
    <row r="78" spans="1:23">
      <c r="A78">
        <v>10077</v>
      </c>
      <c r="B78" s="5">
        <v>44273</v>
      </c>
      <c r="C78" s="5">
        <v>44280</v>
      </c>
      <c r="D78" s="5">
        <v>44284</v>
      </c>
      <c r="E78" t="s">
        <v>18</v>
      </c>
      <c r="F78" t="s">
        <v>22</v>
      </c>
      <c r="G78" t="s">
        <v>25</v>
      </c>
      <c r="H78" t="s">
        <v>30</v>
      </c>
      <c r="I78" t="s">
        <v>35</v>
      </c>
      <c r="J78" t="s">
        <v>40</v>
      </c>
      <c r="K78" t="s">
        <v>49</v>
      </c>
      <c r="L78" t="s">
        <v>52</v>
      </c>
      <c r="M78" s="7">
        <v>33649</v>
      </c>
      <c r="N78">
        <v>0.14000000000000001</v>
      </c>
      <c r="O78" s="7">
        <v>8088</v>
      </c>
      <c r="P78">
        <v>7</v>
      </c>
      <c r="Q78" t="s">
        <v>58</v>
      </c>
      <c r="R78" t="s">
        <v>59</v>
      </c>
      <c r="S78">
        <f t="shared" si="5"/>
        <v>2021</v>
      </c>
      <c r="T78" t="str">
        <f t="shared" si="6"/>
        <v>Mar</v>
      </c>
      <c r="U78">
        <f t="shared" si="7"/>
        <v>7</v>
      </c>
      <c r="V78">
        <f t="shared" si="8"/>
        <v>11</v>
      </c>
      <c r="W78" s="9">
        <f t="shared" si="9"/>
        <v>0.2403637552378971</v>
      </c>
    </row>
    <row r="79" spans="1:23">
      <c r="A79">
        <v>10078</v>
      </c>
      <c r="B79" s="5">
        <v>44274</v>
      </c>
      <c r="C79" s="5">
        <v>44278</v>
      </c>
      <c r="D79" s="5">
        <v>44279</v>
      </c>
      <c r="E79" t="s">
        <v>19</v>
      </c>
      <c r="F79" t="s">
        <v>22</v>
      </c>
      <c r="G79" t="s">
        <v>24</v>
      </c>
      <c r="H79" t="s">
        <v>33</v>
      </c>
      <c r="I79" t="s">
        <v>36</v>
      </c>
      <c r="J79" t="s">
        <v>41</v>
      </c>
      <c r="K79" t="s">
        <v>48</v>
      </c>
      <c r="L79" t="s">
        <v>51</v>
      </c>
      <c r="M79" s="7">
        <v>58141</v>
      </c>
      <c r="N79">
        <v>0.08</v>
      </c>
      <c r="O79" s="7">
        <v>19981</v>
      </c>
      <c r="P79">
        <v>15</v>
      </c>
      <c r="Q79" t="s">
        <v>57</v>
      </c>
      <c r="R79" t="s">
        <v>60</v>
      </c>
      <c r="S79">
        <f t="shared" si="5"/>
        <v>2021</v>
      </c>
      <c r="T79" t="str">
        <f t="shared" si="6"/>
        <v>Mar</v>
      </c>
      <c r="U79">
        <f t="shared" si="7"/>
        <v>4</v>
      </c>
      <c r="V79">
        <f t="shared" si="8"/>
        <v>5</v>
      </c>
      <c r="W79" s="9">
        <f t="shared" si="9"/>
        <v>0.34366453965360072</v>
      </c>
    </row>
    <row r="80" spans="1:23">
      <c r="A80">
        <v>10079</v>
      </c>
      <c r="B80" s="5">
        <v>44275</v>
      </c>
      <c r="C80" s="5">
        <v>44281</v>
      </c>
      <c r="D80" s="5">
        <v>44282</v>
      </c>
      <c r="E80" t="s">
        <v>20</v>
      </c>
      <c r="F80" t="s">
        <v>22</v>
      </c>
      <c r="G80" t="s">
        <v>25</v>
      </c>
      <c r="H80" t="s">
        <v>32</v>
      </c>
      <c r="I80" t="s">
        <v>35</v>
      </c>
      <c r="J80" t="s">
        <v>37</v>
      </c>
      <c r="K80" t="s">
        <v>49</v>
      </c>
      <c r="L80" t="s">
        <v>53</v>
      </c>
      <c r="M80" s="7">
        <v>46631</v>
      </c>
      <c r="N80">
        <v>0.09</v>
      </c>
      <c r="O80" s="7">
        <v>14299</v>
      </c>
      <c r="P80">
        <v>19</v>
      </c>
      <c r="Q80" t="s">
        <v>55</v>
      </c>
      <c r="R80" t="s">
        <v>60</v>
      </c>
      <c r="S80">
        <f t="shared" si="5"/>
        <v>2021</v>
      </c>
      <c r="T80" t="str">
        <f t="shared" si="6"/>
        <v>Mar</v>
      </c>
      <c r="U80">
        <f t="shared" si="7"/>
        <v>6</v>
      </c>
      <c r="V80">
        <f t="shared" si="8"/>
        <v>7</v>
      </c>
      <c r="W80" s="9">
        <f t="shared" si="9"/>
        <v>0.30664150457849926</v>
      </c>
    </row>
    <row r="81" spans="1:23">
      <c r="A81">
        <v>10080</v>
      </c>
      <c r="B81" s="5">
        <v>44276</v>
      </c>
      <c r="C81" s="5">
        <v>44282</v>
      </c>
      <c r="D81" s="5">
        <v>44285</v>
      </c>
      <c r="E81" t="s">
        <v>19</v>
      </c>
      <c r="F81" t="s">
        <v>22</v>
      </c>
      <c r="G81" t="s">
        <v>24</v>
      </c>
      <c r="H81" t="s">
        <v>31</v>
      </c>
      <c r="I81" t="s">
        <v>34</v>
      </c>
      <c r="J81" t="s">
        <v>41</v>
      </c>
      <c r="K81" t="s">
        <v>44</v>
      </c>
      <c r="L81" t="s">
        <v>52</v>
      </c>
      <c r="M81" s="7">
        <v>5553</v>
      </c>
      <c r="N81">
        <v>0.1</v>
      </c>
      <c r="O81" s="7">
        <v>19229</v>
      </c>
      <c r="P81">
        <v>23</v>
      </c>
      <c r="Q81" t="s">
        <v>58</v>
      </c>
      <c r="R81" t="s">
        <v>60</v>
      </c>
      <c r="S81">
        <f t="shared" si="5"/>
        <v>2021</v>
      </c>
      <c r="T81" t="str">
        <f t="shared" si="6"/>
        <v>Mar</v>
      </c>
      <c r="U81">
        <f t="shared" si="7"/>
        <v>6</v>
      </c>
      <c r="V81">
        <f t="shared" si="8"/>
        <v>9</v>
      </c>
      <c r="W81" s="9">
        <f t="shared" si="9"/>
        <v>3.4628128939312082</v>
      </c>
    </row>
    <row r="82" spans="1:23">
      <c r="A82">
        <v>10081</v>
      </c>
      <c r="B82" s="5">
        <v>44277</v>
      </c>
      <c r="C82" s="5">
        <v>44279</v>
      </c>
      <c r="D82" s="5">
        <v>44282</v>
      </c>
      <c r="E82" t="s">
        <v>18</v>
      </c>
      <c r="F82" t="s">
        <v>22</v>
      </c>
      <c r="G82" t="s">
        <v>26</v>
      </c>
      <c r="H82" t="s">
        <v>30</v>
      </c>
      <c r="I82" t="s">
        <v>36</v>
      </c>
      <c r="J82" t="s">
        <v>42</v>
      </c>
      <c r="K82" t="s">
        <v>47</v>
      </c>
      <c r="L82" t="s">
        <v>52</v>
      </c>
      <c r="M82" s="7">
        <v>66525</v>
      </c>
      <c r="N82">
        <v>0.09</v>
      </c>
      <c r="O82" s="7">
        <v>10004</v>
      </c>
      <c r="P82">
        <v>20</v>
      </c>
      <c r="Q82" t="s">
        <v>54</v>
      </c>
      <c r="R82" t="s">
        <v>61</v>
      </c>
      <c r="S82">
        <f t="shared" si="5"/>
        <v>2021</v>
      </c>
      <c r="T82" t="str">
        <f t="shared" si="6"/>
        <v>Mar</v>
      </c>
      <c r="U82">
        <f t="shared" si="7"/>
        <v>2</v>
      </c>
      <c r="V82">
        <f t="shared" si="8"/>
        <v>5</v>
      </c>
      <c r="W82" s="9">
        <f t="shared" si="9"/>
        <v>0.15037955655768509</v>
      </c>
    </row>
    <row r="83" spans="1:23">
      <c r="A83">
        <v>10082</v>
      </c>
      <c r="B83" s="5">
        <v>44278</v>
      </c>
      <c r="C83" s="5">
        <v>44280</v>
      </c>
      <c r="D83" s="5">
        <v>44283</v>
      </c>
      <c r="E83" t="s">
        <v>20</v>
      </c>
      <c r="F83" t="s">
        <v>22</v>
      </c>
      <c r="G83" t="s">
        <v>28</v>
      </c>
      <c r="H83" t="s">
        <v>30</v>
      </c>
      <c r="I83" t="s">
        <v>34</v>
      </c>
      <c r="J83" t="s">
        <v>38</v>
      </c>
      <c r="K83" t="s">
        <v>47</v>
      </c>
      <c r="L83" t="s">
        <v>51</v>
      </c>
      <c r="M83" s="7">
        <v>49623</v>
      </c>
      <c r="N83">
        <v>0.39</v>
      </c>
      <c r="O83" s="7">
        <v>11820</v>
      </c>
      <c r="P83">
        <v>9</v>
      </c>
      <c r="Q83" t="s">
        <v>54</v>
      </c>
      <c r="R83" t="s">
        <v>60</v>
      </c>
      <c r="S83">
        <f t="shared" si="5"/>
        <v>2021</v>
      </c>
      <c r="T83" t="str">
        <f t="shared" si="6"/>
        <v>Mar</v>
      </c>
      <c r="U83">
        <f t="shared" si="7"/>
        <v>2</v>
      </c>
      <c r="V83">
        <f t="shared" si="8"/>
        <v>5</v>
      </c>
      <c r="W83" s="9">
        <f t="shared" si="9"/>
        <v>0.23819599782358986</v>
      </c>
    </row>
    <row r="84" spans="1:23">
      <c r="A84">
        <v>10083</v>
      </c>
      <c r="B84" s="5">
        <v>44279</v>
      </c>
      <c r="C84" s="5">
        <v>44284</v>
      </c>
      <c r="D84" s="5">
        <v>44287</v>
      </c>
      <c r="E84" t="s">
        <v>18</v>
      </c>
      <c r="F84" t="s">
        <v>22</v>
      </c>
      <c r="G84" t="s">
        <v>28</v>
      </c>
      <c r="H84" t="s">
        <v>30</v>
      </c>
      <c r="I84" t="s">
        <v>36</v>
      </c>
      <c r="J84" t="s">
        <v>42</v>
      </c>
      <c r="K84" t="s">
        <v>46</v>
      </c>
      <c r="L84" t="s">
        <v>51</v>
      </c>
      <c r="M84" s="7">
        <v>22932</v>
      </c>
      <c r="N84">
        <v>0.15</v>
      </c>
      <c r="O84" s="7">
        <v>15316</v>
      </c>
      <c r="P84">
        <v>3</v>
      </c>
      <c r="Q84" t="s">
        <v>57</v>
      </c>
      <c r="R84" t="s">
        <v>61</v>
      </c>
      <c r="S84">
        <f t="shared" si="5"/>
        <v>2021</v>
      </c>
      <c r="T84" t="str">
        <f t="shared" si="6"/>
        <v>Mar</v>
      </c>
      <c r="U84">
        <f t="shared" si="7"/>
        <v>5</v>
      </c>
      <c r="V84">
        <f t="shared" si="8"/>
        <v>8</v>
      </c>
      <c r="W84" s="9">
        <f t="shared" si="9"/>
        <v>0.66788766788766785</v>
      </c>
    </row>
    <row r="85" spans="1:23">
      <c r="A85">
        <v>10084</v>
      </c>
      <c r="B85" s="5">
        <v>44280</v>
      </c>
      <c r="C85" s="5">
        <v>44286</v>
      </c>
      <c r="D85" s="5">
        <v>44287</v>
      </c>
      <c r="E85" t="s">
        <v>18</v>
      </c>
      <c r="F85" t="s">
        <v>22</v>
      </c>
      <c r="G85" t="s">
        <v>24</v>
      </c>
      <c r="H85" t="s">
        <v>25</v>
      </c>
      <c r="I85" t="s">
        <v>34</v>
      </c>
      <c r="J85" t="s">
        <v>43</v>
      </c>
      <c r="K85" t="s">
        <v>50</v>
      </c>
      <c r="L85" t="s">
        <v>51</v>
      </c>
      <c r="M85" s="7">
        <v>49093</v>
      </c>
      <c r="N85">
        <v>0.25</v>
      </c>
      <c r="O85" s="7">
        <v>-230</v>
      </c>
      <c r="P85">
        <v>18</v>
      </c>
      <c r="Q85" t="s">
        <v>57</v>
      </c>
      <c r="R85" t="s">
        <v>61</v>
      </c>
      <c r="S85">
        <f t="shared" si="5"/>
        <v>2021</v>
      </c>
      <c r="T85" t="str">
        <f t="shared" si="6"/>
        <v>Mar</v>
      </c>
      <c r="U85">
        <f t="shared" si="7"/>
        <v>6</v>
      </c>
      <c r="V85">
        <f t="shared" si="8"/>
        <v>7</v>
      </c>
      <c r="W85" s="9">
        <f t="shared" si="9"/>
        <v>-4.6849856395005402E-3</v>
      </c>
    </row>
    <row r="86" spans="1:23">
      <c r="A86">
        <v>10085</v>
      </c>
      <c r="B86" s="5">
        <v>44281</v>
      </c>
      <c r="C86" s="5">
        <v>44286</v>
      </c>
      <c r="D86" s="5">
        <v>44287</v>
      </c>
      <c r="E86" t="s">
        <v>18</v>
      </c>
      <c r="F86" t="s">
        <v>22</v>
      </c>
      <c r="G86" t="s">
        <v>28</v>
      </c>
      <c r="H86" t="s">
        <v>32</v>
      </c>
      <c r="I86" t="s">
        <v>35</v>
      </c>
      <c r="J86" t="s">
        <v>37</v>
      </c>
      <c r="K86" t="s">
        <v>50</v>
      </c>
      <c r="L86" t="s">
        <v>52</v>
      </c>
      <c r="M86" s="7">
        <v>73133</v>
      </c>
      <c r="N86">
        <v>0.39</v>
      </c>
      <c r="O86" s="7">
        <v>-1686</v>
      </c>
      <c r="P86">
        <v>13</v>
      </c>
      <c r="Q86" t="s">
        <v>57</v>
      </c>
      <c r="R86" t="s">
        <v>59</v>
      </c>
      <c r="S86">
        <f t="shared" si="5"/>
        <v>2021</v>
      </c>
      <c r="T86" t="str">
        <f t="shared" si="6"/>
        <v>Mar</v>
      </c>
      <c r="U86">
        <f t="shared" si="7"/>
        <v>5</v>
      </c>
      <c r="V86">
        <f t="shared" si="8"/>
        <v>6</v>
      </c>
      <c r="W86" s="9">
        <f t="shared" si="9"/>
        <v>-2.3053888121641393E-2</v>
      </c>
    </row>
    <row r="87" spans="1:23">
      <c r="A87">
        <v>10086</v>
      </c>
      <c r="B87" s="5">
        <v>44282</v>
      </c>
      <c r="C87" s="5">
        <v>44287</v>
      </c>
      <c r="D87" s="5">
        <v>44292</v>
      </c>
      <c r="E87" t="s">
        <v>20</v>
      </c>
      <c r="F87" t="s">
        <v>22</v>
      </c>
      <c r="G87" t="s">
        <v>26</v>
      </c>
      <c r="H87" t="s">
        <v>32</v>
      </c>
      <c r="I87" t="s">
        <v>35</v>
      </c>
      <c r="J87" t="s">
        <v>38</v>
      </c>
      <c r="K87" t="s">
        <v>49</v>
      </c>
      <c r="L87" t="s">
        <v>52</v>
      </c>
      <c r="M87" s="7">
        <v>20876</v>
      </c>
      <c r="N87">
        <v>7.0000000000000007E-2</v>
      </c>
      <c r="O87" s="7">
        <v>2983</v>
      </c>
      <c r="P87">
        <v>13</v>
      </c>
      <c r="Q87" t="s">
        <v>56</v>
      </c>
      <c r="R87" t="s">
        <v>62</v>
      </c>
      <c r="S87">
        <f t="shared" si="5"/>
        <v>2021</v>
      </c>
      <c r="T87" t="str">
        <f t="shared" si="6"/>
        <v>Mar</v>
      </c>
      <c r="U87">
        <f t="shared" si="7"/>
        <v>5</v>
      </c>
      <c r="V87">
        <f t="shared" si="8"/>
        <v>10</v>
      </c>
      <c r="W87" s="9">
        <f t="shared" si="9"/>
        <v>0.14289135849779652</v>
      </c>
    </row>
    <row r="88" spans="1:23">
      <c r="A88">
        <v>10087</v>
      </c>
      <c r="B88" s="5">
        <v>44283</v>
      </c>
      <c r="C88" s="5">
        <v>44288</v>
      </c>
      <c r="D88" s="5">
        <v>44293</v>
      </c>
      <c r="E88" t="s">
        <v>18</v>
      </c>
      <c r="F88" t="s">
        <v>22</v>
      </c>
      <c r="G88" t="s">
        <v>25</v>
      </c>
      <c r="H88" t="s">
        <v>31</v>
      </c>
      <c r="I88" t="s">
        <v>34</v>
      </c>
      <c r="J88" t="s">
        <v>41</v>
      </c>
      <c r="K88" t="s">
        <v>50</v>
      </c>
      <c r="L88" t="s">
        <v>51</v>
      </c>
      <c r="M88" s="7">
        <v>73163</v>
      </c>
      <c r="N88">
        <v>0.06</v>
      </c>
      <c r="O88" s="7">
        <v>3660</v>
      </c>
      <c r="P88">
        <v>16</v>
      </c>
      <c r="Q88" t="s">
        <v>55</v>
      </c>
      <c r="R88" t="s">
        <v>60</v>
      </c>
      <c r="S88">
        <f t="shared" si="5"/>
        <v>2021</v>
      </c>
      <c r="T88" t="str">
        <f t="shared" si="6"/>
        <v>Mar</v>
      </c>
      <c r="U88">
        <f t="shared" si="7"/>
        <v>5</v>
      </c>
      <c r="V88">
        <f t="shared" si="8"/>
        <v>10</v>
      </c>
      <c r="W88" s="9">
        <f t="shared" si="9"/>
        <v>5.0025286005221221E-2</v>
      </c>
    </row>
    <row r="89" spans="1:23">
      <c r="A89">
        <v>10088</v>
      </c>
      <c r="B89" s="5">
        <v>44284</v>
      </c>
      <c r="C89" s="5">
        <v>44286</v>
      </c>
      <c r="D89" s="5">
        <v>44290</v>
      </c>
      <c r="E89" t="s">
        <v>18</v>
      </c>
      <c r="F89" t="s">
        <v>22</v>
      </c>
      <c r="G89" t="s">
        <v>24</v>
      </c>
      <c r="H89" t="s">
        <v>33</v>
      </c>
      <c r="I89" t="s">
        <v>34</v>
      </c>
      <c r="J89" t="s">
        <v>40</v>
      </c>
      <c r="K89" t="s">
        <v>44</v>
      </c>
      <c r="L89" t="s">
        <v>52</v>
      </c>
      <c r="M89" s="7">
        <v>63115</v>
      </c>
      <c r="N89">
        <v>0.08</v>
      </c>
      <c r="O89" s="7">
        <v>3032</v>
      </c>
      <c r="P89">
        <v>19</v>
      </c>
      <c r="Q89" t="s">
        <v>56</v>
      </c>
      <c r="R89" t="s">
        <v>59</v>
      </c>
      <c r="S89">
        <f t="shared" si="5"/>
        <v>2021</v>
      </c>
      <c r="T89" t="str">
        <f t="shared" si="6"/>
        <v>Mar</v>
      </c>
      <c r="U89">
        <f t="shared" si="7"/>
        <v>2</v>
      </c>
      <c r="V89">
        <f t="shared" si="8"/>
        <v>6</v>
      </c>
      <c r="W89" s="9">
        <f t="shared" si="9"/>
        <v>4.8039293353402519E-2</v>
      </c>
    </row>
    <row r="90" spans="1:23">
      <c r="A90">
        <v>10089</v>
      </c>
      <c r="B90" s="5">
        <v>44285</v>
      </c>
      <c r="C90" s="5">
        <v>44288</v>
      </c>
      <c r="D90" s="5">
        <v>44290</v>
      </c>
      <c r="E90" t="s">
        <v>19</v>
      </c>
      <c r="F90" t="s">
        <v>22</v>
      </c>
      <c r="G90" t="s">
        <v>25</v>
      </c>
      <c r="H90" t="s">
        <v>33</v>
      </c>
      <c r="I90" t="s">
        <v>36</v>
      </c>
      <c r="J90" t="s">
        <v>43</v>
      </c>
      <c r="K90" t="s">
        <v>50</v>
      </c>
      <c r="L90" t="s">
        <v>53</v>
      </c>
      <c r="M90" s="7">
        <v>21098</v>
      </c>
      <c r="N90">
        <v>0.4</v>
      </c>
      <c r="O90" s="7">
        <v>-995</v>
      </c>
      <c r="P90">
        <v>19</v>
      </c>
      <c r="Q90" t="s">
        <v>57</v>
      </c>
      <c r="R90" t="s">
        <v>62</v>
      </c>
      <c r="S90">
        <f t="shared" si="5"/>
        <v>2021</v>
      </c>
      <c r="T90" t="str">
        <f t="shared" si="6"/>
        <v>Mar</v>
      </c>
      <c r="U90">
        <f t="shared" si="7"/>
        <v>3</v>
      </c>
      <c r="V90">
        <f t="shared" si="8"/>
        <v>5</v>
      </c>
      <c r="W90" s="9">
        <f t="shared" si="9"/>
        <v>-4.7160868328751542E-2</v>
      </c>
    </row>
    <row r="91" spans="1:23">
      <c r="A91">
        <v>10090</v>
      </c>
      <c r="B91" s="5">
        <v>44286</v>
      </c>
      <c r="C91" s="5">
        <v>44292</v>
      </c>
      <c r="D91" s="5">
        <v>44293</v>
      </c>
      <c r="E91" t="s">
        <v>18</v>
      </c>
      <c r="F91" t="s">
        <v>22</v>
      </c>
      <c r="G91" t="s">
        <v>25</v>
      </c>
      <c r="H91" t="s">
        <v>30</v>
      </c>
      <c r="I91" t="s">
        <v>36</v>
      </c>
      <c r="J91" t="s">
        <v>41</v>
      </c>
      <c r="K91" t="s">
        <v>46</v>
      </c>
      <c r="L91" t="s">
        <v>53</v>
      </c>
      <c r="M91" s="7">
        <v>60291</v>
      </c>
      <c r="N91">
        <v>0.28000000000000003</v>
      </c>
      <c r="O91" s="7">
        <v>8030</v>
      </c>
      <c r="P91">
        <v>6</v>
      </c>
      <c r="Q91" t="s">
        <v>58</v>
      </c>
      <c r="R91" t="s">
        <v>60</v>
      </c>
      <c r="S91">
        <f t="shared" si="5"/>
        <v>2021</v>
      </c>
      <c r="T91" t="str">
        <f t="shared" si="6"/>
        <v>Mar</v>
      </c>
      <c r="U91">
        <f t="shared" si="7"/>
        <v>6</v>
      </c>
      <c r="V91">
        <f t="shared" si="8"/>
        <v>7</v>
      </c>
      <c r="W91" s="9">
        <f t="shared" si="9"/>
        <v>0.13318737456668492</v>
      </c>
    </row>
    <row r="92" spans="1:23">
      <c r="A92">
        <v>10091</v>
      </c>
      <c r="B92" s="5">
        <v>44287</v>
      </c>
      <c r="C92" s="5">
        <v>44292</v>
      </c>
      <c r="D92" s="5">
        <v>44293</v>
      </c>
      <c r="E92" t="s">
        <v>20</v>
      </c>
      <c r="F92" t="s">
        <v>22</v>
      </c>
      <c r="G92" t="s">
        <v>24</v>
      </c>
      <c r="H92" t="s">
        <v>30</v>
      </c>
      <c r="I92" t="s">
        <v>35</v>
      </c>
      <c r="J92" t="s">
        <v>42</v>
      </c>
      <c r="K92" t="s">
        <v>46</v>
      </c>
      <c r="L92" t="s">
        <v>52</v>
      </c>
      <c r="M92" s="7">
        <v>14058</v>
      </c>
      <c r="N92">
        <v>0.14000000000000001</v>
      </c>
      <c r="O92" s="7">
        <v>19485</v>
      </c>
      <c r="P92">
        <v>19</v>
      </c>
      <c r="Q92" t="s">
        <v>56</v>
      </c>
      <c r="R92" t="s">
        <v>59</v>
      </c>
      <c r="S92">
        <f t="shared" si="5"/>
        <v>2021</v>
      </c>
      <c r="T92" t="str">
        <f t="shared" si="6"/>
        <v>Apr</v>
      </c>
      <c r="U92">
        <f t="shared" si="7"/>
        <v>5</v>
      </c>
      <c r="V92">
        <f t="shared" si="8"/>
        <v>6</v>
      </c>
      <c r="W92" s="9">
        <f t="shared" si="9"/>
        <v>1.3860435339308579</v>
      </c>
    </row>
    <row r="93" spans="1:23">
      <c r="A93">
        <v>10092</v>
      </c>
      <c r="B93" s="5">
        <v>44288</v>
      </c>
      <c r="C93" s="5">
        <v>44294</v>
      </c>
      <c r="D93" s="5">
        <v>44295</v>
      </c>
      <c r="E93" t="s">
        <v>18</v>
      </c>
      <c r="F93" t="s">
        <v>22</v>
      </c>
      <c r="G93" t="s">
        <v>24</v>
      </c>
      <c r="H93" t="s">
        <v>31</v>
      </c>
      <c r="I93" t="s">
        <v>34</v>
      </c>
      <c r="J93" t="s">
        <v>43</v>
      </c>
      <c r="K93" t="s">
        <v>48</v>
      </c>
      <c r="L93" t="s">
        <v>53</v>
      </c>
      <c r="M93" s="7">
        <v>43644</v>
      </c>
      <c r="N93">
        <v>0.25</v>
      </c>
      <c r="O93" s="7">
        <v>18203</v>
      </c>
      <c r="P93">
        <v>13</v>
      </c>
      <c r="Q93" t="s">
        <v>58</v>
      </c>
      <c r="R93" t="s">
        <v>60</v>
      </c>
      <c r="S93">
        <f t="shared" si="5"/>
        <v>2021</v>
      </c>
      <c r="T93" t="str">
        <f t="shared" si="6"/>
        <v>Apr</v>
      </c>
      <c r="U93">
        <f t="shared" si="7"/>
        <v>6</v>
      </c>
      <c r="V93">
        <f t="shared" si="8"/>
        <v>7</v>
      </c>
      <c r="W93" s="9">
        <f t="shared" si="9"/>
        <v>0.41707909449179725</v>
      </c>
    </row>
    <row r="94" spans="1:23">
      <c r="A94">
        <v>10093</v>
      </c>
      <c r="B94" s="5">
        <v>44289</v>
      </c>
      <c r="C94" s="5">
        <v>44295</v>
      </c>
      <c r="D94" s="5">
        <v>44300</v>
      </c>
      <c r="E94" t="s">
        <v>21</v>
      </c>
      <c r="F94" t="s">
        <v>22</v>
      </c>
      <c r="G94" t="s">
        <v>28</v>
      </c>
      <c r="H94" t="s">
        <v>25</v>
      </c>
      <c r="I94" t="s">
        <v>36</v>
      </c>
      <c r="J94" t="s">
        <v>43</v>
      </c>
      <c r="K94" t="s">
        <v>45</v>
      </c>
      <c r="L94" t="s">
        <v>51</v>
      </c>
      <c r="M94" s="7">
        <v>11669</v>
      </c>
      <c r="N94">
        <v>0.28999999999999998</v>
      </c>
      <c r="O94" s="7">
        <v>19471</v>
      </c>
      <c r="P94">
        <v>23</v>
      </c>
      <c r="Q94" t="s">
        <v>57</v>
      </c>
      <c r="R94" t="s">
        <v>62</v>
      </c>
      <c r="S94">
        <f t="shared" si="5"/>
        <v>2021</v>
      </c>
      <c r="T94" t="str">
        <f t="shared" si="6"/>
        <v>Apr</v>
      </c>
      <c r="U94">
        <f t="shared" si="7"/>
        <v>6</v>
      </c>
      <c r="V94">
        <f t="shared" si="8"/>
        <v>11</v>
      </c>
      <c r="W94" s="9">
        <f t="shared" si="9"/>
        <v>1.6686091353157939</v>
      </c>
    </row>
    <row r="95" spans="1:23">
      <c r="A95">
        <v>10094</v>
      </c>
      <c r="B95" s="5">
        <v>44290</v>
      </c>
      <c r="C95" s="5">
        <v>44292</v>
      </c>
      <c r="D95" s="5">
        <v>44294</v>
      </c>
      <c r="E95" t="s">
        <v>20</v>
      </c>
      <c r="F95" t="s">
        <v>22</v>
      </c>
      <c r="G95" t="s">
        <v>27</v>
      </c>
      <c r="H95" t="s">
        <v>30</v>
      </c>
      <c r="I95" t="s">
        <v>35</v>
      </c>
      <c r="J95" t="s">
        <v>43</v>
      </c>
      <c r="K95" t="s">
        <v>50</v>
      </c>
      <c r="L95" t="s">
        <v>53</v>
      </c>
      <c r="M95" s="7">
        <v>36691</v>
      </c>
      <c r="N95">
        <v>0.11</v>
      </c>
      <c r="O95" s="7">
        <v>17338</v>
      </c>
      <c r="P95">
        <v>14</v>
      </c>
      <c r="Q95" t="s">
        <v>55</v>
      </c>
      <c r="R95" t="s">
        <v>62</v>
      </c>
      <c r="S95">
        <f t="shared" si="5"/>
        <v>2021</v>
      </c>
      <c r="T95" t="str">
        <f t="shared" si="6"/>
        <v>Apr</v>
      </c>
      <c r="U95">
        <f t="shared" si="7"/>
        <v>2</v>
      </c>
      <c r="V95">
        <f t="shared" si="8"/>
        <v>4</v>
      </c>
      <c r="W95" s="9">
        <f t="shared" si="9"/>
        <v>0.47254095009675395</v>
      </c>
    </row>
    <row r="96" spans="1:23">
      <c r="A96">
        <v>10095</v>
      </c>
      <c r="B96" s="5">
        <v>44291</v>
      </c>
      <c r="C96" s="5">
        <v>44297</v>
      </c>
      <c r="D96" s="5">
        <v>44298</v>
      </c>
      <c r="E96" t="s">
        <v>20</v>
      </c>
      <c r="F96" t="s">
        <v>22</v>
      </c>
      <c r="G96" t="s">
        <v>27</v>
      </c>
      <c r="H96" t="s">
        <v>32</v>
      </c>
      <c r="I96" t="s">
        <v>34</v>
      </c>
      <c r="J96" t="s">
        <v>41</v>
      </c>
      <c r="K96" t="s">
        <v>46</v>
      </c>
      <c r="L96" t="s">
        <v>52</v>
      </c>
      <c r="M96" s="7">
        <v>68113</v>
      </c>
      <c r="N96">
        <v>0.15</v>
      </c>
      <c r="O96" s="7">
        <v>16688</v>
      </c>
      <c r="P96">
        <v>5</v>
      </c>
      <c r="Q96" t="s">
        <v>55</v>
      </c>
      <c r="R96" t="s">
        <v>61</v>
      </c>
      <c r="S96">
        <f t="shared" si="5"/>
        <v>2021</v>
      </c>
      <c r="T96" t="str">
        <f t="shared" si="6"/>
        <v>Apr</v>
      </c>
      <c r="U96">
        <f t="shared" si="7"/>
        <v>6</v>
      </c>
      <c r="V96">
        <f t="shared" si="8"/>
        <v>7</v>
      </c>
      <c r="W96" s="9">
        <f t="shared" si="9"/>
        <v>0.24500462466783141</v>
      </c>
    </row>
    <row r="97" spans="1:23">
      <c r="A97">
        <v>10096</v>
      </c>
      <c r="B97" s="5">
        <v>44292</v>
      </c>
      <c r="C97" s="5">
        <v>44296</v>
      </c>
      <c r="D97" s="5">
        <v>44297</v>
      </c>
      <c r="E97" t="s">
        <v>20</v>
      </c>
      <c r="F97" t="s">
        <v>22</v>
      </c>
      <c r="G97" t="s">
        <v>28</v>
      </c>
      <c r="H97" t="s">
        <v>30</v>
      </c>
      <c r="I97" t="s">
        <v>36</v>
      </c>
      <c r="J97" t="s">
        <v>37</v>
      </c>
      <c r="K97" t="s">
        <v>46</v>
      </c>
      <c r="L97" t="s">
        <v>52</v>
      </c>
      <c r="M97" s="7">
        <v>8580</v>
      </c>
      <c r="N97">
        <v>0.04</v>
      </c>
      <c r="O97" s="7">
        <v>13132</v>
      </c>
      <c r="P97">
        <v>6</v>
      </c>
      <c r="Q97" t="s">
        <v>56</v>
      </c>
      <c r="R97" t="s">
        <v>61</v>
      </c>
      <c r="S97">
        <f t="shared" si="5"/>
        <v>2021</v>
      </c>
      <c r="T97" t="str">
        <f t="shared" si="6"/>
        <v>Apr</v>
      </c>
      <c r="U97">
        <f t="shared" si="7"/>
        <v>4</v>
      </c>
      <c r="V97">
        <f t="shared" si="8"/>
        <v>5</v>
      </c>
      <c r="W97" s="9">
        <f t="shared" si="9"/>
        <v>1.5305361305361305</v>
      </c>
    </row>
    <row r="98" spans="1:23">
      <c r="A98">
        <v>10097</v>
      </c>
      <c r="B98" s="5">
        <v>44293</v>
      </c>
      <c r="C98" s="5">
        <v>44299</v>
      </c>
      <c r="D98" s="5">
        <v>44301</v>
      </c>
      <c r="E98" t="s">
        <v>20</v>
      </c>
      <c r="F98" t="s">
        <v>22</v>
      </c>
      <c r="G98" t="s">
        <v>25</v>
      </c>
      <c r="H98" t="s">
        <v>30</v>
      </c>
      <c r="I98" t="s">
        <v>36</v>
      </c>
      <c r="J98" t="s">
        <v>37</v>
      </c>
      <c r="K98" t="s">
        <v>46</v>
      </c>
      <c r="L98" t="s">
        <v>53</v>
      </c>
      <c r="M98" s="7">
        <v>20997</v>
      </c>
      <c r="N98">
        <v>0.05</v>
      </c>
      <c r="O98" s="7">
        <v>1481</v>
      </c>
      <c r="P98">
        <v>20</v>
      </c>
      <c r="Q98" t="s">
        <v>54</v>
      </c>
      <c r="R98" t="s">
        <v>59</v>
      </c>
      <c r="S98">
        <f t="shared" si="5"/>
        <v>2021</v>
      </c>
      <c r="T98" t="str">
        <f t="shared" si="6"/>
        <v>Apr</v>
      </c>
      <c r="U98">
        <f t="shared" si="7"/>
        <v>6</v>
      </c>
      <c r="V98">
        <f t="shared" si="8"/>
        <v>8</v>
      </c>
      <c r="W98" s="9">
        <f t="shared" si="9"/>
        <v>7.0533885793208559E-2</v>
      </c>
    </row>
    <row r="99" spans="1:23">
      <c r="A99">
        <v>10098</v>
      </c>
      <c r="B99" s="5">
        <v>44294</v>
      </c>
      <c r="C99" s="5">
        <v>44301</v>
      </c>
      <c r="D99" s="5">
        <v>44303</v>
      </c>
      <c r="E99" t="s">
        <v>20</v>
      </c>
      <c r="F99" t="s">
        <v>22</v>
      </c>
      <c r="G99" t="s">
        <v>27</v>
      </c>
      <c r="H99" t="s">
        <v>31</v>
      </c>
      <c r="I99" t="s">
        <v>34</v>
      </c>
      <c r="J99" t="s">
        <v>41</v>
      </c>
      <c r="K99" t="s">
        <v>47</v>
      </c>
      <c r="L99" t="s">
        <v>51</v>
      </c>
      <c r="M99" s="7">
        <v>3816</v>
      </c>
      <c r="N99">
        <v>0.06</v>
      </c>
      <c r="O99" s="7">
        <v>11841</v>
      </c>
      <c r="P99">
        <v>1</v>
      </c>
      <c r="Q99" t="s">
        <v>54</v>
      </c>
      <c r="R99" t="s">
        <v>59</v>
      </c>
      <c r="S99">
        <f t="shared" si="5"/>
        <v>2021</v>
      </c>
      <c r="T99" t="str">
        <f t="shared" si="6"/>
        <v>Apr</v>
      </c>
      <c r="U99">
        <f t="shared" si="7"/>
        <v>7</v>
      </c>
      <c r="V99">
        <f t="shared" si="8"/>
        <v>9</v>
      </c>
      <c r="W99" s="9">
        <f t="shared" si="9"/>
        <v>3.1029874213836477</v>
      </c>
    </row>
    <row r="100" spans="1:23">
      <c r="A100">
        <v>10099</v>
      </c>
      <c r="B100" s="5">
        <v>44295</v>
      </c>
      <c r="C100" s="5">
        <v>44297</v>
      </c>
      <c r="D100" s="5">
        <v>44301</v>
      </c>
      <c r="E100" t="s">
        <v>18</v>
      </c>
      <c r="F100" t="s">
        <v>22</v>
      </c>
      <c r="G100" t="s">
        <v>27</v>
      </c>
      <c r="H100" t="s">
        <v>30</v>
      </c>
      <c r="I100" t="s">
        <v>36</v>
      </c>
      <c r="J100" t="s">
        <v>37</v>
      </c>
      <c r="K100" t="s">
        <v>45</v>
      </c>
      <c r="L100" t="s">
        <v>52</v>
      </c>
      <c r="M100" s="7">
        <v>48575</v>
      </c>
      <c r="N100">
        <v>0.38</v>
      </c>
      <c r="O100" s="7">
        <v>-911</v>
      </c>
      <c r="P100">
        <v>14</v>
      </c>
      <c r="Q100" t="s">
        <v>57</v>
      </c>
      <c r="R100" t="s">
        <v>62</v>
      </c>
      <c r="S100">
        <f t="shared" si="5"/>
        <v>2021</v>
      </c>
      <c r="T100" t="str">
        <f t="shared" si="6"/>
        <v>Apr</v>
      </c>
      <c r="U100">
        <f t="shared" si="7"/>
        <v>2</v>
      </c>
      <c r="V100">
        <f t="shared" si="8"/>
        <v>6</v>
      </c>
      <c r="W100" s="9">
        <f t="shared" si="9"/>
        <v>-1.8754503345342254E-2</v>
      </c>
    </row>
    <row r="101" spans="1:23">
      <c r="A101">
        <v>10100</v>
      </c>
      <c r="B101" s="5">
        <v>44296</v>
      </c>
      <c r="C101" s="5">
        <v>44302</v>
      </c>
      <c r="D101" s="5">
        <v>44307</v>
      </c>
      <c r="E101" t="s">
        <v>18</v>
      </c>
      <c r="F101" t="s">
        <v>22</v>
      </c>
      <c r="G101" t="s">
        <v>23</v>
      </c>
      <c r="H101" t="s">
        <v>30</v>
      </c>
      <c r="I101" t="s">
        <v>36</v>
      </c>
      <c r="J101" t="s">
        <v>43</v>
      </c>
      <c r="K101" t="s">
        <v>50</v>
      </c>
      <c r="L101" t="s">
        <v>53</v>
      </c>
      <c r="M101" s="7">
        <v>69316</v>
      </c>
      <c r="N101">
        <v>0.33</v>
      </c>
      <c r="O101" s="7">
        <v>11214</v>
      </c>
      <c r="P101">
        <v>4</v>
      </c>
      <c r="Q101" t="s">
        <v>55</v>
      </c>
      <c r="R101" t="s">
        <v>59</v>
      </c>
      <c r="S101">
        <f t="shared" si="5"/>
        <v>2021</v>
      </c>
      <c r="T101" t="str">
        <f t="shared" si="6"/>
        <v>Apr</v>
      </c>
      <c r="U101">
        <f t="shared" si="7"/>
        <v>6</v>
      </c>
      <c r="V101">
        <f t="shared" si="8"/>
        <v>11</v>
      </c>
      <c r="W101" s="9">
        <f t="shared" si="9"/>
        <v>0.16178082982284034</v>
      </c>
    </row>
    <row r="102" spans="1:23">
      <c r="A102">
        <v>10101</v>
      </c>
      <c r="B102" s="5">
        <v>44297</v>
      </c>
      <c r="C102" s="5">
        <v>44301</v>
      </c>
      <c r="D102" s="5">
        <v>44303</v>
      </c>
      <c r="E102" t="s">
        <v>21</v>
      </c>
      <c r="F102" t="s">
        <v>22</v>
      </c>
      <c r="G102" t="s">
        <v>26</v>
      </c>
      <c r="H102" t="s">
        <v>31</v>
      </c>
      <c r="I102" t="s">
        <v>34</v>
      </c>
      <c r="J102" t="s">
        <v>38</v>
      </c>
      <c r="K102" t="s">
        <v>44</v>
      </c>
      <c r="L102" t="s">
        <v>53</v>
      </c>
      <c r="M102" s="7">
        <v>5821</v>
      </c>
      <c r="N102">
        <v>0.38</v>
      </c>
      <c r="O102" s="7">
        <v>14713</v>
      </c>
      <c r="P102">
        <v>23</v>
      </c>
      <c r="Q102" t="s">
        <v>54</v>
      </c>
      <c r="R102" t="s">
        <v>59</v>
      </c>
      <c r="S102">
        <f t="shared" si="5"/>
        <v>2021</v>
      </c>
      <c r="T102" t="str">
        <f t="shared" si="6"/>
        <v>Apr</v>
      </c>
      <c r="U102">
        <f t="shared" si="7"/>
        <v>4</v>
      </c>
      <c r="V102">
        <f t="shared" si="8"/>
        <v>6</v>
      </c>
      <c r="W102" s="9">
        <f t="shared" si="9"/>
        <v>2.527572582030579</v>
      </c>
    </row>
    <row r="103" spans="1:23">
      <c r="A103">
        <v>10102</v>
      </c>
      <c r="B103" s="5">
        <v>44298</v>
      </c>
      <c r="C103" s="5">
        <v>44305</v>
      </c>
      <c r="D103" s="5">
        <v>44307</v>
      </c>
      <c r="E103" t="s">
        <v>18</v>
      </c>
      <c r="F103" t="s">
        <v>22</v>
      </c>
      <c r="G103" t="s">
        <v>25</v>
      </c>
      <c r="H103" t="s">
        <v>25</v>
      </c>
      <c r="I103" t="s">
        <v>36</v>
      </c>
      <c r="J103" t="s">
        <v>41</v>
      </c>
      <c r="K103" t="s">
        <v>45</v>
      </c>
      <c r="L103" t="s">
        <v>51</v>
      </c>
      <c r="M103" s="7">
        <v>42426</v>
      </c>
      <c r="N103">
        <v>0.22</v>
      </c>
      <c r="O103" s="7">
        <v>16797</v>
      </c>
      <c r="P103">
        <v>21</v>
      </c>
      <c r="Q103" t="s">
        <v>54</v>
      </c>
      <c r="R103" t="s">
        <v>62</v>
      </c>
      <c r="S103">
        <f t="shared" si="5"/>
        <v>2021</v>
      </c>
      <c r="T103" t="str">
        <f t="shared" si="6"/>
        <v>Apr</v>
      </c>
      <c r="U103">
        <f t="shared" si="7"/>
        <v>7</v>
      </c>
      <c r="V103">
        <f t="shared" si="8"/>
        <v>9</v>
      </c>
      <c r="W103" s="9">
        <f t="shared" si="9"/>
        <v>0.39591288360910765</v>
      </c>
    </row>
    <row r="104" spans="1:23">
      <c r="A104">
        <v>10103</v>
      </c>
      <c r="B104" s="5">
        <v>44299</v>
      </c>
      <c r="C104" s="5">
        <v>44305</v>
      </c>
      <c r="D104" s="5">
        <v>44307</v>
      </c>
      <c r="E104" t="s">
        <v>21</v>
      </c>
      <c r="F104" t="s">
        <v>22</v>
      </c>
      <c r="G104" t="s">
        <v>23</v>
      </c>
      <c r="H104" t="s">
        <v>30</v>
      </c>
      <c r="I104" t="s">
        <v>34</v>
      </c>
      <c r="J104" t="s">
        <v>39</v>
      </c>
      <c r="K104" t="s">
        <v>49</v>
      </c>
      <c r="L104" t="s">
        <v>51</v>
      </c>
      <c r="M104" s="7">
        <v>41273</v>
      </c>
      <c r="N104">
        <v>0.09</v>
      </c>
      <c r="O104" s="7">
        <v>3114</v>
      </c>
      <c r="P104">
        <v>23</v>
      </c>
      <c r="Q104" t="s">
        <v>58</v>
      </c>
      <c r="R104" t="s">
        <v>61</v>
      </c>
      <c r="S104">
        <f t="shared" si="5"/>
        <v>2021</v>
      </c>
      <c r="T104" t="str">
        <f t="shared" si="6"/>
        <v>Apr</v>
      </c>
      <c r="U104">
        <f t="shared" si="7"/>
        <v>6</v>
      </c>
      <c r="V104">
        <f t="shared" si="8"/>
        <v>8</v>
      </c>
      <c r="W104" s="9">
        <f t="shared" si="9"/>
        <v>7.5448840646427442E-2</v>
      </c>
    </row>
    <row r="105" spans="1:23">
      <c r="A105">
        <v>10104</v>
      </c>
      <c r="B105" s="5">
        <v>44300</v>
      </c>
      <c r="C105" s="5">
        <v>44307</v>
      </c>
      <c r="D105" s="5">
        <v>44309</v>
      </c>
      <c r="E105" t="s">
        <v>21</v>
      </c>
      <c r="F105" t="s">
        <v>22</v>
      </c>
      <c r="G105" t="s">
        <v>27</v>
      </c>
      <c r="H105" t="s">
        <v>33</v>
      </c>
      <c r="I105" t="s">
        <v>34</v>
      </c>
      <c r="J105" t="s">
        <v>43</v>
      </c>
      <c r="K105" t="s">
        <v>48</v>
      </c>
      <c r="L105" t="s">
        <v>53</v>
      </c>
      <c r="M105" s="7">
        <v>3404</v>
      </c>
      <c r="N105">
        <v>0.01</v>
      </c>
      <c r="O105" s="7">
        <v>770</v>
      </c>
      <c r="P105">
        <v>10</v>
      </c>
      <c r="Q105" t="s">
        <v>57</v>
      </c>
      <c r="R105" t="s">
        <v>59</v>
      </c>
      <c r="S105">
        <f t="shared" si="5"/>
        <v>2021</v>
      </c>
      <c r="T105" t="str">
        <f t="shared" si="6"/>
        <v>Apr</v>
      </c>
      <c r="U105">
        <f t="shared" si="7"/>
        <v>7</v>
      </c>
      <c r="V105">
        <f t="shared" si="8"/>
        <v>9</v>
      </c>
      <c r="W105" s="9">
        <f t="shared" si="9"/>
        <v>0.22620446533490013</v>
      </c>
    </row>
    <row r="106" spans="1:23">
      <c r="A106">
        <v>10105</v>
      </c>
      <c r="B106" s="5">
        <v>44301</v>
      </c>
      <c r="C106" s="5">
        <v>44304</v>
      </c>
      <c r="D106" s="5">
        <v>44306</v>
      </c>
      <c r="E106" t="s">
        <v>20</v>
      </c>
      <c r="F106" t="s">
        <v>22</v>
      </c>
      <c r="G106" t="s">
        <v>27</v>
      </c>
      <c r="H106" t="s">
        <v>32</v>
      </c>
      <c r="I106" t="s">
        <v>34</v>
      </c>
      <c r="J106" t="s">
        <v>38</v>
      </c>
      <c r="K106" t="s">
        <v>46</v>
      </c>
      <c r="L106" t="s">
        <v>52</v>
      </c>
      <c r="M106" s="7">
        <v>6627</v>
      </c>
      <c r="N106">
        <v>0.13</v>
      </c>
      <c r="O106" s="7">
        <v>3494</v>
      </c>
      <c r="P106">
        <v>5</v>
      </c>
      <c r="Q106" t="s">
        <v>57</v>
      </c>
      <c r="R106" t="s">
        <v>60</v>
      </c>
      <c r="S106">
        <f t="shared" si="5"/>
        <v>2021</v>
      </c>
      <c r="T106" t="str">
        <f t="shared" si="6"/>
        <v>Apr</v>
      </c>
      <c r="U106">
        <f t="shared" si="7"/>
        <v>3</v>
      </c>
      <c r="V106">
        <f t="shared" si="8"/>
        <v>5</v>
      </c>
      <c r="W106" s="9">
        <f t="shared" si="9"/>
        <v>0.52723706051003472</v>
      </c>
    </row>
    <row r="107" spans="1:23">
      <c r="A107">
        <v>10106</v>
      </c>
      <c r="B107" s="5">
        <v>44302</v>
      </c>
      <c r="C107" s="5">
        <v>44309</v>
      </c>
      <c r="D107" s="5">
        <v>44314</v>
      </c>
      <c r="E107" t="s">
        <v>18</v>
      </c>
      <c r="F107" t="s">
        <v>22</v>
      </c>
      <c r="G107" t="s">
        <v>28</v>
      </c>
      <c r="H107" t="s">
        <v>31</v>
      </c>
      <c r="I107" t="s">
        <v>35</v>
      </c>
      <c r="J107" t="s">
        <v>37</v>
      </c>
      <c r="K107" t="s">
        <v>45</v>
      </c>
      <c r="L107" t="s">
        <v>51</v>
      </c>
      <c r="M107" s="7">
        <v>2962</v>
      </c>
      <c r="N107">
        <v>0.3</v>
      </c>
      <c r="O107" s="7">
        <v>2178</v>
      </c>
      <c r="P107">
        <v>8</v>
      </c>
      <c r="Q107" t="s">
        <v>56</v>
      </c>
      <c r="R107" t="s">
        <v>59</v>
      </c>
      <c r="S107">
        <f t="shared" si="5"/>
        <v>2021</v>
      </c>
      <c r="T107" t="str">
        <f t="shared" si="6"/>
        <v>Apr</v>
      </c>
      <c r="U107">
        <f t="shared" si="7"/>
        <v>7</v>
      </c>
      <c r="V107">
        <f t="shared" si="8"/>
        <v>12</v>
      </c>
      <c r="W107" s="9">
        <f t="shared" si="9"/>
        <v>0.73531397704253887</v>
      </c>
    </row>
    <row r="108" spans="1:23">
      <c r="A108">
        <v>10107</v>
      </c>
      <c r="B108" s="5">
        <v>44303</v>
      </c>
      <c r="C108" s="5">
        <v>44306</v>
      </c>
      <c r="D108" s="5">
        <v>44309</v>
      </c>
      <c r="E108" t="s">
        <v>18</v>
      </c>
      <c r="F108" t="s">
        <v>22</v>
      </c>
      <c r="G108" t="s">
        <v>23</v>
      </c>
      <c r="H108" t="s">
        <v>32</v>
      </c>
      <c r="I108" t="s">
        <v>34</v>
      </c>
      <c r="J108" t="s">
        <v>40</v>
      </c>
      <c r="K108" t="s">
        <v>45</v>
      </c>
      <c r="L108" t="s">
        <v>52</v>
      </c>
      <c r="M108" s="7">
        <v>4965</v>
      </c>
      <c r="N108">
        <v>0.21</v>
      </c>
      <c r="O108" s="7">
        <v>-796</v>
      </c>
      <c r="P108">
        <v>3</v>
      </c>
      <c r="Q108" t="s">
        <v>56</v>
      </c>
      <c r="R108" t="s">
        <v>59</v>
      </c>
      <c r="S108">
        <f t="shared" si="5"/>
        <v>2021</v>
      </c>
      <c r="T108" t="str">
        <f t="shared" si="6"/>
        <v>Apr</v>
      </c>
      <c r="U108">
        <f t="shared" si="7"/>
        <v>3</v>
      </c>
      <c r="V108">
        <f t="shared" si="8"/>
        <v>6</v>
      </c>
      <c r="W108" s="9">
        <f t="shared" si="9"/>
        <v>-0.16032225579053375</v>
      </c>
    </row>
    <row r="109" spans="1:23">
      <c r="A109">
        <v>10108</v>
      </c>
      <c r="B109" s="5">
        <v>44304</v>
      </c>
      <c r="C109" s="5">
        <v>44308</v>
      </c>
      <c r="D109" s="5">
        <v>44309</v>
      </c>
      <c r="E109" t="s">
        <v>18</v>
      </c>
      <c r="F109" t="s">
        <v>22</v>
      </c>
      <c r="G109" t="s">
        <v>26</v>
      </c>
      <c r="H109" t="s">
        <v>30</v>
      </c>
      <c r="I109" t="s">
        <v>35</v>
      </c>
      <c r="J109" t="s">
        <v>40</v>
      </c>
      <c r="K109" t="s">
        <v>49</v>
      </c>
      <c r="L109" t="s">
        <v>53</v>
      </c>
      <c r="M109" s="7">
        <v>19091</v>
      </c>
      <c r="N109">
        <v>0.08</v>
      </c>
      <c r="O109" s="7">
        <v>-64</v>
      </c>
      <c r="P109">
        <v>13</v>
      </c>
      <c r="Q109" t="s">
        <v>57</v>
      </c>
      <c r="R109" t="s">
        <v>61</v>
      </c>
      <c r="S109">
        <f t="shared" si="5"/>
        <v>2021</v>
      </c>
      <c r="T109" t="str">
        <f t="shared" si="6"/>
        <v>Apr</v>
      </c>
      <c r="U109">
        <f t="shared" si="7"/>
        <v>4</v>
      </c>
      <c r="V109">
        <f t="shared" si="8"/>
        <v>5</v>
      </c>
      <c r="W109" s="9">
        <f t="shared" si="9"/>
        <v>-3.3523649887381487E-3</v>
      </c>
    </row>
    <row r="110" spans="1:23">
      <c r="A110">
        <v>10109</v>
      </c>
      <c r="B110" s="5">
        <v>44305</v>
      </c>
      <c r="C110" s="5">
        <v>44308</v>
      </c>
      <c r="D110" s="5">
        <v>44310</v>
      </c>
      <c r="E110" t="s">
        <v>21</v>
      </c>
      <c r="F110" t="s">
        <v>22</v>
      </c>
      <c r="G110" t="s">
        <v>24</v>
      </c>
      <c r="H110" t="s">
        <v>31</v>
      </c>
      <c r="I110" t="s">
        <v>34</v>
      </c>
      <c r="J110" t="s">
        <v>37</v>
      </c>
      <c r="K110" t="s">
        <v>44</v>
      </c>
      <c r="L110" t="s">
        <v>53</v>
      </c>
      <c r="M110" s="7">
        <v>38212</v>
      </c>
      <c r="N110">
        <v>0.36</v>
      </c>
      <c r="O110" s="7">
        <v>12009</v>
      </c>
      <c r="P110">
        <v>23</v>
      </c>
      <c r="Q110" t="s">
        <v>56</v>
      </c>
      <c r="R110" t="s">
        <v>59</v>
      </c>
      <c r="S110">
        <f t="shared" si="5"/>
        <v>2021</v>
      </c>
      <c r="T110" t="str">
        <f t="shared" si="6"/>
        <v>Apr</v>
      </c>
      <c r="U110">
        <f t="shared" si="7"/>
        <v>3</v>
      </c>
      <c r="V110">
        <f t="shared" si="8"/>
        <v>5</v>
      </c>
      <c r="W110" s="9">
        <f t="shared" si="9"/>
        <v>0.31427300324505392</v>
      </c>
    </row>
    <row r="111" spans="1:23">
      <c r="A111">
        <v>10110</v>
      </c>
      <c r="B111" s="5">
        <v>44306</v>
      </c>
      <c r="C111" s="5">
        <v>44311</v>
      </c>
      <c r="D111" s="5">
        <v>44314</v>
      </c>
      <c r="E111" t="s">
        <v>18</v>
      </c>
      <c r="F111" t="s">
        <v>22</v>
      </c>
      <c r="G111" t="s">
        <v>23</v>
      </c>
      <c r="H111" t="s">
        <v>31</v>
      </c>
      <c r="I111" t="s">
        <v>36</v>
      </c>
      <c r="J111" t="s">
        <v>43</v>
      </c>
      <c r="K111" t="s">
        <v>44</v>
      </c>
      <c r="L111" t="s">
        <v>51</v>
      </c>
      <c r="M111" s="7">
        <v>36299</v>
      </c>
      <c r="N111">
        <v>0.22</v>
      </c>
      <c r="O111" s="7">
        <v>11612</v>
      </c>
      <c r="P111">
        <v>5</v>
      </c>
      <c r="Q111" t="s">
        <v>56</v>
      </c>
      <c r="R111" t="s">
        <v>62</v>
      </c>
      <c r="S111">
        <f t="shared" si="5"/>
        <v>2021</v>
      </c>
      <c r="T111" t="str">
        <f t="shared" si="6"/>
        <v>Apr</v>
      </c>
      <c r="U111">
        <f t="shared" si="7"/>
        <v>5</v>
      </c>
      <c r="V111">
        <f t="shared" si="8"/>
        <v>8</v>
      </c>
      <c r="W111" s="9">
        <f t="shared" si="9"/>
        <v>0.3198986197966886</v>
      </c>
    </row>
    <row r="112" spans="1:23">
      <c r="A112">
        <v>10111</v>
      </c>
      <c r="B112" s="5">
        <v>44307</v>
      </c>
      <c r="C112" s="5">
        <v>44311</v>
      </c>
      <c r="D112" s="5">
        <v>44316</v>
      </c>
      <c r="E112" t="s">
        <v>19</v>
      </c>
      <c r="F112" t="s">
        <v>22</v>
      </c>
      <c r="G112" t="s">
        <v>23</v>
      </c>
      <c r="H112" t="s">
        <v>30</v>
      </c>
      <c r="I112" t="s">
        <v>36</v>
      </c>
      <c r="J112" t="s">
        <v>39</v>
      </c>
      <c r="K112" t="s">
        <v>49</v>
      </c>
      <c r="L112" t="s">
        <v>53</v>
      </c>
      <c r="M112" s="7">
        <v>16013</v>
      </c>
      <c r="N112">
        <v>0.36</v>
      </c>
      <c r="O112" s="7">
        <v>15120</v>
      </c>
      <c r="P112">
        <v>10</v>
      </c>
      <c r="Q112" t="s">
        <v>54</v>
      </c>
      <c r="R112" t="s">
        <v>61</v>
      </c>
      <c r="S112">
        <f t="shared" si="5"/>
        <v>2021</v>
      </c>
      <c r="T112" t="str">
        <f t="shared" si="6"/>
        <v>Apr</v>
      </c>
      <c r="U112">
        <f t="shared" si="7"/>
        <v>4</v>
      </c>
      <c r="V112">
        <f t="shared" si="8"/>
        <v>9</v>
      </c>
      <c r="W112" s="9">
        <f t="shared" si="9"/>
        <v>0.94423281084119148</v>
      </c>
    </row>
    <row r="113" spans="1:23">
      <c r="A113">
        <v>10112</v>
      </c>
      <c r="B113" s="5">
        <v>44308</v>
      </c>
      <c r="C113" s="5">
        <v>44310</v>
      </c>
      <c r="D113" s="5">
        <v>44315</v>
      </c>
      <c r="E113" t="s">
        <v>19</v>
      </c>
      <c r="F113" t="s">
        <v>22</v>
      </c>
      <c r="G113" t="s">
        <v>23</v>
      </c>
      <c r="H113" t="s">
        <v>33</v>
      </c>
      <c r="I113" t="s">
        <v>35</v>
      </c>
      <c r="J113" t="s">
        <v>37</v>
      </c>
      <c r="K113" t="s">
        <v>50</v>
      </c>
      <c r="L113" t="s">
        <v>52</v>
      </c>
      <c r="M113" s="7">
        <v>60878</v>
      </c>
      <c r="N113">
        <v>0.08</v>
      </c>
      <c r="O113" s="7">
        <v>-22</v>
      </c>
      <c r="P113">
        <v>7</v>
      </c>
      <c r="Q113" t="s">
        <v>56</v>
      </c>
      <c r="R113" t="s">
        <v>62</v>
      </c>
      <c r="S113">
        <f t="shared" si="5"/>
        <v>2021</v>
      </c>
      <c r="T113" t="str">
        <f t="shared" si="6"/>
        <v>Apr</v>
      </c>
      <c r="U113">
        <f t="shared" si="7"/>
        <v>2</v>
      </c>
      <c r="V113">
        <f t="shared" si="8"/>
        <v>7</v>
      </c>
      <c r="W113" s="9">
        <f t="shared" si="9"/>
        <v>-3.6137849469430666E-4</v>
      </c>
    </row>
    <row r="114" spans="1:23">
      <c r="A114">
        <v>10113</v>
      </c>
      <c r="B114" s="5">
        <v>44309</v>
      </c>
      <c r="C114" s="5">
        <v>44312</v>
      </c>
      <c r="D114" s="5">
        <v>44315</v>
      </c>
      <c r="E114" t="s">
        <v>20</v>
      </c>
      <c r="F114" t="s">
        <v>22</v>
      </c>
      <c r="G114" t="s">
        <v>26</v>
      </c>
      <c r="H114" t="s">
        <v>29</v>
      </c>
      <c r="I114" t="s">
        <v>36</v>
      </c>
      <c r="J114" t="s">
        <v>41</v>
      </c>
      <c r="K114" t="s">
        <v>48</v>
      </c>
      <c r="L114" t="s">
        <v>52</v>
      </c>
      <c r="M114" s="7">
        <v>810</v>
      </c>
      <c r="N114">
        <v>0.02</v>
      </c>
      <c r="O114" s="7">
        <v>1533</v>
      </c>
      <c r="P114">
        <v>1</v>
      </c>
      <c r="Q114" t="s">
        <v>56</v>
      </c>
      <c r="R114" t="s">
        <v>61</v>
      </c>
      <c r="S114">
        <f t="shared" si="5"/>
        <v>2021</v>
      </c>
      <c r="T114" t="str">
        <f t="shared" si="6"/>
        <v>Apr</v>
      </c>
      <c r="U114">
        <f t="shared" si="7"/>
        <v>3</v>
      </c>
      <c r="V114">
        <f t="shared" si="8"/>
        <v>6</v>
      </c>
      <c r="W114" s="9">
        <f t="shared" si="9"/>
        <v>1.8925925925925926</v>
      </c>
    </row>
    <row r="115" spans="1:23">
      <c r="A115">
        <v>10114</v>
      </c>
      <c r="B115" s="5">
        <v>44310</v>
      </c>
      <c r="C115" s="5">
        <v>44312</v>
      </c>
      <c r="D115" s="5">
        <v>44315</v>
      </c>
      <c r="E115" t="s">
        <v>18</v>
      </c>
      <c r="F115" t="s">
        <v>22</v>
      </c>
      <c r="G115" t="s">
        <v>27</v>
      </c>
      <c r="H115" t="s">
        <v>30</v>
      </c>
      <c r="I115" t="s">
        <v>34</v>
      </c>
      <c r="J115" t="s">
        <v>38</v>
      </c>
      <c r="K115" t="s">
        <v>46</v>
      </c>
      <c r="L115" t="s">
        <v>53</v>
      </c>
      <c r="M115" s="7">
        <v>31958</v>
      </c>
      <c r="N115">
        <v>0.27</v>
      </c>
      <c r="O115" s="7">
        <v>6959</v>
      </c>
      <c r="P115">
        <v>14</v>
      </c>
      <c r="Q115" t="s">
        <v>57</v>
      </c>
      <c r="R115" t="s">
        <v>61</v>
      </c>
      <c r="S115">
        <f t="shared" si="5"/>
        <v>2021</v>
      </c>
      <c r="T115" t="str">
        <f t="shared" si="6"/>
        <v>Apr</v>
      </c>
      <c r="U115">
        <f t="shared" si="7"/>
        <v>2</v>
      </c>
      <c r="V115">
        <f t="shared" si="8"/>
        <v>5</v>
      </c>
      <c r="W115" s="9">
        <f t="shared" si="9"/>
        <v>0.21775455285061643</v>
      </c>
    </row>
    <row r="116" spans="1:23">
      <c r="A116">
        <v>10115</v>
      </c>
      <c r="B116" s="5">
        <v>44311</v>
      </c>
      <c r="C116" s="5">
        <v>44315</v>
      </c>
      <c r="D116" s="5">
        <v>44317</v>
      </c>
      <c r="E116" t="s">
        <v>20</v>
      </c>
      <c r="F116" t="s">
        <v>22</v>
      </c>
      <c r="G116" t="s">
        <v>24</v>
      </c>
      <c r="H116" t="s">
        <v>31</v>
      </c>
      <c r="I116" t="s">
        <v>34</v>
      </c>
      <c r="J116" t="s">
        <v>41</v>
      </c>
      <c r="K116" t="s">
        <v>47</v>
      </c>
      <c r="L116" t="s">
        <v>52</v>
      </c>
      <c r="M116" s="7">
        <v>9230</v>
      </c>
      <c r="N116">
        <v>0.4</v>
      </c>
      <c r="O116" s="7">
        <v>11931</v>
      </c>
      <c r="P116">
        <v>12</v>
      </c>
      <c r="Q116" t="s">
        <v>54</v>
      </c>
      <c r="R116" t="s">
        <v>60</v>
      </c>
      <c r="S116">
        <f t="shared" si="5"/>
        <v>2021</v>
      </c>
      <c r="T116" t="str">
        <f t="shared" si="6"/>
        <v>Apr</v>
      </c>
      <c r="U116">
        <f t="shared" si="7"/>
        <v>4</v>
      </c>
      <c r="V116">
        <f t="shared" si="8"/>
        <v>6</v>
      </c>
      <c r="W116" s="9">
        <f t="shared" si="9"/>
        <v>1.2926327193932827</v>
      </c>
    </row>
    <row r="117" spans="1:23">
      <c r="A117">
        <v>10116</v>
      </c>
      <c r="B117" s="5">
        <v>44312</v>
      </c>
      <c r="C117" s="5">
        <v>44317</v>
      </c>
      <c r="D117" s="5">
        <v>44320</v>
      </c>
      <c r="E117" t="s">
        <v>20</v>
      </c>
      <c r="F117" t="s">
        <v>22</v>
      </c>
      <c r="G117" t="s">
        <v>28</v>
      </c>
      <c r="H117" t="s">
        <v>25</v>
      </c>
      <c r="I117" t="s">
        <v>35</v>
      </c>
      <c r="J117" t="s">
        <v>39</v>
      </c>
      <c r="K117" t="s">
        <v>44</v>
      </c>
      <c r="L117" t="s">
        <v>51</v>
      </c>
      <c r="M117" s="7">
        <v>45671</v>
      </c>
      <c r="N117">
        <v>0.14000000000000001</v>
      </c>
      <c r="O117" s="7">
        <v>1347</v>
      </c>
      <c r="P117">
        <v>22</v>
      </c>
      <c r="Q117" t="s">
        <v>54</v>
      </c>
      <c r="R117" t="s">
        <v>59</v>
      </c>
      <c r="S117">
        <f t="shared" si="5"/>
        <v>2021</v>
      </c>
      <c r="T117" t="str">
        <f t="shared" si="6"/>
        <v>Apr</v>
      </c>
      <c r="U117">
        <f t="shared" si="7"/>
        <v>5</v>
      </c>
      <c r="V117">
        <f t="shared" si="8"/>
        <v>8</v>
      </c>
      <c r="W117" s="9">
        <f t="shared" si="9"/>
        <v>2.9493551706772349E-2</v>
      </c>
    </row>
    <row r="118" spans="1:23">
      <c r="A118">
        <v>10117</v>
      </c>
      <c r="B118" s="5">
        <v>44313</v>
      </c>
      <c r="C118" s="5">
        <v>44320</v>
      </c>
      <c r="D118" s="5">
        <v>44323</v>
      </c>
      <c r="E118" t="s">
        <v>19</v>
      </c>
      <c r="F118" t="s">
        <v>22</v>
      </c>
      <c r="G118" t="s">
        <v>27</v>
      </c>
      <c r="H118" t="s">
        <v>29</v>
      </c>
      <c r="I118" t="s">
        <v>36</v>
      </c>
      <c r="J118" t="s">
        <v>39</v>
      </c>
      <c r="K118" t="s">
        <v>45</v>
      </c>
      <c r="L118" t="s">
        <v>52</v>
      </c>
      <c r="M118" s="7">
        <v>6490</v>
      </c>
      <c r="N118">
        <v>0.01</v>
      </c>
      <c r="O118" s="7">
        <v>11029</v>
      </c>
      <c r="P118">
        <v>23</v>
      </c>
      <c r="Q118" t="s">
        <v>57</v>
      </c>
      <c r="R118" t="s">
        <v>61</v>
      </c>
      <c r="S118">
        <f t="shared" si="5"/>
        <v>2021</v>
      </c>
      <c r="T118" t="str">
        <f t="shared" si="6"/>
        <v>Apr</v>
      </c>
      <c r="U118">
        <f t="shared" si="7"/>
        <v>7</v>
      </c>
      <c r="V118">
        <f t="shared" si="8"/>
        <v>10</v>
      </c>
      <c r="W118" s="9">
        <f t="shared" si="9"/>
        <v>1.6993836671802773</v>
      </c>
    </row>
    <row r="119" spans="1:23">
      <c r="A119">
        <v>10118</v>
      </c>
      <c r="B119" s="5">
        <v>44314</v>
      </c>
      <c r="C119" s="5">
        <v>44320</v>
      </c>
      <c r="D119" s="5">
        <v>44321</v>
      </c>
      <c r="E119" t="s">
        <v>18</v>
      </c>
      <c r="F119" t="s">
        <v>22</v>
      </c>
      <c r="G119" t="s">
        <v>28</v>
      </c>
      <c r="H119" t="s">
        <v>30</v>
      </c>
      <c r="I119" t="s">
        <v>36</v>
      </c>
      <c r="J119" t="s">
        <v>40</v>
      </c>
      <c r="K119" t="s">
        <v>44</v>
      </c>
      <c r="L119" t="s">
        <v>51</v>
      </c>
      <c r="M119" s="7">
        <v>49795</v>
      </c>
      <c r="N119">
        <v>0.37</v>
      </c>
      <c r="O119" s="7">
        <v>4790</v>
      </c>
      <c r="P119">
        <v>3</v>
      </c>
      <c r="Q119" t="s">
        <v>57</v>
      </c>
      <c r="R119" t="s">
        <v>62</v>
      </c>
      <c r="S119">
        <f t="shared" si="5"/>
        <v>2021</v>
      </c>
      <c r="T119" t="str">
        <f t="shared" si="6"/>
        <v>Apr</v>
      </c>
      <c r="U119">
        <f t="shared" si="7"/>
        <v>6</v>
      </c>
      <c r="V119">
        <f t="shared" si="8"/>
        <v>7</v>
      </c>
      <c r="W119" s="9">
        <f t="shared" si="9"/>
        <v>9.6194397027814044E-2</v>
      </c>
    </row>
    <row r="120" spans="1:23">
      <c r="A120">
        <v>10119</v>
      </c>
      <c r="B120" s="5">
        <v>44315</v>
      </c>
      <c r="C120" s="5">
        <v>44320</v>
      </c>
      <c r="D120" s="5">
        <v>44323</v>
      </c>
      <c r="E120" t="s">
        <v>21</v>
      </c>
      <c r="F120" t="s">
        <v>22</v>
      </c>
      <c r="G120" t="s">
        <v>24</v>
      </c>
      <c r="H120" t="s">
        <v>25</v>
      </c>
      <c r="I120" t="s">
        <v>34</v>
      </c>
      <c r="J120" t="s">
        <v>41</v>
      </c>
      <c r="K120" t="s">
        <v>45</v>
      </c>
      <c r="L120" t="s">
        <v>53</v>
      </c>
      <c r="M120" s="7">
        <v>48123</v>
      </c>
      <c r="N120">
        <v>0.04</v>
      </c>
      <c r="O120" s="7">
        <v>19524</v>
      </c>
      <c r="P120">
        <v>4</v>
      </c>
      <c r="Q120" t="s">
        <v>57</v>
      </c>
      <c r="R120" t="s">
        <v>59</v>
      </c>
      <c r="S120">
        <f t="shared" si="5"/>
        <v>2021</v>
      </c>
      <c r="T120" t="str">
        <f t="shared" si="6"/>
        <v>Apr</v>
      </c>
      <c r="U120">
        <f t="shared" si="7"/>
        <v>5</v>
      </c>
      <c r="V120">
        <f t="shared" si="8"/>
        <v>8</v>
      </c>
      <c r="W120" s="9">
        <f t="shared" si="9"/>
        <v>0.40571036718409076</v>
      </c>
    </row>
    <row r="121" spans="1:23">
      <c r="A121">
        <v>10120</v>
      </c>
      <c r="B121" s="5">
        <v>44316</v>
      </c>
      <c r="C121" s="5">
        <v>44322</v>
      </c>
      <c r="D121" s="5">
        <v>44324</v>
      </c>
      <c r="E121" t="s">
        <v>21</v>
      </c>
      <c r="F121" t="s">
        <v>22</v>
      </c>
      <c r="G121" t="s">
        <v>25</v>
      </c>
      <c r="H121" t="s">
        <v>30</v>
      </c>
      <c r="I121" t="s">
        <v>34</v>
      </c>
      <c r="J121" t="s">
        <v>38</v>
      </c>
      <c r="K121" t="s">
        <v>48</v>
      </c>
      <c r="L121" t="s">
        <v>51</v>
      </c>
      <c r="M121" s="7">
        <v>61932</v>
      </c>
      <c r="N121">
        <v>0.11</v>
      </c>
      <c r="O121" s="7">
        <v>15215</v>
      </c>
      <c r="P121">
        <v>7</v>
      </c>
      <c r="Q121" t="s">
        <v>57</v>
      </c>
      <c r="R121" t="s">
        <v>59</v>
      </c>
      <c r="S121">
        <f t="shared" si="5"/>
        <v>2021</v>
      </c>
      <c r="T121" t="str">
        <f t="shared" si="6"/>
        <v>Apr</v>
      </c>
      <c r="U121">
        <f t="shared" si="7"/>
        <v>6</v>
      </c>
      <c r="V121">
        <f t="shared" si="8"/>
        <v>8</v>
      </c>
      <c r="W121" s="9">
        <f t="shared" si="9"/>
        <v>0.24567267325453723</v>
      </c>
    </row>
    <row r="122" spans="1:23">
      <c r="A122">
        <v>10121</v>
      </c>
      <c r="B122" s="5">
        <v>44317</v>
      </c>
      <c r="C122" s="5">
        <v>44321</v>
      </c>
      <c r="D122" s="5">
        <v>44322</v>
      </c>
      <c r="E122" t="s">
        <v>19</v>
      </c>
      <c r="F122" t="s">
        <v>22</v>
      </c>
      <c r="G122" t="s">
        <v>28</v>
      </c>
      <c r="H122" t="s">
        <v>29</v>
      </c>
      <c r="I122" t="s">
        <v>34</v>
      </c>
      <c r="J122" t="s">
        <v>37</v>
      </c>
      <c r="K122" t="s">
        <v>44</v>
      </c>
      <c r="L122" t="s">
        <v>51</v>
      </c>
      <c r="M122" s="7">
        <v>56419</v>
      </c>
      <c r="N122">
        <v>0.12</v>
      </c>
      <c r="O122" s="7">
        <v>15154</v>
      </c>
      <c r="P122">
        <v>16</v>
      </c>
      <c r="Q122" t="s">
        <v>58</v>
      </c>
      <c r="R122" t="s">
        <v>61</v>
      </c>
      <c r="S122">
        <f t="shared" si="5"/>
        <v>2021</v>
      </c>
      <c r="T122" t="str">
        <f t="shared" si="6"/>
        <v>May</v>
      </c>
      <c r="U122">
        <f t="shared" si="7"/>
        <v>4</v>
      </c>
      <c r="V122">
        <f t="shared" si="8"/>
        <v>5</v>
      </c>
      <c r="W122" s="9">
        <f t="shared" si="9"/>
        <v>0.26859745830305393</v>
      </c>
    </row>
    <row r="123" spans="1:23">
      <c r="A123">
        <v>10122</v>
      </c>
      <c r="B123" s="5">
        <v>44318</v>
      </c>
      <c r="C123" s="5">
        <v>44322</v>
      </c>
      <c r="D123" s="5">
        <v>44324</v>
      </c>
      <c r="E123" t="s">
        <v>19</v>
      </c>
      <c r="F123" t="s">
        <v>22</v>
      </c>
      <c r="G123" t="s">
        <v>23</v>
      </c>
      <c r="H123" t="s">
        <v>29</v>
      </c>
      <c r="I123" t="s">
        <v>36</v>
      </c>
      <c r="J123" t="s">
        <v>43</v>
      </c>
      <c r="K123" t="s">
        <v>46</v>
      </c>
      <c r="L123" t="s">
        <v>53</v>
      </c>
      <c r="M123" s="7">
        <v>14605</v>
      </c>
      <c r="N123">
        <v>0.02</v>
      </c>
      <c r="O123" s="7">
        <v>-378</v>
      </c>
      <c r="P123">
        <v>1</v>
      </c>
      <c r="Q123" t="s">
        <v>55</v>
      </c>
      <c r="R123" t="s">
        <v>59</v>
      </c>
      <c r="S123">
        <f t="shared" si="5"/>
        <v>2021</v>
      </c>
      <c r="T123" t="str">
        <f t="shared" si="6"/>
        <v>May</v>
      </c>
      <c r="U123">
        <f t="shared" si="7"/>
        <v>4</v>
      </c>
      <c r="V123">
        <f t="shared" si="8"/>
        <v>6</v>
      </c>
      <c r="W123" s="9">
        <f t="shared" si="9"/>
        <v>-2.5881547415268744E-2</v>
      </c>
    </row>
    <row r="124" spans="1:23">
      <c r="A124">
        <v>10123</v>
      </c>
      <c r="B124" s="5">
        <v>44319</v>
      </c>
      <c r="C124" s="5">
        <v>44321</v>
      </c>
      <c r="D124" s="5">
        <v>44323</v>
      </c>
      <c r="E124" t="s">
        <v>20</v>
      </c>
      <c r="F124" t="s">
        <v>22</v>
      </c>
      <c r="G124" t="s">
        <v>25</v>
      </c>
      <c r="H124" t="s">
        <v>32</v>
      </c>
      <c r="I124" t="s">
        <v>34</v>
      </c>
      <c r="J124" t="s">
        <v>43</v>
      </c>
      <c r="K124" t="s">
        <v>49</v>
      </c>
      <c r="L124" t="s">
        <v>53</v>
      </c>
      <c r="M124" s="7">
        <v>68331</v>
      </c>
      <c r="N124">
        <v>0</v>
      </c>
      <c r="O124" s="7">
        <v>19271</v>
      </c>
      <c r="P124">
        <v>6</v>
      </c>
      <c r="Q124" t="s">
        <v>55</v>
      </c>
      <c r="R124" t="s">
        <v>60</v>
      </c>
      <c r="S124">
        <f t="shared" si="5"/>
        <v>2021</v>
      </c>
      <c r="T124" t="str">
        <f t="shared" si="6"/>
        <v>May</v>
      </c>
      <c r="U124">
        <f t="shared" si="7"/>
        <v>2</v>
      </c>
      <c r="V124">
        <f t="shared" si="8"/>
        <v>4</v>
      </c>
      <c r="W124" s="9">
        <f t="shared" si="9"/>
        <v>0.28202426424316929</v>
      </c>
    </row>
    <row r="125" spans="1:23">
      <c r="A125">
        <v>10124</v>
      </c>
      <c r="B125" s="5">
        <v>44320</v>
      </c>
      <c r="C125" s="5">
        <v>44327</v>
      </c>
      <c r="D125" s="5">
        <v>44329</v>
      </c>
      <c r="E125" t="s">
        <v>19</v>
      </c>
      <c r="F125" t="s">
        <v>22</v>
      </c>
      <c r="G125" t="s">
        <v>24</v>
      </c>
      <c r="H125" t="s">
        <v>30</v>
      </c>
      <c r="I125" t="s">
        <v>35</v>
      </c>
      <c r="J125" t="s">
        <v>39</v>
      </c>
      <c r="K125" t="s">
        <v>46</v>
      </c>
      <c r="L125" t="s">
        <v>52</v>
      </c>
      <c r="M125" s="7">
        <v>66100</v>
      </c>
      <c r="N125">
        <v>0.02</v>
      </c>
      <c r="O125" s="7">
        <v>12883</v>
      </c>
      <c r="P125">
        <v>4</v>
      </c>
      <c r="Q125" t="s">
        <v>54</v>
      </c>
      <c r="R125" t="s">
        <v>62</v>
      </c>
      <c r="S125">
        <f t="shared" si="5"/>
        <v>2021</v>
      </c>
      <c r="T125" t="str">
        <f t="shared" si="6"/>
        <v>May</v>
      </c>
      <c r="U125">
        <f t="shared" si="7"/>
        <v>7</v>
      </c>
      <c r="V125">
        <f t="shared" si="8"/>
        <v>9</v>
      </c>
      <c r="W125" s="9">
        <f t="shared" si="9"/>
        <v>0.19490166414523449</v>
      </c>
    </row>
    <row r="126" spans="1:23">
      <c r="A126">
        <v>10125</v>
      </c>
      <c r="B126" s="5">
        <v>44321</v>
      </c>
      <c r="C126" s="5">
        <v>44323</v>
      </c>
      <c r="D126" s="5">
        <v>44324</v>
      </c>
      <c r="E126" t="s">
        <v>18</v>
      </c>
      <c r="F126" t="s">
        <v>22</v>
      </c>
      <c r="G126" t="s">
        <v>27</v>
      </c>
      <c r="H126" t="s">
        <v>30</v>
      </c>
      <c r="I126" t="s">
        <v>35</v>
      </c>
      <c r="J126" t="s">
        <v>40</v>
      </c>
      <c r="K126" t="s">
        <v>45</v>
      </c>
      <c r="L126" t="s">
        <v>53</v>
      </c>
      <c r="M126" s="7">
        <v>60394</v>
      </c>
      <c r="N126">
        <v>7.0000000000000007E-2</v>
      </c>
      <c r="O126" s="7">
        <v>-778</v>
      </c>
      <c r="P126">
        <v>11</v>
      </c>
      <c r="Q126" t="s">
        <v>54</v>
      </c>
      <c r="R126" t="s">
        <v>59</v>
      </c>
      <c r="S126">
        <f t="shared" si="5"/>
        <v>2021</v>
      </c>
      <c r="T126" t="str">
        <f t="shared" si="6"/>
        <v>May</v>
      </c>
      <c r="U126">
        <f t="shared" si="7"/>
        <v>2</v>
      </c>
      <c r="V126">
        <f t="shared" si="8"/>
        <v>3</v>
      </c>
      <c r="W126" s="9">
        <f t="shared" si="9"/>
        <v>-1.2882074378249495E-2</v>
      </c>
    </row>
    <row r="127" spans="1:23">
      <c r="A127">
        <v>10126</v>
      </c>
      <c r="B127" s="5">
        <v>44322</v>
      </c>
      <c r="C127" s="5">
        <v>44327</v>
      </c>
      <c r="D127" s="5">
        <v>44330</v>
      </c>
      <c r="E127" t="s">
        <v>18</v>
      </c>
      <c r="F127" t="s">
        <v>22</v>
      </c>
      <c r="G127" t="s">
        <v>23</v>
      </c>
      <c r="H127" t="s">
        <v>29</v>
      </c>
      <c r="I127" t="s">
        <v>34</v>
      </c>
      <c r="J127" t="s">
        <v>39</v>
      </c>
      <c r="K127" t="s">
        <v>50</v>
      </c>
      <c r="L127" t="s">
        <v>52</v>
      </c>
      <c r="M127" s="7">
        <v>73634</v>
      </c>
      <c r="N127">
        <v>7.0000000000000007E-2</v>
      </c>
      <c r="O127" s="7">
        <v>-423</v>
      </c>
      <c r="P127">
        <v>22</v>
      </c>
      <c r="Q127" t="s">
        <v>54</v>
      </c>
      <c r="R127" t="s">
        <v>59</v>
      </c>
      <c r="S127">
        <f t="shared" si="5"/>
        <v>2021</v>
      </c>
      <c r="T127" t="str">
        <f t="shared" si="6"/>
        <v>May</v>
      </c>
      <c r="U127">
        <f t="shared" si="7"/>
        <v>5</v>
      </c>
      <c r="V127">
        <f t="shared" si="8"/>
        <v>8</v>
      </c>
      <c r="W127" s="9">
        <f t="shared" si="9"/>
        <v>-5.7446288399380721E-3</v>
      </c>
    </row>
    <row r="128" spans="1:23">
      <c r="A128">
        <v>10127</v>
      </c>
      <c r="B128" s="5">
        <v>44323</v>
      </c>
      <c r="C128" s="5">
        <v>44329</v>
      </c>
      <c r="D128" s="5">
        <v>44332</v>
      </c>
      <c r="E128" t="s">
        <v>18</v>
      </c>
      <c r="F128" t="s">
        <v>22</v>
      </c>
      <c r="G128" t="s">
        <v>24</v>
      </c>
      <c r="H128" t="s">
        <v>30</v>
      </c>
      <c r="I128" t="s">
        <v>34</v>
      </c>
      <c r="J128" t="s">
        <v>42</v>
      </c>
      <c r="K128" t="s">
        <v>47</v>
      </c>
      <c r="L128" t="s">
        <v>53</v>
      </c>
      <c r="M128" s="7">
        <v>72406</v>
      </c>
      <c r="N128">
        <v>0.23</v>
      </c>
      <c r="O128" s="7">
        <v>16396</v>
      </c>
      <c r="P128">
        <v>14</v>
      </c>
      <c r="Q128" t="s">
        <v>55</v>
      </c>
      <c r="R128" t="s">
        <v>62</v>
      </c>
      <c r="S128">
        <f t="shared" si="5"/>
        <v>2021</v>
      </c>
      <c r="T128" t="str">
        <f t="shared" si="6"/>
        <v>May</v>
      </c>
      <c r="U128">
        <f t="shared" si="7"/>
        <v>6</v>
      </c>
      <c r="V128">
        <f t="shared" si="8"/>
        <v>9</v>
      </c>
      <c r="W128" s="9">
        <f t="shared" si="9"/>
        <v>0.2264453222108665</v>
      </c>
    </row>
    <row r="129" spans="1:23">
      <c r="A129">
        <v>10128</v>
      </c>
      <c r="B129" s="5">
        <v>44324</v>
      </c>
      <c r="C129" s="5">
        <v>44327</v>
      </c>
      <c r="D129" s="5">
        <v>44328</v>
      </c>
      <c r="E129" t="s">
        <v>19</v>
      </c>
      <c r="F129" t="s">
        <v>22</v>
      </c>
      <c r="G129" t="s">
        <v>23</v>
      </c>
      <c r="H129" t="s">
        <v>25</v>
      </c>
      <c r="I129" t="s">
        <v>36</v>
      </c>
      <c r="J129" t="s">
        <v>39</v>
      </c>
      <c r="K129" t="s">
        <v>48</v>
      </c>
      <c r="L129" t="s">
        <v>51</v>
      </c>
      <c r="M129" s="7">
        <v>57677</v>
      </c>
      <c r="N129">
        <v>0.14000000000000001</v>
      </c>
      <c r="O129" s="7">
        <v>7843</v>
      </c>
      <c r="P129">
        <v>22</v>
      </c>
      <c r="Q129" t="s">
        <v>56</v>
      </c>
      <c r="R129" t="s">
        <v>59</v>
      </c>
      <c r="S129">
        <f t="shared" si="5"/>
        <v>2021</v>
      </c>
      <c r="T129" t="str">
        <f t="shared" si="6"/>
        <v>May</v>
      </c>
      <c r="U129">
        <f t="shared" si="7"/>
        <v>3</v>
      </c>
      <c r="V129">
        <f t="shared" si="8"/>
        <v>4</v>
      </c>
      <c r="W129" s="9">
        <f t="shared" si="9"/>
        <v>0.13598141373511105</v>
      </c>
    </row>
    <row r="130" spans="1:23">
      <c r="A130">
        <v>10129</v>
      </c>
      <c r="B130" s="5">
        <v>44325</v>
      </c>
      <c r="C130" s="5">
        <v>44330</v>
      </c>
      <c r="D130" s="5">
        <v>44331</v>
      </c>
      <c r="E130" t="s">
        <v>19</v>
      </c>
      <c r="F130" t="s">
        <v>22</v>
      </c>
      <c r="G130" t="s">
        <v>26</v>
      </c>
      <c r="H130" t="s">
        <v>33</v>
      </c>
      <c r="I130" t="s">
        <v>35</v>
      </c>
      <c r="J130" t="s">
        <v>38</v>
      </c>
      <c r="K130" t="s">
        <v>45</v>
      </c>
      <c r="L130" t="s">
        <v>52</v>
      </c>
      <c r="M130" s="7">
        <v>23377</v>
      </c>
      <c r="N130">
        <v>0.15</v>
      </c>
      <c r="O130" s="7">
        <v>147</v>
      </c>
      <c r="P130">
        <v>15</v>
      </c>
      <c r="Q130" t="s">
        <v>54</v>
      </c>
      <c r="R130" t="s">
        <v>59</v>
      </c>
      <c r="S130">
        <f t="shared" si="5"/>
        <v>2021</v>
      </c>
      <c r="T130" t="str">
        <f t="shared" si="6"/>
        <v>May</v>
      </c>
      <c r="U130">
        <f t="shared" si="7"/>
        <v>5</v>
      </c>
      <c r="V130">
        <f t="shared" si="8"/>
        <v>6</v>
      </c>
      <c r="W130" s="9">
        <f t="shared" si="9"/>
        <v>6.2882320229285197E-3</v>
      </c>
    </row>
    <row r="131" spans="1:23">
      <c r="A131">
        <v>10130</v>
      </c>
      <c r="B131" s="5">
        <v>44326</v>
      </c>
      <c r="C131" s="5">
        <v>44332</v>
      </c>
      <c r="D131" s="5">
        <v>44335</v>
      </c>
      <c r="E131" t="s">
        <v>18</v>
      </c>
      <c r="F131" t="s">
        <v>22</v>
      </c>
      <c r="G131" t="s">
        <v>25</v>
      </c>
      <c r="H131" t="s">
        <v>29</v>
      </c>
      <c r="I131" t="s">
        <v>36</v>
      </c>
      <c r="J131" t="s">
        <v>37</v>
      </c>
      <c r="K131" t="s">
        <v>45</v>
      </c>
      <c r="L131" t="s">
        <v>51</v>
      </c>
      <c r="M131" s="7">
        <v>46185</v>
      </c>
      <c r="N131">
        <v>0.31</v>
      </c>
      <c r="O131" s="7">
        <v>3505</v>
      </c>
      <c r="P131">
        <v>11</v>
      </c>
      <c r="Q131" t="s">
        <v>56</v>
      </c>
      <c r="R131" t="s">
        <v>62</v>
      </c>
      <c r="S131">
        <f t="shared" ref="S131:S194" si="10">YEAR(B131)</f>
        <v>2021</v>
      </c>
      <c r="T131" t="str">
        <f t="shared" ref="T131:T194" si="11">TEXT(B131,"mmm")</f>
        <v>May</v>
      </c>
      <c r="U131">
        <f t="shared" ref="U131:U194" si="12">C131-B131</f>
        <v>6</v>
      </c>
      <c r="V131">
        <f t="shared" ref="V131:V194" si="13">D131-B131</f>
        <v>9</v>
      </c>
      <c r="W131" s="9">
        <f t="shared" ref="W131:W194" si="14">IFERROR(O131/M131,0)</f>
        <v>7.589044061924867E-2</v>
      </c>
    </row>
    <row r="132" spans="1:23">
      <c r="A132">
        <v>10131</v>
      </c>
      <c r="B132" s="5">
        <v>44327</v>
      </c>
      <c r="C132" s="5">
        <v>44330</v>
      </c>
      <c r="D132" s="5">
        <v>44332</v>
      </c>
      <c r="E132" t="s">
        <v>19</v>
      </c>
      <c r="F132" t="s">
        <v>22</v>
      </c>
      <c r="G132" t="s">
        <v>24</v>
      </c>
      <c r="H132" t="s">
        <v>33</v>
      </c>
      <c r="I132" t="s">
        <v>35</v>
      </c>
      <c r="J132" t="s">
        <v>42</v>
      </c>
      <c r="K132" t="s">
        <v>48</v>
      </c>
      <c r="L132" t="s">
        <v>53</v>
      </c>
      <c r="M132" s="7">
        <v>52153</v>
      </c>
      <c r="N132">
        <v>0.31</v>
      </c>
      <c r="O132" s="7">
        <v>4051</v>
      </c>
      <c r="P132">
        <v>15</v>
      </c>
      <c r="Q132" t="s">
        <v>56</v>
      </c>
      <c r="R132" t="s">
        <v>62</v>
      </c>
      <c r="S132">
        <f t="shared" si="10"/>
        <v>2021</v>
      </c>
      <c r="T132" t="str">
        <f t="shared" si="11"/>
        <v>May</v>
      </c>
      <c r="U132">
        <f t="shared" si="12"/>
        <v>3</v>
      </c>
      <c r="V132">
        <f t="shared" si="13"/>
        <v>5</v>
      </c>
      <c r="W132" s="9">
        <f t="shared" si="14"/>
        <v>7.7675301516691275E-2</v>
      </c>
    </row>
    <row r="133" spans="1:23">
      <c r="A133">
        <v>10132</v>
      </c>
      <c r="B133" s="5">
        <v>44328</v>
      </c>
      <c r="C133" s="5">
        <v>44334</v>
      </c>
      <c r="D133" s="5">
        <v>44336</v>
      </c>
      <c r="E133" t="s">
        <v>21</v>
      </c>
      <c r="F133" t="s">
        <v>22</v>
      </c>
      <c r="G133" t="s">
        <v>28</v>
      </c>
      <c r="H133" t="s">
        <v>32</v>
      </c>
      <c r="I133" t="s">
        <v>36</v>
      </c>
      <c r="J133" t="s">
        <v>38</v>
      </c>
      <c r="K133" t="s">
        <v>49</v>
      </c>
      <c r="L133" t="s">
        <v>53</v>
      </c>
      <c r="M133" s="7">
        <v>16593</v>
      </c>
      <c r="N133">
        <v>0.24</v>
      </c>
      <c r="O133" s="7">
        <v>6304</v>
      </c>
      <c r="P133">
        <v>17</v>
      </c>
      <c r="Q133" t="s">
        <v>58</v>
      </c>
      <c r="R133" t="s">
        <v>60</v>
      </c>
      <c r="S133">
        <f t="shared" si="10"/>
        <v>2021</v>
      </c>
      <c r="T133" t="str">
        <f t="shared" si="11"/>
        <v>May</v>
      </c>
      <c r="U133">
        <f t="shared" si="12"/>
        <v>6</v>
      </c>
      <c r="V133">
        <f t="shared" si="13"/>
        <v>8</v>
      </c>
      <c r="W133" s="9">
        <f t="shared" si="14"/>
        <v>0.37991924305430003</v>
      </c>
    </row>
    <row r="134" spans="1:23">
      <c r="A134">
        <v>10133</v>
      </c>
      <c r="B134" s="5">
        <v>44329</v>
      </c>
      <c r="C134" s="5">
        <v>44331</v>
      </c>
      <c r="D134" s="5">
        <v>44334</v>
      </c>
      <c r="E134" t="s">
        <v>21</v>
      </c>
      <c r="F134" t="s">
        <v>22</v>
      </c>
      <c r="G134" t="s">
        <v>24</v>
      </c>
      <c r="H134" t="s">
        <v>33</v>
      </c>
      <c r="I134" t="s">
        <v>36</v>
      </c>
      <c r="J134" t="s">
        <v>41</v>
      </c>
      <c r="K134" t="s">
        <v>48</v>
      </c>
      <c r="L134" t="s">
        <v>52</v>
      </c>
      <c r="M134" s="7">
        <v>32803</v>
      </c>
      <c r="N134">
        <v>0.34</v>
      </c>
      <c r="O134" s="7">
        <v>-840</v>
      </c>
      <c r="P134">
        <v>8</v>
      </c>
      <c r="Q134" t="s">
        <v>58</v>
      </c>
      <c r="R134" t="s">
        <v>62</v>
      </c>
      <c r="S134">
        <f t="shared" si="10"/>
        <v>2021</v>
      </c>
      <c r="T134" t="str">
        <f t="shared" si="11"/>
        <v>May</v>
      </c>
      <c r="U134">
        <f t="shared" si="12"/>
        <v>2</v>
      </c>
      <c r="V134">
        <f t="shared" si="13"/>
        <v>5</v>
      </c>
      <c r="W134" s="9">
        <f t="shared" si="14"/>
        <v>-2.5607413956040607E-2</v>
      </c>
    </row>
    <row r="135" spans="1:23">
      <c r="A135">
        <v>10134</v>
      </c>
      <c r="B135" s="5">
        <v>44330</v>
      </c>
      <c r="C135" s="5">
        <v>44337</v>
      </c>
      <c r="D135" s="5">
        <v>44342</v>
      </c>
      <c r="E135" t="s">
        <v>21</v>
      </c>
      <c r="F135" t="s">
        <v>22</v>
      </c>
      <c r="G135" t="s">
        <v>27</v>
      </c>
      <c r="H135" t="s">
        <v>30</v>
      </c>
      <c r="I135" t="s">
        <v>35</v>
      </c>
      <c r="J135" t="s">
        <v>40</v>
      </c>
      <c r="K135" t="s">
        <v>48</v>
      </c>
      <c r="L135" t="s">
        <v>52</v>
      </c>
      <c r="M135" s="7">
        <v>38914</v>
      </c>
      <c r="N135">
        <v>0.28000000000000003</v>
      </c>
      <c r="O135" s="7">
        <v>3991</v>
      </c>
      <c r="P135">
        <v>6</v>
      </c>
      <c r="Q135" t="s">
        <v>58</v>
      </c>
      <c r="R135" t="s">
        <v>62</v>
      </c>
      <c r="S135">
        <f t="shared" si="10"/>
        <v>2021</v>
      </c>
      <c r="T135" t="str">
        <f t="shared" si="11"/>
        <v>May</v>
      </c>
      <c r="U135">
        <f t="shared" si="12"/>
        <v>7</v>
      </c>
      <c r="V135">
        <f t="shared" si="13"/>
        <v>12</v>
      </c>
      <c r="W135" s="9">
        <f t="shared" si="14"/>
        <v>0.10255949015778383</v>
      </c>
    </row>
    <row r="136" spans="1:23">
      <c r="A136">
        <v>10135</v>
      </c>
      <c r="B136" s="5">
        <v>44331</v>
      </c>
      <c r="C136" s="5">
        <v>44335</v>
      </c>
      <c r="D136" s="5">
        <v>44336</v>
      </c>
      <c r="E136" t="s">
        <v>18</v>
      </c>
      <c r="F136" t="s">
        <v>22</v>
      </c>
      <c r="G136" t="s">
        <v>25</v>
      </c>
      <c r="H136" t="s">
        <v>32</v>
      </c>
      <c r="I136" t="s">
        <v>36</v>
      </c>
      <c r="J136" t="s">
        <v>39</v>
      </c>
      <c r="K136" t="s">
        <v>45</v>
      </c>
      <c r="L136" t="s">
        <v>51</v>
      </c>
      <c r="M136" s="7">
        <v>25571</v>
      </c>
      <c r="N136">
        <v>0.35</v>
      </c>
      <c r="O136" s="7">
        <v>12426</v>
      </c>
      <c r="P136">
        <v>23</v>
      </c>
      <c r="Q136" t="s">
        <v>57</v>
      </c>
      <c r="R136" t="s">
        <v>61</v>
      </c>
      <c r="S136">
        <f t="shared" si="10"/>
        <v>2021</v>
      </c>
      <c r="T136" t="str">
        <f t="shared" si="11"/>
        <v>May</v>
      </c>
      <c r="U136">
        <f t="shared" si="12"/>
        <v>4</v>
      </c>
      <c r="V136">
        <f t="shared" si="13"/>
        <v>5</v>
      </c>
      <c r="W136" s="9">
        <f t="shared" si="14"/>
        <v>0.485941105158187</v>
      </c>
    </row>
    <row r="137" spans="1:23">
      <c r="A137">
        <v>10136</v>
      </c>
      <c r="B137" s="5">
        <v>44332</v>
      </c>
      <c r="C137" s="5">
        <v>44338</v>
      </c>
      <c r="D137" s="5">
        <v>44342</v>
      </c>
      <c r="E137" t="s">
        <v>18</v>
      </c>
      <c r="F137" t="s">
        <v>22</v>
      </c>
      <c r="G137" t="s">
        <v>27</v>
      </c>
      <c r="H137" t="s">
        <v>30</v>
      </c>
      <c r="I137" t="s">
        <v>34</v>
      </c>
      <c r="J137" t="s">
        <v>43</v>
      </c>
      <c r="K137" t="s">
        <v>44</v>
      </c>
      <c r="L137" t="s">
        <v>52</v>
      </c>
      <c r="M137" s="7">
        <v>73612</v>
      </c>
      <c r="N137">
        <v>0.28000000000000003</v>
      </c>
      <c r="O137" s="7">
        <v>14662</v>
      </c>
      <c r="P137">
        <v>11</v>
      </c>
      <c r="Q137" t="s">
        <v>57</v>
      </c>
      <c r="R137" t="s">
        <v>61</v>
      </c>
      <c r="S137">
        <f t="shared" si="10"/>
        <v>2021</v>
      </c>
      <c r="T137" t="str">
        <f t="shared" si="11"/>
        <v>May</v>
      </c>
      <c r="U137">
        <f t="shared" si="12"/>
        <v>6</v>
      </c>
      <c r="V137">
        <f t="shared" si="13"/>
        <v>10</v>
      </c>
      <c r="W137" s="9">
        <f t="shared" si="14"/>
        <v>0.19917948160625984</v>
      </c>
    </row>
    <row r="138" spans="1:23">
      <c r="A138">
        <v>10137</v>
      </c>
      <c r="B138" s="5">
        <v>44333</v>
      </c>
      <c r="C138" s="5">
        <v>44340</v>
      </c>
      <c r="D138" s="5">
        <v>44344</v>
      </c>
      <c r="E138" t="s">
        <v>18</v>
      </c>
      <c r="F138" t="s">
        <v>22</v>
      </c>
      <c r="G138" t="s">
        <v>24</v>
      </c>
      <c r="H138" t="s">
        <v>33</v>
      </c>
      <c r="I138" t="s">
        <v>35</v>
      </c>
      <c r="J138" t="s">
        <v>41</v>
      </c>
      <c r="K138" t="s">
        <v>49</v>
      </c>
      <c r="L138" t="s">
        <v>51</v>
      </c>
      <c r="M138" s="7">
        <v>27549</v>
      </c>
      <c r="N138">
        <v>0.34</v>
      </c>
      <c r="O138" s="7">
        <v>5946</v>
      </c>
      <c r="P138">
        <v>18</v>
      </c>
      <c r="Q138" t="s">
        <v>54</v>
      </c>
      <c r="R138" t="s">
        <v>60</v>
      </c>
      <c r="S138">
        <f t="shared" si="10"/>
        <v>2021</v>
      </c>
      <c r="T138" t="str">
        <f t="shared" si="11"/>
        <v>May</v>
      </c>
      <c r="U138">
        <f t="shared" si="12"/>
        <v>7</v>
      </c>
      <c r="V138">
        <f t="shared" si="13"/>
        <v>11</v>
      </c>
      <c r="W138" s="9">
        <f t="shared" si="14"/>
        <v>0.21583360557551998</v>
      </c>
    </row>
    <row r="139" spans="1:23">
      <c r="A139">
        <v>10138</v>
      </c>
      <c r="B139" s="5">
        <v>44334</v>
      </c>
      <c r="C139" s="5">
        <v>44340</v>
      </c>
      <c r="D139" s="5">
        <v>44342</v>
      </c>
      <c r="E139" t="s">
        <v>20</v>
      </c>
      <c r="F139" t="s">
        <v>22</v>
      </c>
      <c r="G139" t="s">
        <v>27</v>
      </c>
      <c r="H139" t="s">
        <v>25</v>
      </c>
      <c r="I139" t="s">
        <v>36</v>
      </c>
      <c r="J139" t="s">
        <v>40</v>
      </c>
      <c r="K139" t="s">
        <v>50</v>
      </c>
      <c r="L139" t="s">
        <v>52</v>
      </c>
      <c r="M139" s="7">
        <v>24990</v>
      </c>
      <c r="N139">
        <v>0.19</v>
      </c>
      <c r="O139" s="7">
        <v>3162</v>
      </c>
      <c r="P139">
        <v>11</v>
      </c>
      <c r="Q139" t="s">
        <v>56</v>
      </c>
      <c r="R139" t="s">
        <v>59</v>
      </c>
      <c r="S139">
        <f t="shared" si="10"/>
        <v>2021</v>
      </c>
      <c r="T139" t="str">
        <f t="shared" si="11"/>
        <v>May</v>
      </c>
      <c r="U139">
        <f t="shared" si="12"/>
        <v>6</v>
      </c>
      <c r="V139">
        <f t="shared" si="13"/>
        <v>8</v>
      </c>
      <c r="W139" s="9">
        <f t="shared" si="14"/>
        <v>0.12653061224489795</v>
      </c>
    </row>
    <row r="140" spans="1:23">
      <c r="A140">
        <v>10139</v>
      </c>
      <c r="B140" s="5">
        <v>44335</v>
      </c>
      <c r="C140" s="5">
        <v>44341</v>
      </c>
      <c r="D140" s="5">
        <v>44345</v>
      </c>
      <c r="E140" t="s">
        <v>21</v>
      </c>
      <c r="F140" t="s">
        <v>22</v>
      </c>
      <c r="G140" t="s">
        <v>26</v>
      </c>
      <c r="H140" t="s">
        <v>30</v>
      </c>
      <c r="I140" t="s">
        <v>36</v>
      </c>
      <c r="J140" t="s">
        <v>41</v>
      </c>
      <c r="K140" t="s">
        <v>50</v>
      </c>
      <c r="L140" t="s">
        <v>51</v>
      </c>
      <c r="M140" s="7">
        <v>17096</v>
      </c>
      <c r="N140">
        <v>0.4</v>
      </c>
      <c r="O140" s="7">
        <v>12343</v>
      </c>
      <c r="P140">
        <v>23</v>
      </c>
      <c r="Q140" t="s">
        <v>55</v>
      </c>
      <c r="R140" t="s">
        <v>60</v>
      </c>
      <c r="S140">
        <f t="shared" si="10"/>
        <v>2021</v>
      </c>
      <c r="T140" t="str">
        <f t="shared" si="11"/>
        <v>May</v>
      </c>
      <c r="U140">
        <f t="shared" si="12"/>
        <v>6</v>
      </c>
      <c r="V140">
        <f t="shared" si="13"/>
        <v>10</v>
      </c>
      <c r="W140" s="9">
        <f t="shared" si="14"/>
        <v>0.7219817501169864</v>
      </c>
    </row>
    <row r="141" spans="1:23">
      <c r="A141">
        <v>10140</v>
      </c>
      <c r="B141" s="5">
        <v>44336</v>
      </c>
      <c r="C141" s="5">
        <v>44342</v>
      </c>
      <c r="D141" s="5">
        <v>44343</v>
      </c>
      <c r="E141" t="s">
        <v>18</v>
      </c>
      <c r="F141" t="s">
        <v>22</v>
      </c>
      <c r="G141" t="s">
        <v>23</v>
      </c>
      <c r="H141" t="s">
        <v>30</v>
      </c>
      <c r="I141" t="s">
        <v>36</v>
      </c>
      <c r="J141" t="s">
        <v>43</v>
      </c>
      <c r="K141" t="s">
        <v>50</v>
      </c>
      <c r="L141" t="s">
        <v>51</v>
      </c>
      <c r="M141" s="7">
        <v>19713</v>
      </c>
      <c r="N141">
        <v>0.28000000000000003</v>
      </c>
      <c r="O141" s="7">
        <v>8605</v>
      </c>
      <c r="P141">
        <v>1</v>
      </c>
      <c r="Q141" t="s">
        <v>57</v>
      </c>
      <c r="R141" t="s">
        <v>61</v>
      </c>
      <c r="S141">
        <f t="shared" si="10"/>
        <v>2021</v>
      </c>
      <c r="T141" t="str">
        <f t="shared" si="11"/>
        <v>May</v>
      </c>
      <c r="U141">
        <f t="shared" si="12"/>
        <v>6</v>
      </c>
      <c r="V141">
        <f t="shared" si="13"/>
        <v>7</v>
      </c>
      <c r="W141" s="9">
        <f t="shared" si="14"/>
        <v>0.43651397554913002</v>
      </c>
    </row>
    <row r="142" spans="1:23">
      <c r="A142">
        <v>10141</v>
      </c>
      <c r="B142" s="5">
        <v>44337</v>
      </c>
      <c r="C142" s="5">
        <v>44343</v>
      </c>
      <c r="D142" s="5">
        <v>44347</v>
      </c>
      <c r="E142" t="s">
        <v>18</v>
      </c>
      <c r="F142" t="s">
        <v>22</v>
      </c>
      <c r="G142" t="s">
        <v>23</v>
      </c>
      <c r="H142" t="s">
        <v>33</v>
      </c>
      <c r="I142" t="s">
        <v>34</v>
      </c>
      <c r="J142" t="s">
        <v>41</v>
      </c>
      <c r="K142" t="s">
        <v>50</v>
      </c>
      <c r="L142" t="s">
        <v>52</v>
      </c>
      <c r="M142" s="7">
        <v>50418</v>
      </c>
      <c r="N142">
        <v>0.35</v>
      </c>
      <c r="O142" s="7">
        <v>-128</v>
      </c>
      <c r="P142">
        <v>22</v>
      </c>
      <c r="Q142" t="s">
        <v>54</v>
      </c>
      <c r="R142" t="s">
        <v>62</v>
      </c>
      <c r="S142">
        <f t="shared" si="10"/>
        <v>2021</v>
      </c>
      <c r="T142" t="str">
        <f t="shared" si="11"/>
        <v>May</v>
      </c>
      <c r="U142">
        <f t="shared" si="12"/>
        <v>6</v>
      </c>
      <c r="V142">
        <f t="shared" si="13"/>
        <v>10</v>
      </c>
      <c r="W142" s="9">
        <f t="shared" si="14"/>
        <v>-2.5387758340275298E-3</v>
      </c>
    </row>
    <row r="143" spans="1:23">
      <c r="A143">
        <v>10142</v>
      </c>
      <c r="B143" s="5">
        <v>44338</v>
      </c>
      <c r="C143" s="5">
        <v>44342</v>
      </c>
      <c r="D143" s="5">
        <v>44343</v>
      </c>
      <c r="E143" t="s">
        <v>20</v>
      </c>
      <c r="F143" t="s">
        <v>22</v>
      </c>
      <c r="G143" t="s">
        <v>26</v>
      </c>
      <c r="H143" t="s">
        <v>29</v>
      </c>
      <c r="I143" t="s">
        <v>36</v>
      </c>
      <c r="J143" t="s">
        <v>39</v>
      </c>
      <c r="K143" t="s">
        <v>49</v>
      </c>
      <c r="L143" t="s">
        <v>53</v>
      </c>
      <c r="M143" s="7">
        <v>28555</v>
      </c>
      <c r="N143">
        <v>0.19</v>
      </c>
      <c r="O143" s="7">
        <v>17425</v>
      </c>
      <c r="P143">
        <v>15</v>
      </c>
      <c r="Q143" t="s">
        <v>57</v>
      </c>
      <c r="R143" t="s">
        <v>60</v>
      </c>
      <c r="S143">
        <f t="shared" si="10"/>
        <v>2021</v>
      </c>
      <c r="T143" t="str">
        <f t="shared" si="11"/>
        <v>May</v>
      </c>
      <c r="U143">
        <f t="shared" si="12"/>
        <v>4</v>
      </c>
      <c r="V143">
        <f t="shared" si="13"/>
        <v>5</v>
      </c>
      <c r="W143" s="9">
        <f t="shared" si="14"/>
        <v>0.61022587988093158</v>
      </c>
    </row>
    <row r="144" spans="1:23">
      <c r="A144">
        <v>10143</v>
      </c>
      <c r="B144" s="5">
        <v>44339</v>
      </c>
      <c r="C144" s="5">
        <v>44344</v>
      </c>
      <c r="D144" s="5">
        <v>44346</v>
      </c>
      <c r="E144" t="s">
        <v>19</v>
      </c>
      <c r="F144" t="s">
        <v>22</v>
      </c>
      <c r="G144" t="s">
        <v>27</v>
      </c>
      <c r="H144" t="s">
        <v>29</v>
      </c>
      <c r="I144" t="s">
        <v>34</v>
      </c>
      <c r="J144" t="s">
        <v>38</v>
      </c>
      <c r="K144" t="s">
        <v>49</v>
      </c>
      <c r="L144" t="s">
        <v>52</v>
      </c>
      <c r="M144" s="7">
        <v>7081</v>
      </c>
      <c r="N144">
        <v>0.02</v>
      </c>
      <c r="O144" s="7">
        <v>3582</v>
      </c>
      <c r="P144">
        <v>17</v>
      </c>
      <c r="Q144" t="s">
        <v>57</v>
      </c>
      <c r="R144" t="s">
        <v>62</v>
      </c>
      <c r="S144">
        <f t="shared" si="10"/>
        <v>2021</v>
      </c>
      <c r="T144" t="str">
        <f t="shared" si="11"/>
        <v>May</v>
      </c>
      <c r="U144">
        <f t="shared" si="12"/>
        <v>5</v>
      </c>
      <c r="V144">
        <f t="shared" si="13"/>
        <v>7</v>
      </c>
      <c r="W144" s="9">
        <f t="shared" si="14"/>
        <v>0.50586075413077247</v>
      </c>
    </row>
    <row r="145" spans="1:23">
      <c r="A145">
        <v>10144</v>
      </c>
      <c r="B145" s="5">
        <v>44340</v>
      </c>
      <c r="C145" s="5">
        <v>44346</v>
      </c>
      <c r="D145" s="5">
        <v>44349</v>
      </c>
      <c r="E145" t="s">
        <v>19</v>
      </c>
      <c r="F145" t="s">
        <v>22</v>
      </c>
      <c r="G145" t="s">
        <v>23</v>
      </c>
      <c r="H145" t="s">
        <v>29</v>
      </c>
      <c r="I145" t="s">
        <v>35</v>
      </c>
      <c r="J145" t="s">
        <v>37</v>
      </c>
      <c r="K145" t="s">
        <v>45</v>
      </c>
      <c r="L145" t="s">
        <v>51</v>
      </c>
      <c r="M145" s="7">
        <v>42633</v>
      </c>
      <c r="N145">
        <v>0.06</v>
      </c>
      <c r="O145" s="7">
        <v>1101</v>
      </c>
      <c r="P145">
        <v>22</v>
      </c>
      <c r="Q145" t="s">
        <v>58</v>
      </c>
      <c r="R145" t="s">
        <v>62</v>
      </c>
      <c r="S145">
        <f t="shared" si="10"/>
        <v>2021</v>
      </c>
      <c r="T145" t="str">
        <f t="shared" si="11"/>
        <v>May</v>
      </c>
      <c r="U145">
        <f t="shared" si="12"/>
        <v>6</v>
      </c>
      <c r="V145">
        <f t="shared" si="13"/>
        <v>9</v>
      </c>
      <c r="W145" s="9">
        <f t="shared" si="14"/>
        <v>2.5825065090422913E-2</v>
      </c>
    </row>
    <row r="146" spans="1:23">
      <c r="A146">
        <v>10145</v>
      </c>
      <c r="B146" s="5">
        <v>44341</v>
      </c>
      <c r="C146" s="5">
        <v>44348</v>
      </c>
      <c r="D146" s="5">
        <v>44353</v>
      </c>
      <c r="E146" t="s">
        <v>18</v>
      </c>
      <c r="F146" t="s">
        <v>22</v>
      </c>
      <c r="G146" t="s">
        <v>26</v>
      </c>
      <c r="H146" t="s">
        <v>29</v>
      </c>
      <c r="I146" t="s">
        <v>36</v>
      </c>
      <c r="J146" t="s">
        <v>43</v>
      </c>
      <c r="K146" t="s">
        <v>50</v>
      </c>
      <c r="L146" t="s">
        <v>52</v>
      </c>
      <c r="M146" s="7">
        <v>18033</v>
      </c>
      <c r="N146">
        <v>0.13</v>
      </c>
      <c r="O146" s="7">
        <v>1891</v>
      </c>
      <c r="P146">
        <v>9</v>
      </c>
      <c r="Q146" t="s">
        <v>55</v>
      </c>
      <c r="R146" t="s">
        <v>59</v>
      </c>
      <c r="S146">
        <f t="shared" si="10"/>
        <v>2021</v>
      </c>
      <c r="T146" t="str">
        <f t="shared" si="11"/>
        <v>May</v>
      </c>
      <c r="U146">
        <f t="shared" si="12"/>
        <v>7</v>
      </c>
      <c r="V146">
        <f t="shared" si="13"/>
        <v>12</v>
      </c>
      <c r="W146" s="9">
        <f t="shared" si="14"/>
        <v>0.10486330616092719</v>
      </c>
    </row>
    <row r="147" spans="1:23">
      <c r="A147">
        <v>10146</v>
      </c>
      <c r="B147" s="5">
        <v>44342</v>
      </c>
      <c r="C147" s="5">
        <v>44346</v>
      </c>
      <c r="D147" s="5">
        <v>44347</v>
      </c>
      <c r="E147" t="s">
        <v>20</v>
      </c>
      <c r="F147" t="s">
        <v>22</v>
      </c>
      <c r="G147" t="s">
        <v>25</v>
      </c>
      <c r="H147" t="s">
        <v>31</v>
      </c>
      <c r="I147" t="s">
        <v>35</v>
      </c>
      <c r="J147" t="s">
        <v>43</v>
      </c>
      <c r="K147" t="s">
        <v>49</v>
      </c>
      <c r="L147" t="s">
        <v>52</v>
      </c>
      <c r="M147" s="7">
        <v>54463</v>
      </c>
      <c r="N147">
        <v>0.13</v>
      </c>
      <c r="O147" s="7">
        <v>13551</v>
      </c>
      <c r="P147">
        <v>12</v>
      </c>
      <c r="Q147" t="s">
        <v>58</v>
      </c>
      <c r="R147" t="s">
        <v>62</v>
      </c>
      <c r="S147">
        <f t="shared" si="10"/>
        <v>2021</v>
      </c>
      <c r="T147" t="str">
        <f t="shared" si="11"/>
        <v>May</v>
      </c>
      <c r="U147">
        <f t="shared" si="12"/>
        <v>4</v>
      </c>
      <c r="V147">
        <f t="shared" si="13"/>
        <v>5</v>
      </c>
      <c r="W147" s="9">
        <f t="shared" si="14"/>
        <v>0.2488111194756073</v>
      </c>
    </row>
    <row r="148" spans="1:23">
      <c r="A148">
        <v>10147</v>
      </c>
      <c r="B148" s="5">
        <v>44343</v>
      </c>
      <c r="C148" s="5">
        <v>44349</v>
      </c>
      <c r="D148" s="5">
        <v>44353</v>
      </c>
      <c r="E148" t="s">
        <v>19</v>
      </c>
      <c r="F148" t="s">
        <v>22</v>
      </c>
      <c r="G148" t="s">
        <v>28</v>
      </c>
      <c r="H148" t="s">
        <v>33</v>
      </c>
      <c r="I148" t="s">
        <v>36</v>
      </c>
      <c r="J148" t="s">
        <v>41</v>
      </c>
      <c r="K148" t="s">
        <v>46</v>
      </c>
      <c r="L148" t="s">
        <v>52</v>
      </c>
      <c r="M148" s="7">
        <v>52628</v>
      </c>
      <c r="N148">
        <v>0.3</v>
      </c>
      <c r="O148" s="7">
        <v>2414</v>
      </c>
      <c r="P148">
        <v>21</v>
      </c>
      <c r="Q148" t="s">
        <v>58</v>
      </c>
      <c r="R148" t="s">
        <v>60</v>
      </c>
      <c r="S148">
        <f t="shared" si="10"/>
        <v>2021</v>
      </c>
      <c r="T148" t="str">
        <f t="shared" si="11"/>
        <v>May</v>
      </c>
      <c r="U148">
        <f t="shared" si="12"/>
        <v>6</v>
      </c>
      <c r="V148">
        <f t="shared" si="13"/>
        <v>10</v>
      </c>
      <c r="W148" s="9">
        <f t="shared" si="14"/>
        <v>4.5869119100098804E-2</v>
      </c>
    </row>
    <row r="149" spans="1:23">
      <c r="A149">
        <v>10148</v>
      </c>
      <c r="B149" s="5">
        <v>44344</v>
      </c>
      <c r="C149" s="5">
        <v>44351</v>
      </c>
      <c r="D149" s="5">
        <v>44356</v>
      </c>
      <c r="E149" t="s">
        <v>21</v>
      </c>
      <c r="F149" t="s">
        <v>22</v>
      </c>
      <c r="G149" t="s">
        <v>24</v>
      </c>
      <c r="H149" t="s">
        <v>31</v>
      </c>
      <c r="I149" t="s">
        <v>34</v>
      </c>
      <c r="J149" t="s">
        <v>41</v>
      </c>
      <c r="K149" t="s">
        <v>49</v>
      </c>
      <c r="L149" t="s">
        <v>51</v>
      </c>
      <c r="M149" s="7">
        <v>11318</v>
      </c>
      <c r="N149">
        <v>7.0000000000000007E-2</v>
      </c>
      <c r="O149" s="7">
        <v>18152</v>
      </c>
      <c r="P149">
        <v>24</v>
      </c>
      <c r="Q149" t="s">
        <v>58</v>
      </c>
      <c r="R149" t="s">
        <v>62</v>
      </c>
      <c r="S149">
        <f t="shared" si="10"/>
        <v>2021</v>
      </c>
      <c r="T149" t="str">
        <f t="shared" si="11"/>
        <v>May</v>
      </c>
      <c r="U149">
        <f t="shared" si="12"/>
        <v>7</v>
      </c>
      <c r="V149">
        <f t="shared" si="13"/>
        <v>12</v>
      </c>
      <c r="W149" s="9">
        <f t="shared" si="14"/>
        <v>1.6038169287860047</v>
      </c>
    </row>
    <row r="150" spans="1:23">
      <c r="A150">
        <v>10149</v>
      </c>
      <c r="B150" s="5">
        <v>44345</v>
      </c>
      <c r="C150" s="5">
        <v>44348</v>
      </c>
      <c r="D150" s="5">
        <v>44350</v>
      </c>
      <c r="E150" t="s">
        <v>21</v>
      </c>
      <c r="F150" t="s">
        <v>22</v>
      </c>
      <c r="G150" t="s">
        <v>27</v>
      </c>
      <c r="H150" t="s">
        <v>25</v>
      </c>
      <c r="I150" t="s">
        <v>36</v>
      </c>
      <c r="J150" t="s">
        <v>37</v>
      </c>
      <c r="K150" t="s">
        <v>50</v>
      </c>
      <c r="L150" t="s">
        <v>53</v>
      </c>
      <c r="M150" s="7">
        <v>30243</v>
      </c>
      <c r="N150">
        <v>0.16</v>
      </c>
      <c r="O150" s="7">
        <v>1867</v>
      </c>
      <c r="P150">
        <v>6</v>
      </c>
      <c r="Q150" t="s">
        <v>57</v>
      </c>
      <c r="R150" t="s">
        <v>59</v>
      </c>
      <c r="S150">
        <f t="shared" si="10"/>
        <v>2021</v>
      </c>
      <c r="T150" t="str">
        <f t="shared" si="11"/>
        <v>May</v>
      </c>
      <c r="U150">
        <f t="shared" si="12"/>
        <v>3</v>
      </c>
      <c r="V150">
        <f t="shared" si="13"/>
        <v>5</v>
      </c>
      <c r="W150" s="9">
        <f t="shared" si="14"/>
        <v>6.1733293654730022E-2</v>
      </c>
    </row>
    <row r="151" spans="1:23">
      <c r="A151">
        <v>10150</v>
      </c>
      <c r="B151" s="5">
        <v>44346</v>
      </c>
      <c r="C151" s="5">
        <v>44350</v>
      </c>
      <c r="D151" s="5">
        <v>44355</v>
      </c>
      <c r="E151" t="s">
        <v>20</v>
      </c>
      <c r="F151" t="s">
        <v>22</v>
      </c>
      <c r="G151" t="s">
        <v>24</v>
      </c>
      <c r="H151" t="s">
        <v>29</v>
      </c>
      <c r="I151" t="s">
        <v>35</v>
      </c>
      <c r="J151" t="s">
        <v>38</v>
      </c>
      <c r="K151" t="s">
        <v>45</v>
      </c>
      <c r="L151" t="s">
        <v>52</v>
      </c>
      <c r="M151" s="7">
        <v>27574</v>
      </c>
      <c r="N151">
        <v>0.21</v>
      </c>
      <c r="O151" s="7">
        <v>15460</v>
      </c>
      <c r="P151">
        <v>4</v>
      </c>
      <c r="Q151" t="s">
        <v>58</v>
      </c>
      <c r="R151" t="s">
        <v>62</v>
      </c>
      <c r="S151">
        <f t="shared" si="10"/>
        <v>2021</v>
      </c>
      <c r="T151" t="str">
        <f t="shared" si="11"/>
        <v>May</v>
      </c>
      <c r="U151">
        <f t="shared" si="12"/>
        <v>4</v>
      </c>
      <c r="V151">
        <f t="shared" si="13"/>
        <v>9</v>
      </c>
      <c r="W151" s="9">
        <f t="shared" si="14"/>
        <v>0.56067309784579678</v>
      </c>
    </row>
    <row r="152" spans="1:23">
      <c r="A152">
        <v>10151</v>
      </c>
      <c r="B152" s="5">
        <v>44347</v>
      </c>
      <c r="C152" s="5">
        <v>44351</v>
      </c>
      <c r="D152" s="5">
        <v>44352</v>
      </c>
      <c r="E152" t="s">
        <v>21</v>
      </c>
      <c r="F152" t="s">
        <v>22</v>
      </c>
      <c r="G152" t="s">
        <v>27</v>
      </c>
      <c r="H152" t="s">
        <v>33</v>
      </c>
      <c r="I152" t="s">
        <v>35</v>
      </c>
      <c r="J152" t="s">
        <v>41</v>
      </c>
      <c r="K152" t="s">
        <v>50</v>
      </c>
      <c r="L152" t="s">
        <v>53</v>
      </c>
      <c r="M152" s="7">
        <v>44210</v>
      </c>
      <c r="N152">
        <v>0.03</v>
      </c>
      <c r="O152" s="7">
        <v>11032</v>
      </c>
      <c r="P152">
        <v>8</v>
      </c>
      <c r="Q152" t="s">
        <v>57</v>
      </c>
      <c r="R152" t="s">
        <v>59</v>
      </c>
      <c r="S152">
        <f t="shared" si="10"/>
        <v>2021</v>
      </c>
      <c r="T152" t="str">
        <f t="shared" si="11"/>
        <v>May</v>
      </c>
      <c r="U152">
        <f t="shared" si="12"/>
        <v>4</v>
      </c>
      <c r="V152">
        <f t="shared" si="13"/>
        <v>5</v>
      </c>
      <c r="W152" s="9">
        <f t="shared" si="14"/>
        <v>0.24953630400361909</v>
      </c>
    </row>
    <row r="153" spans="1:23">
      <c r="A153">
        <v>10152</v>
      </c>
      <c r="B153" s="5">
        <v>44348</v>
      </c>
      <c r="C153" s="5">
        <v>44353</v>
      </c>
      <c r="D153" s="5">
        <v>44355</v>
      </c>
      <c r="E153" t="s">
        <v>20</v>
      </c>
      <c r="F153" t="s">
        <v>22</v>
      </c>
      <c r="G153" t="s">
        <v>23</v>
      </c>
      <c r="H153" t="s">
        <v>30</v>
      </c>
      <c r="I153" t="s">
        <v>34</v>
      </c>
      <c r="J153" t="s">
        <v>43</v>
      </c>
      <c r="K153" t="s">
        <v>48</v>
      </c>
      <c r="L153" t="s">
        <v>52</v>
      </c>
      <c r="M153" s="7">
        <v>67532</v>
      </c>
      <c r="N153">
        <v>0.21</v>
      </c>
      <c r="O153" s="7">
        <v>2304</v>
      </c>
      <c r="P153">
        <v>12</v>
      </c>
      <c r="Q153" t="s">
        <v>54</v>
      </c>
      <c r="R153" t="s">
        <v>60</v>
      </c>
      <c r="S153">
        <f t="shared" si="10"/>
        <v>2021</v>
      </c>
      <c r="T153" t="str">
        <f t="shared" si="11"/>
        <v>Jun</v>
      </c>
      <c r="U153">
        <f t="shared" si="12"/>
        <v>5</v>
      </c>
      <c r="V153">
        <f t="shared" si="13"/>
        <v>7</v>
      </c>
      <c r="W153" s="9">
        <f t="shared" si="14"/>
        <v>3.4117159272641119E-2</v>
      </c>
    </row>
    <row r="154" spans="1:23">
      <c r="A154">
        <v>10153</v>
      </c>
      <c r="B154" s="5">
        <v>44349</v>
      </c>
      <c r="C154" s="5">
        <v>44356</v>
      </c>
      <c r="D154" s="5">
        <v>44359</v>
      </c>
      <c r="E154" t="s">
        <v>19</v>
      </c>
      <c r="F154" t="s">
        <v>22</v>
      </c>
      <c r="G154" t="s">
        <v>26</v>
      </c>
      <c r="H154" t="s">
        <v>25</v>
      </c>
      <c r="I154" t="s">
        <v>35</v>
      </c>
      <c r="J154" t="s">
        <v>38</v>
      </c>
      <c r="K154" t="s">
        <v>50</v>
      </c>
      <c r="L154" t="s">
        <v>53</v>
      </c>
      <c r="M154" s="7">
        <v>70232</v>
      </c>
      <c r="N154">
        <v>0.12</v>
      </c>
      <c r="O154" s="7">
        <v>7829</v>
      </c>
      <c r="P154">
        <v>14</v>
      </c>
      <c r="Q154" t="s">
        <v>56</v>
      </c>
      <c r="R154" t="s">
        <v>62</v>
      </c>
      <c r="S154">
        <f t="shared" si="10"/>
        <v>2021</v>
      </c>
      <c r="T154" t="str">
        <f t="shared" si="11"/>
        <v>Jun</v>
      </c>
      <c r="U154">
        <f t="shared" si="12"/>
        <v>7</v>
      </c>
      <c r="V154">
        <f t="shared" si="13"/>
        <v>10</v>
      </c>
      <c r="W154" s="9">
        <f t="shared" si="14"/>
        <v>0.11147340243763526</v>
      </c>
    </row>
    <row r="155" spans="1:23">
      <c r="A155">
        <v>10154</v>
      </c>
      <c r="B155" s="5">
        <v>44350</v>
      </c>
      <c r="C155" s="5">
        <v>44355</v>
      </c>
      <c r="D155" s="5">
        <v>44357</v>
      </c>
      <c r="E155" t="s">
        <v>18</v>
      </c>
      <c r="F155" t="s">
        <v>22</v>
      </c>
      <c r="G155" t="s">
        <v>28</v>
      </c>
      <c r="H155" t="s">
        <v>29</v>
      </c>
      <c r="I155" t="s">
        <v>35</v>
      </c>
      <c r="J155" t="s">
        <v>39</v>
      </c>
      <c r="K155" t="s">
        <v>47</v>
      </c>
      <c r="L155" t="s">
        <v>51</v>
      </c>
      <c r="M155" s="7">
        <v>51020</v>
      </c>
      <c r="N155">
        <v>0.39</v>
      </c>
      <c r="O155" s="7">
        <v>16946</v>
      </c>
      <c r="P155">
        <v>2</v>
      </c>
      <c r="Q155" t="s">
        <v>58</v>
      </c>
      <c r="R155" t="s">
        <v>61</v>
      </c>
      <c r="S155">
        <f t="shared" si="10"/>
        <v>2021</v>
      </c>
      <c r="T155" t="str">
        <f t="shared" si="11"/>
        <v>Jun</v>
      </c>
      <c r="U155">
        <f t="shared" si="12"/>
        <v>5</v>
      </c>
      <c r="V155">
        <f t="shared" si="13"/>
        <v>7</v>
      </c>
      <c r="W155" s="9">
        <f t="shared" si="14"/>
        <v>0.33214425715405721</v>
      </c>
    </row>
    <row r="156" spans="1:23">
      <c r="A156">
        <v>10155</v>
      </c>
      <c r="B156" s="5">
        <v>44351</v>
      </c>
      <c r="C156" s="5">
        <v>44358</v>
      </c>
      <c r="D156" s="5">
        <v>44363</v>
      </c>
      <c r="E156" t="s">
        <v>18</v>
      </c>
      <c r="F156" t="s">
        <v>22</v>
      </c>
      <c r="G156" t="s">
        <v>28</v>
      </c>
      <c r="H156" t="s">
        <v>31</v>
      </c>
      <c r="I156" t="s">
        <v>34</v>
      </c>
      <c r="J156" t="s">
        <v>40</v>
      </c>
      <c r="K156" t="s">
        <v>50</v>
      </c>
      <c r="L156" t="s">
        <v>53</v>
      </c>
      <c r="M156" s="7">
        <v>44659</v>
      </c>
      <c r="N156">
        <v>0.02</v>
      </c>
      <c r="O156" s="7">
        <v>11077</v>
      </c>
      <c r="P156">
        <v>22</v>
      </c>
      <c r="Q156" t="s">
        <v>54</v>
      </c>
      <c r="R156" t="s">
        <v>60</v>
      </c>
      <c r="S156">
        <f t="shared" si="10"/>
        <v>2021</v>
      </c>
      <c r="T156" t="str">
        <f t="shared" si="11"/>
        <v>Jun</v>
      </c>
      <c r="U156">
        <f t="shared" si="12"/>
        <v>7</v>
      </c>
      <c r="V156">
        <f t="shared" si="13"/>
        <v>12</v>
      </c>
      <c r="W156" s="9">
        <f t="shared" si="14"/>
        <v>0.24803511050404173</v>
      </c>
    </row>
    <row r="157" spans="1:23">
      <c r="A157">
        <v>10156</v>
      </c>
      <c r="B157" s="5">
        <v>44352</v>
      </c>
      <c r="C157" s="5">
        <v>44354</v>
      </c>
      <c r="D157" s="5">
        <v>44359</v>
      </c>
      <c r="E157" t="s">
        <v>20</v>
      </c>
      <c r="F157" t="s">
        <v>22</v>
      </c>
      <c r="G157" t="s">
        <v>28</v>
      </c>
      <c r="H157" t="s">
        <v>31</v>
      </c>
      <c r="I157" t="s">
        <v>36</v>
      </c>
      <c r="J157" t="s">
        <v>37</v>
      </c>
      <c r="K157" t="s">
        <v>45</v>
      </c>
      <c r="L157" t="s">
        <v>53</v>
      </c>
      <c r="M157" s="7">
        <v>72548</v>
      </c>
      <c r="N157">
        <v>0.22</v>
      </c>
      <c r="O157" s="7">
        <v>11389</v>
      </c>
      <c r="P157">
        <v>15</v>
      </c>
      <c r="Q157" t="s">
        <v>58</v>
      </c>
      <c r="R157" t="s">
        <v>59</v>
      </c>
      <c r="S157">
        <f t="shared" si="10"/>
        <v>2021</v>
      </c>
      <c r="T157" t="str">
        <f t="shared" si="11"/>
        <v>Jun</v>
      </c>
      <c r="U157">
        <f t="shared" si="12"/>
        <v>2</v>
      </c>
      <c r="V157">
        <f t="shared" si="13"/>
        <v>7</v>
      </c>
      <c r="W157" s="9">
        <f t="shared" si="14"/>
        <v>0.15698571979930528</v>
      </c>
    </row>
    <row r="158" spans="1:23">
      <c r="A158">
        <v>10157</v>
      </c>
      <c r="B158" s="5">
        <v>44353</v>
      </c>
      <c r="C158" s="5">
        <v>44359</v>
      </c>
      <c r="D158" s="5">
        <v>44361</v>
      </c>
      <c r="E158" t="s">
        <v>21</v>
      </c>
      <c r="F158" t="s">
        <v>22</v>
      </c>
      <c r="G158" t="s">
        <v>23</v>
      </c>
      <c r="H158" t="s">
        <v>25</v>
      </c>
      <c r="I158" t="s">
        <v>34</v>
      </c>
      <c r="J158" t="s">
        <v>43</v>
      </c>
      <c r="K158" t="s">
        <v>45</v>
      </c>
      <c r="L158" t="s">
        <v>52</v>
      </c>
      <c r="M158" s="7">
        <v>42676</v>
      </c>
      <c r="N158">
        <v>0.39</v>
      </c>
      <c r="O158" s="7">
        <v>6490</v>
      </c>
      <c r="P158">
        <v>5</v>
      </c>
      <c r="Q158" t="s">
        <v>55</v>
      </c>
      <c r="R158" t="s">
        <v>59</v>
      </c>
      <c r="S158">
        <f t="shared" si="10"/>
        <v>2021</v>
      </c>
      <c r="T158" t="str">
        <f t="shared" si="11"/>
        <v>Jun</v>
      </c>
      <c r="U158">
        <f t="shared" si="12"/>
        <v>6</v>
      </c>
      <c r="V158">
        <f t="shared" si="13"/>
        <v>8</v>
      </c>
      <c r="W158" s="9">
        <f t="shared" si="14"/>
        <v>0.15207610835129814</v>
      </c>
    </row>
    <row r="159" spans="1:23">
      <c r="A159">
        <v>10158</v>
      </c>
      <c r="B159" s="5">
        <v>44354</v>
      </c>
      <c r="C159" s="5">
        <v>44361</v>
      </c>
      <c r="D159" s="5">
        <v>44364</v>
      </c>
      <c r="E159" t="s">
        <v>18</v>
      </c>
      <c r="F159" t="s">
        <v>22</v>
      </c>
      <c r="G159" t="s">
        <v>25</v>
      </c>
      <c r="H159" t="s">
        <v>32</v>
      </c>
      <c r="I159" t="s">
        <v>35</v>
      </c>
      <c r="J159" t="s">
        <v>40</v>
      </c>
      <c r="K159" t="s">
        <v>48</v>
      </c>
      <c r="L159" t="s">
        <v>53</v>
      </c>
      <c r="M159" s="7">
        <v>62669</v>
      </c>
      <c r="N159">
        <v>0.37</v>
      </c>
      <c r="O159" s="7">
        <v>18220</v>
      </c>
      <c r="P159">
        <v>19</v>
      </c>
      <c r="Q159" t="s">
        <v>58</v>
      </c>
      <c r="R159" t="s">
        <v>60</v>
      </c>
      <c r="S159">
        <f t="shared" si="10"/>
        <v>2021</v>
      </c>
      <c r="T159" t="str">
        <f t="shared" si="11"/>
        <v>Jun</v>
      </c>
      <c r="U159">
        <f t="shared" si="12"/>
        <v>7</v>
      </c>
      <c r="V159">
        <f t="shared" si="13"/>
        <v>10</v>
      </c>
      <c r="W159" s="9">
        <f t="shared" si="14"/>
        <v>0.29073385565431076</v>
      </c>
    </row>
    <row r="160" spans="1:23">
      <c r="A160">
        <v>10159</v>
      </c>
      <c r="B160" s="5">
        <v>44355</v>
      </c>
      <c r="C160" s="5">
        <v>44357</v>
      </c>
      <c r="D160" s="5">
        <v>44358</v>
      </c>
      <c r="E160" t="s">
        <v>20</v>
      </c>
      <c r="F160" t="s">
        <v>22</v>
      </c>
      <c r="G160" t="s">
        <v>28</v>
      </c>
      <c r="H160" t="s">
        <v>29</v>
      </c>
      <c r="I160" t="s">
        <v>34</v>
      </c>
      <c r="J160" t="s">
        <v>37</v>
      </c>
      <c r="K160" t="s">
        <v>49</v>
      </c>
      <c r="L160" t="s">
        <v>51</v>
      </c>
      <c r="M160" s="7">
        <v>30843</v>
      </c>
      <c r="N160">
        <v>0.01</v>
      </c>
      <c r="O160" s="7">
        <v>17459</v>
      </c>
      <c r="P160">
        <v>2</v>
      </c>
      <c r="Q160" t="s">
        <v>55</v>
      </c>
      <c r="R160" t="s">
        <v>62</v>
      </c>
      <c r="S160">
        <f t="shared" si="10"/>
        <v>2021</v>
      </c>
      <c r="T160" t="str">
        <f t="shared" si="11"/>
        <v>Jun</v>
      </c>
      <c r="U160">
        <f t="shared" si="12"/>
        <v>2</v>
      </c>
      <c r="V160">
        <f t="shared" si="13"/>
        <v>3</v>
      </c>
      <c r="W160" s="9">
        <f t="shared" si="14"/>
        <v>0.56606037026229616</v>
      </c>
    </row>
    <row r="161" spans="1:23">
      <c r="A161">
        <v>10160</v>
      </c>
      <c r="B161" s="5">
        <v>44356</v>
      </c>
      <c r="C161" s="5">
        <v>44362</v>
      </c>
      <c r="D161" s="5">
        <v>44367</v>
      </c>
      <c r="E161" t="s">
        <v>19</v>
      </c>
      <c r="F161" t="s">
        <v>22</v>
      </c>
      <c r="G161" t="s">
        <v>25</v>
      </c>
      <c r="H161" t="s">
        <v>25</v>
      </c>
      <c r="I161" t="s">
        <v>34</v>
      </c>
      <c r="J161" t="s">
        <v>43</v>
      </c>
      <c r="K161" t="s">
        <v>48</v>
      </c>
      <c r="L161" t="s">
        <v>51</v>
      </c>
      <c r="M161" s="7">
        <v>70800</v>
      </c>
      <c r="N161">
        <v>0.14000000000000001</v>
      </c>
      <c r="O161" s="7">
        <v>-335</v>
      </c>
      <c r="P161">
        <v>5</v>
      </c>
      <c r="Q161" t="s">
        <v>57</v>
      </c>
      <c r="R161" t="s">
        <v>60</v>
      </c>
      <c r="S161">
        <f t="shared" si="10"/>
        <v>2021</v>
      </c>
      <c r="T161" t="str">
        <f t="shared" si="11"/>
        <v>Jun</v>
      </c>
      <c r="U161">
        <f t="shared" si="12"/>
        <v>6</v>
      </c>
      <c r="V161">
        <f t="shared" si="13"/>
        <v>11</v>
      </c>
      <c r="W161" s="9">
        <f t="shared" si="14"/>
        <v>-4.7316384180790963E-3</v>
      </c>
    </row>
    <row r="162" spans="1:23">
      <c r="A162">
        <v>10161</v>
      </c>
      <c r="B162" s="5">
        <v>44357</v>
      </c>
      <c r="C162" s="5">
        <v>44363</v>
      </c>
      <c r="D162" s="5">
        <v>44365</v>
      </c>
      <c r="E162" t="s">
        <v>19</v>
      </c>
      <c r="F162" t="s">
        <v>22</v>
      </c>
      <c r="G162" t="s">
        <v>26</v>
      </c>
      <c r="H162" t="s">
        <v>32</v>
      </c>
      <c r="I162" t="s">
        <v>36</v>
      </c>
      <c r="J162" t="s">
        <v>41</v>
      </c>
      <c r="K162" t="s">
        <v>49</v>
      </c>
      <c r="L162" t="s">
        <v>51</v>
      </c>
      <c r="M162" s="7">
        <v>47698</v>
      </c>
      <c r="N162">
        <v>0.16</v>
      </c>
      <c r="O162" s="7">
        <v>15731</v>
      </c>
      <c r="P162">
        <v>11</v>
      </c>
      <c r="Q162" t="s">
        <v>54</v>
      </c>
      <c r="R162" t="s">
        <v>62</v>
      </c>
      <c r="S162">
        <f t="shared" si="10"/>
        <v>2021</v>
      </c>
      <c r="T162" t="str">
        <f t="shared" si="11"/>
        <v>Jun</v>
      </c>
      <c r="U162">
        <f t="shared" si="12"/>
        <v>6</v>
      </c>
      <c r="V162">
        <f t="shared" si="13"/>
        <v>8</v>
      </c>
      <c r="W162" s="9">
        <f t="shared" si="14"/>
        <v>0.3298041846618307</v>
      </c>
    </row>
    <row r="163" spans="1:23">
      <c r="A163">
        <v>10162</v>
      </c>
      <c r="B163" s="5">
        <v>44358</v>
      </c>
      <c r="C163" s="5">
        <v>44364</v>
      </c>
      <c r="D163" s="5">
        <v>44367</v>
      </c>
      <c r="E163" t="s">
        <v>20</v>
      </c>
      <c r="F163" t="s">
        <v>22</v>
      </c>
      <c r="G163" t="s">
        <v>23</v>
      </c>
      <c r="H163" t="s">
        <v>31</v>
      </c>
      <c r="I163" t="s">
        <v>34</v>
      </c>
      <c r="J163" t="s">
        <v>37</v>
      </c>
      <c r="K163" t="s">
        <v>47</v>
      </c>
      <c r="L163" t="s">
        <v>53</v>
      </c>
      <c r="M163" s="7">
        <v>35432</v>
      </c>
      <c r="N163">
        <v>0.08</v>
      </c>
      <c r="O163" s="7">
        <v>17316</v>
      </c>
      <c r="P163">
        <v>11</v>
      </c>
      <c r="Q163" t="s">
        <v>58</v>
      </c>
      <c r="R163" t="s">
        <v>59</v>
      </c>
      <c r="S163">
        <f t="shared" si="10"/>
        <v>2021</v>
      </c>
      <c r="T163" t="str">
        <f t="shared" si="11"/>
        <v>Jun</v>
      </c>
      <c r="U163">
        <f t="shared" si="12"/>
        <v>6</v>
      </c>
      <c r="V163">
        <f t="shared" si="13"/>
        <v>9</v>
      </c>
      <c r="W163" s="9">
        <f t="shared" si="14"/>
        <v>0.48871076992549106</v>
      </c>
    </row>
    <row r="164" spans="1:23">
      <c r="A164">
        <v>10163</v>
      </c>
      <c r="B164" s="5">
        <v>44359</v>
      </c>
      <c r="C164" s="5">
        <v>44362</v>
      </c>
      <c r="D164" s="5">
        <v>44364</v>
      </c>
      <c r="E164" t="s">
        <v>20</v>
      </c>
      <c r="F164" t="s">
        <v>22</v>
      </c>
      <c r="G164" t="s">
        <v>23</v>
      </c>
      <c r="H164" t="s">
        <v>31</v>
      </c>
      <c r="I164" t="s">
        <v>35</v>
      </c>
      <c r="J164" t="s">
        <v>38</v>
      </c>
      <c r="K164" t="s">
        <v>49</v>
      </c>
      <c r="L164" t="s">
        <v>51</v>
      </c>
      <c r="M164" s="7">
        <v>12708</v>
      </c>
      <c r="N164">
        <v>0.17</v>
      </c>
      <c r="O164" s="7">
        <v>2807</v>
      </c>
      <c r="P164">
        <v>20</v>
      </c>
      <c r="Q164" t="s">
        <v>57</v>
      </c>
      <c r="R164" t="s">
        <v>61</v>
      </c>
      <c r="S164">
        <f t="shared" si="10"/>
        <v>2021</v>
      </c>
      <c r="T164" t="str">
        <f t="shared" si="11"/>
        <v>Jun</v>
      </c>
      <c r="U164">
        <f t="shared" si="12"/>
        <v>3</v>
      </c>
      <c r="V164">
        <f t="shared" si="13"/>
        <v>5</v>
      </c>
      <c r="W164" s="9">
        <f t="shared" si="14"/>
        <v>0.22088448221592696</v>
      </c>
    </row>
    <row r="165" spans="1:23">
      <c r="A165">
        <v>10164</v>
      </c>
      <c r="B165" s="5">
        <v>44360</v>
      </c>
      <c r="C165" s="5">
        <v>44362</v>
      </c>
      <c r="D165" s="5">
        <v>44364</v>
      </c>
      <c r="E165" t="s">
        <v>20</v>
      </c>
      <c r="F165" t="s">
        <v>22</v>
      </c>
      <c r="G165" t="s">
        <v>25</v>
      </c>
      <c r="H165" t="s">
        <v>30</v>
      </c>
      <c r="I165" t="s">
        <v>35</v>
      </c>
      <c r="J165" t="s">
        <v>37</v>
      </c>
      <c r="K165" t="s">
        <v>49</v>
      </c>
      <c r="L165" t="s">
        <v>53</v>
      </c>
      <c r="M165" s="7">
        <v>37691</v>
      </c>
      <c r="N165">
        <v>0.12</v>
      </c>
      <c r="O165" s="7">
        <v>327</v>
      </c>
      <c r="P165">
        <v>7</v>
      </c>
      <c r="Q165" t="s">
        <v>57</v>
      </c>
      <c r="R165" t="s">
        <v>59</v>
      </c>
      <c r="S165">
        <f t="shared" si="10"/>
        <v>2021</v>
      </c>
      <c r="T165" t="str">
        <f t="shared" si="11"/>
        <v>Jun</v>
      </c>
      <c r="U165">
        <f t="shared" si="12"/>
        <v>2</v>
      </c>
      <c r="V165">
        <f t="shared" si="13"/>
        <v>4</v>
      </c>
      <c r="W165" s="9">
        <f t="shared" si="14"/>
        <v>8.6758112016131171E-3</v>
      </c>
    </row>
    <row r="166" spans="1:23">
      <c r="A166">
        <v>10165</v>
      </c>
      <c r="B166" s="5">
        <v>44361</v>
      </c>
      <c r="C166" s="5">
        <v>44367</v>
      </c>
      <c r="D166" s="5">
        <v>44372</v>
      </c>
      <c r="E166" t="s">
        <v>21</v>
      </c>
      <c r="F166" t="s">
        <v>22</v>
      </c>
      <c r="G166" t="s">
        <v>25</v>
      </c>
      <c r="H166" t="s">
        <v>29</v>
      </c>
      <c r="I166" t="s">
        <v>34</v>
      </c>
      <c r="J166" t="s">
        <v>38</v>
      </c>
      <c r="K166" t="s">
        <v>47</v>
      </c>
      <c r="L166" t="s">
        <v>52</v>
      </c>
      <c r="M166" s="7">
        <v>907</v>
      </c>
      <c r="N166">
        <v>0.05</v>
      </c>
      <c r="O166" s="7">
        <v>175</v>
      </c>
      <c r="P166">
        <v>17</v>
      </c>
      <c r="Q166" t="s">
        <v>56</v>
      </c>
      <c r="R166" t="s">
        <v>59</v>
      </c>
      <c r="S166">
        <f t="shared" si="10"/>
        <v>2021</v>
      </c>
      <c r="T166" t="str">
        <f t="shared" si="11"/>
        <v>Jun</v>
      </c>
      <c r="U166">
        <f t="shared" si="12"/>
        <v>6</v>
      </c>
      <c r="V166">
        <f t="shared" si="13"/>
        <v>11</v>
      </c>
      <c r="W166" s="9">
        <f t="shared" si="14"/>
        <v>0.19294377067254687</v>
      </c>
    </row>
    <row r="167" spans="1:23">
      <c r="A167">
        <v>10166</v>
      </c>
      <c r="B167" s="5">
        <v>44362</v>
      </c>
      <c r="C167" s="5">
        <v>44366</v>
      </c>
      <c r="D167" s="5">
        <v>44367</v>
      </c>
      <c r="E167" t="s">
        <v>19</v>
      </c>
      <c r="F167" t="s">
        <v>22</v>
      </c>
      <c r="G167" t="s">
        <v>23</v>
      </c>
      <c r="H167" t="s">
        <v>33</v>
      </c>
      <c r="I167" t="s">
        <v>36</v>
      </c>
      <c r="J167" t="s">
        <v>40</v>
      </c>
      <c r="K167" t="s">
        <v>46</v>
      </c>
      <c r="L167" t="s">
        <v>52</v>
      </c>
      <c r="M167" s="7">
        <v>71183</v>
      </c>
      <c r="N167">
        <v>0.36</v>
      </c>
      <c r="O167" s="7">
        <v>12696</v>
      </c>
      <c r="P167">
        <v>3</v>
      </c>
      <c r="Q167" t="s">
        <v>58</v>
      </c>
      <c r="R167" t="s">
        <v>62</v>
      </c>
      <c r="S167">
        <f t="shared" si="10"/>
        <v>2021</v>
      </c>
      <c r="T167" t="str">
        <f t="shared" si="11"/>
        <v>Jun</v>
      </c>
      <c r="U167">
        <f t="shared" si="12"/>
        <v>4</v>
      </c>
      <c r="V167">
        <f t="shared" si="13"/>
        <v>5</v>
      </c>
      <c r="W167" s="9">
        <f t="shared" si="14"/>
        <v>0.17835719202618602</v>
      </c>
    </row>
    <row r="168" spans="1:23">
      <c r="A168">
        <v>10167</v>
      </c>
      <c r="B168" s="5">
        <v>44363</v>
      </c>
      <c r="C168" s="5">
        <v>44365</v>
      </c>
      <c r="D168" s="5">
        <v>44368</v>
      </c>
      <c r="E168" t="s">
        <v>19</v>
      </c>
      <c r="F168" t="s">
        <v>22</v>
      </c>
      <c r="G168" t="s">
        <v>26</v>
      </c>
      <c r="H168" t="s">
        <v>30</v>
      </c>
      <c r="I168" t="s">
        <v>34</v>
      </c>
      <c r="J168" t="s">
        <v>37</v>
      </c>
      <c r="K168" t="s">
        <v>47</v>
      </c>
      <c r="L168" t="s">
        <v>53</v>
      </c>
      <c r="M168" s="7">
        <v>50313</v>
      </c>
      <c r="N168">
        <v>0.21</v>
      </c>
      <c r="O168" s="7">
        <v>12339</v>
      </c>
      <c r="P168">
        <v>15</v>
      </c>
      <c r="Q168" t="s">
        <v>54</v>
      </c>
      <c r="R168" t="s">
        <v>61</v>
      </c>
      <c r="S168">
        <f t="shared" si="10"/>
        <v>2021</v>
      </c>
      <c r="T168" t="str">
        <f t="shared" si="11"/>
        <v>Jun</v>
      </c>
      <c r="U168">
        <f t="shared" si="12"/>
        <v>2</v>
      </c>
      <c r="V168">
        <f t="shared" si="13"/>
        <v>5</v>
      </c>
      <c r="W168" s="9">
        <f t="shared" si="14"/>
        <v>0.24524476775386084</v>
      </c>
    </row>
    <row r="169" spans="1:23">
      <c r="A169">
        <v>10168</v>
      </c>
      <c r="B169" s="5">
        <v>44364</v>
      </c>
      <c r="C169" s="5">
        <v>44369</v>
      </c>
      <c r="D169" s="5">
        <v>44371</v>
      </c>
      <c r="E169" t="s">
        <v>21</v>
      </c>
      <c r="F169" t="s">
        <v>22</v>
      </c>
      <c r="G169" t="s">
        <v>27</v>
      </c>
      <c r="H169" t="s">
        <v>32</v>
      </c>
      <c r="I169" t="s">
        <v>35</v>
      </c>
      <c r="J169" t="s">
        <v>37</v>
      </c>
      <c r="K169" t="s">
        <v>48</v>
      </c>
      <c r="L169" t="s">
        <v>53</v>
      </c>
      <c r="M169" s="7">
        <v>60301</v>
      </c>
      <c r="N169">
        <v>0.17</v>
      </c>
      <c r="O169" s="7">
        <v>6197</v>
      </c>
      <c r="P169">
        <v>24</v>
      </c>
      <c r="Q169" t="s">
        <v>55</v>
      </c>
      <c r="R169" t="s">
        <v>61</v>
      </c>
      <c r="S169">
        <f t="shared" si="10"/>
        <v>2021</v>
      </c>
      <c r="T169" t="str">
        <f t="shared" si="11"/>
        <v>Jun</v>
      </c>
      <c r="U169">
        <f t="shared" si="12"/>
        <v>5</v>
      </c>
      <c r="V169">
        <f t="shared" si="13"/>
        <v>7</v>
      </c>
      <c r="W169" s="9">
        <f t="shared" si="14"/>
        <v>0.10276778162882871</v>
      </c>
    </row>
    <row r="170" spans="1:23">
      <c r="A170">
        <v>10169</v>
      </c>
      <c r="B170" s="5">
        <v>44365</v>
      </c>
      <c r="C170" s="5">
        <v>44369</v>
      </c>
      <c r="D170" s="5">
        <v>44373</v>
      </c>
      <c r="E170" t="s">
        <v>21</v>
      </c>
      <c r="F170" t="s">
        <v>22</v>
      </c>
      <c r="G170" t="s">
        <v>27</v>
      </c>
      <c r="H170" t="s">
        <v>32</v>
      </c>
      <c r="I170" t="s">
        <v>34</v>
      </c>
      <c r="J170" t="s">
        <v>37</v>
      </c>
      <c r="K170" t="s">
        <v>49</v>
      </c>
      <c r="L170" t="s">
        <v>53</v>
      </c>
      <c r="M170" s="7">
        <v>31558</v>
      </c>
      <c r="N170">
        <v>0.35</v>
      </c>
      <c r="O170" s="7">
        <v>595</v>
      </c>
      <c r="P170">
        <v>2</v>
      </c>
      <c r="Q170" t="s">
        <v>55</v>
      </c>
      <c r="R170" t="s">
        <v>61</v>
      </c>
      <c r="S170">
        <f t="shared" si="10"/>
        <v>2021</v>
      </c>
      <c r="T170" t="str">
        <f t="shared" si="11"/>
        <v>Jun</v>
      </c>
      <c r="U170">
        <f t="shared" si="12"/>
        <v>4</v>
      </c>
      <c r="V170">
        <f t="shared" si="13"/>
        <v>8</v>
      </c>
      <c r="W170" s="9">
        <f t="shared" si="14"/>
        <v>1.8854173268267951E-2</v>
      </c>
    </row>
    <row r="171" spans="1:23">
      <c r="A171">
        <v>10170</v>
      </c>
      <c r="B171" s="5">
        <v>44366</v>
      </c>
      <c r="C171" s="5">
        <v>44372</v>
      </c>
      <c r="D171" s="5">
        <v>44374</v>
      </c>
      <c r="E171" t="s">
        <v>21</v>
      </c>
      <c r="F171" t="s">
        <v>22</v>
      </c>
      <c r="G171" t="s">
        <v>24</v>
      </c>
      <c r="H171" t="s">
        <v>33</v>
      </c>
      <c r="I171" t="s">
        <v>35</v>
      </c>
      <c r="J171" t="s">
        <v>40</v>
      </c>
      <c r="K171" t="s">
        <v>48</v>
      </c>
      <c r="L171" t="s">
        <v>51</v>
      </c>
      <c r="M171" s="7">
        <v>59372</v>
      </c>
      <c r="N171">
        <v>0.14000000000000001</v>
      </c>
      <c r="O171" s="7">
        <v>11820</v>
      </c>
      <c r="P171">
        <v>10</v>
      </c>
      <c r="Q171" t="s">
        <v>56</v>
      </c>
      <c r="R171" t="s">
        <v>61</v>
      </c>
      <c r="S171">
        <f t="shared" si="10"/>
        <v>2021</v>
      </c>
      <c r="T171" t="str">
        <f t="shared" si="11"/>
        <v>Jun</v>
      </c>
      <c r="U171">
        <f t="shared" si="12"/>
        <v>6</v>
      </c>
      <c r="V171">
        <f t="shared" si="13"/>
        <v>8</v>
      </c>
      <c r="W171" s="9">
        <f t="shared" si="14"/>
        <v>0.1990837431786027</v>
      </c>
    </row>
    <row r="172" spans="1:23">
      <c r="A172">
        <v>10171</v>
      </c>
      <c r="B172" s="5">
        <v>44367</v>
      </c>
      <c r="C172" s="5">
        <v>44370</v>
      </c>
      <c r="D172" s="5">
        <v>44374</v>
      </c>
      <c r="E172" t="s">
        <v>19</v>
      </c>
      <c r="F172" t="s">
        <v>22</v>
      </c>
      <c r="G172" t="s">
        <v>28</v>
      </c>
      <c r="H172" t="s">
        <v>30</v>
      </c>
      <c r="I172" t="s">
        <v>36</v>
      </c>
      <c r="J172" t="s">
        <v>40</v>
      </c>
      <c r="K172" t="s">
        <v>47</v>
      </c>
      <c r="L172" t="s">
        <v>51</v>
      </c>
      <c r="M172" s="7">
        <v>43196</v>
      </c>
      <c r="N172">
        <v>0.33</v>
      </c>
      <c r="O172" s="7">
        <v>9932</v>
      </c>
      <c r="P172">
        <v>6</v>
      </c>
      <c r="Q172" t="s">
        <v>58</v>
      </c>
      <c r="R172" t="s">
        <v>61</v>
      </c>
      <c r="S172">
        <f t="shared" si="10"/>
        <v>2021</v>
      </c>
      <c r="T172" t="str">
        <f t="shared" si="11"/>
        <v>Jun</v>
      </c>
      <c r="U172">
        <f t="shared" si="12"/>
        <v>3</v>
      </c>
      <c r="V172">
        <f t="shared" si="13"/>
        <v>7</v>
      </c>
      <c r="W172" s="9">
        <f t="shared" si="14"/>
        <v>0.22992869710158348</v>
      </c>
    </row>
    <row r="173" spans="1:23">
      <c r="A173">
        <v>10172</v>
      </c>
      <c r="B173" s="5">
        <v>44368</v>
      </c>
      <c r="C173" s="5">
        <v>44370</v>
      </c>
      <c r="D173" s="5">
        <v>44373</v>
      </c>
      <c r="E173" t="s">
        <v>21</v>
      </c>
      <c r="F173" t="s">
        <v>22</v>
      </c>
      <c r="G173" t="s">
        <v>25</v>
      </c>
      <c r="H173" t="s">
        <v>33</v>
      </c>
      <c r="I173" t="s">
        <v>36</v>
      </c>
      <c r="J173" t="s">
        <v>39</v>
      </c>
      <c r="K173" t="s">
        <v>44</v>
      </c>
      <c r="L173" t="s">
        <v>52</v>
      </c>
      <c r="M173" s="7">
        <v>55694</v>
      </c>
      <c r="N173">
        <v>0.21</v>
      </c>
      <c r="O173" s="7">
        <v>18901</v>
      </c>
      <c r="P173">
        <v>12</v>
      </c>
      <c r="Q173" t="s">
        <v>57</v>
      </c>
      <c r="R173" t="s">
        <v>59</v>
      </c>
      <c r="S173">
        <f t="shared" si="10"/>
        <v>2021</v>
      </c>
      <c r="T173" t="str">
        <f t="shared" si="11"/>
        <v>Jun</v>
      </c>
      <c r="U173">
        <f t="shared" si="12"/>
        <v>2</v>
      </c>
      <c r="V173">
        <f t="shared" si="13"/>
        <v>5</v>
      </c>
      <c r="W173" s="9">
        <f t="shared" si="14"/>
        <v>0.33937228426760513</v>
      </c>
    </row>
    <row r="174" spans="1:23">
      <c r="A174">
        <v>10173</v>
      </c>
      <c r="B174" s="5">
        <v>44369</v>
      </c>
      <c r="C174" s="5">
        <v>44371</v>
      </c>
      <c r="D174" s="5">
        <v>44375</v>
      </c>
      <c r="E174" t="s">
        <v>19</v>
      </c>
      <c r="F174" t="s">
        <v>22</v>
      </c>
      <c r="G174" t="s">
        <v>28</v>
      </c>
      <c r="H174" t="s">
        <v>29</v>
      </c>
      <c r="I174" t="s">
        <v>35</v>
      </c>
      <c r="J174" t="s">
        <v>41</v>
      </c>
      <c r="K174" t="s">
        <v>45</v>
      </c>
      <c r="L174" t="s">
        <v>53</v>
      </c>
      <c r="M174" s="7">
        <v>56224</v>
      </c>
      <c r="N174">
        <v>0.06</v>
      </c>
      <c r="O174" s="7">
        <v>2430</v>
      </c>
      <c r="P174">
        <v>23</v>
      </c>
      <c r="Q174" t="s">
        <v>54</v>
      </c>
      <c r="R174" t="s">
        <v>62</v>
      </c>
      <c r="S174">
        <f t="shared" si="10"/>
        <v>2021</v>
      </c>
      <c r="T174" t="str">
        <f t="shared" si="11"/>
        <v>Jun</v>
      </c>
      <c r="U174">
        <f t="shared" si="12"/>
        <v>2</v>
      </c>
      <c r="V174">
        <f t="shared" si="13"/>
        <v>6</v>
      </c>
      <c r="W174" s="9">
        <f t="shared" si="14"/>
        <v>4.3219977233921458E-2</v>
      </c>
    </row>
    <row r="175" spans="1:23">
      <c r="A175">
        <v>10174</v>
      </c>
      <c r="B175" s="5">
        <v>44370</v>
      </c>
      <c r="C175" s="5">
        <v>44375</v>
      </c>
      <c r="D175" s="5">
        <v>44379</v>
      </c>
      <c r="E175" t="s">
        <v>21</v>
      </c>
      <c r="F175" t="s">
        <v>22</v>
      </c>
      <c r="G175" t="s">
        <v>28</v>
      </c>
      <c r="H175" t="s">
        <v>31</v>
      </c>
      <c r="I175" t="s">
        <v>34</v>
      </c>
      <c r="J175" t="s">
        <v>43</v>
      </c>
      <c r="K175" t="s">
        <v>44</v>
      </c>
      <c r="L175" t="s">
        <v>53</v>
      </c>
      <c r="M175" s="7">
        <v>3400</v>
      </c>
      <c r="N175">
        <v>0.27</v>
      </c>
      <c r="O175" s="7">
        <v>16014</v>
      </c>
      <c r="P175">
        <v>2</v>
      </c>
      <c r="Q175" t="s">
        <v>58</v>
      </c>
      <c r="R175" t="s">
        <v>61</v>
      </c>
      <c r="S175">
        <f t="shared" si="10"/>
        <v>2021</v>
      </c>
      <c r="T175" t="str">
        <f t="shared" si="11"/>
        <v>Jun</v>
      </c>
      <c r="U175">
        <f t="shared" si="12"/>
        <v>5</v>
      </c>
      <c r="V175">
        <f t="shared" si="13"/>
        <v>9</v>
      </c>
      <c r="W175" s="9">
        <f t="shared" si="14"/>
        <v>4.71</v>
      </c>
    </row>
    <row r="176" spans="1:23">
      <c r="A176">
        <v>10175</v>
      </c>
      <c r="B176" s="5">
        <v>44371</v>
      </c>
      <c r="C176" s="5">
        <v>44373</v>
      </c>
      <c r="D176" s="5">
        <v>44376</v>
      </c>
      <c r="E176" t="s">
        <v>18</v>
      </c>
      <c r="F176" t="s">
        <v>22</v>
      </c>
      <c r="G176" t="s">
        <v>27</v>
      </c>
      <c r="H176" t="s">
        <v>30</v>
      </c>
      <c r="I176" t="s">
        <v>35</v>
      </c>
      <c r="J176" t="s">
        <v>43</v>
      </c>
      <c r="K176" t="s">
        <v>45</v>
      </c>
      <c r="L176" t="s">
        <v>52</v>
      </c>
      <c r="M176" s="7">
        <v>8616</v>
      </c>
      <c r="N176">
        <v>0.16</v>
      </c>
      <c r="O176" s="7">
        <v>1992</v>
      </c>
      <c r="P176">
        <v>22</v>
      </c>
      <c r="Q176" t="s">
        <v>57</v>
      </c>
      <c r="R176" t="s">
        <v>61</v>
      </c>
      <c r="S176">
        <f t="shared" si="10"/>
        <v>2021</v>
      </c>
      <c r="T176" t="str">
        <f t="shared" si="11"/>
        <v>Jun</v>
      </c>
      <c r="U176">
        <f t="shared" si="12"/>
        <v>2</v>
      </c>
      <c r="V176">
        <f t="shared" si="13"/>
        <v>5</v>
      </c>
      <c r="W176" s="9">
        <f t="shared" si="14"/>
        <v>0.23119777158774374</v>
      </c>
    </row>
    <row r="177" spans="1:23">
      <c r="A177">
        <v>10176</v>
      </c>
      <c r="B177" s="5">
        <v>44372</v>
      </c>
      <c r="C177" s="5">
        <v>44374</v>
      </c>
      <c r="D177" s="5">
        <v>44376</v>
      </c>
      <c r="E177" t="s">
        <v>21</v>
      </c>
      <c r="F177" t="s">
        <v>22</v>
      </c>
      <c r="G177" t="s">
        <v>25</v>
      </c>
      <c r="H177" t="s">
        <v>25</v>
      </c>
      <c r="I177" t="s">
        <v>35</v>
      </c>
      <c r="J177" t="s">
        <v>40</v>
      </c>
      <c r="K177" t="s">
        <v>44</v>
      </c>
      <c r="L177" t="s">
        <v>53</v>
      </c>
      <c r="M177" s="7">
        <v>52012</v>
      </c>
      <c r="N177">
        <v>0.12</v>
      </c>
      <c r="O177" s="7">
        <v>18246</v>
      </c>
      <c r="P177">
        <v>11</v>
      </c>
      <c r="Q177" t="s">
        <v>58</v>
      </c>
      <c r="R177" t="s">
        <v>60</v>
      </c>
      <c r="S177">
        <f t="shared" si="10"/>
        <v>2021</v>
      </c>
      <c r="T177" t="str">
        <f t="shared" si="11"/>
        <v>Jun</v>
      </c>
      <c r="U177">
        <f t="shared" si="12"/>
        <v>2</v>
      </c>
      <c r="V177">
        <f t="shared" si="13"/>
        <v>4</v>
      </c>
      <c r="W177" s="9">
        <f t="shared" si="14"/>
        <v>0.35080366069368607</v>
      </c>
    </row>
    <row r="178" spans="1:23">
      <c r="A178">
        <v>10177</v>
      </c>
      <c r="B178" s="5">
        <v>44373</v>
      </c>
      <c r="C178" s="5">
        <v>44380</v>
      </c>
      <c r="D178" s="5">
        <v>44385</v>
      </c>
      <c r="E178" t="s">
        <v>21</v>
      </c>
      <c r="F178" t="s">
        <v>22</v>
      </c>
      <c r="G178" t="s">
        <v>26</v>
      </c>
      <c r="H178" t="s">
        <v>29</v>
      </c>
      <c r="I178" t="s">
        <v>36</v>
      </c>
      <c r="J178" t="s">
        <v>41</v>
      </c>
      <c r="K178" t="s">
        <v>46</v>
      </c>
      <c r="L178" t="s">
        <v>53</v>
      </c>
      <c r="M178" s="7">
        <v>24362</v>
      </c>
      <c r="N178">
        <v>0.26</v>
      </c>
      <c r="O178" s="7">
        <v>18171</v>
      </c>
      <c r="P178">
        <v>16</v>
      </c>
      <c r="Q178" t="s">
        <v>57</v>
      </c>
      <c r="R178" t="s">
        <v>62</v>
      </c>
      <c r="S178">
        <f t="shared" si="10"/>
        <v>2021</v>
      </c>
      <c r="T178" t="str">
        <f t="shared" si="11"/>
        <v>Jun</v>
      </c>
      <c r="U178">
        <f t="shared" si="12"/>
        <v>7</v>
      </c>
      <c r="V178">
        <f t="shared" si="13"/>
        <v>12</v>
      </c>
      <c r="W178" s="9">
        <f t="shared" si="14"/>
        <v>0.74587472292915191</v>
      </c>
    </row>
    <row r="179" spans="1:23">
      <c r="A179">
        <v>10178</v>
      </c>
      <c r="B179" s="5">
        <v>44374</v>
      </c>
      <c r="C179" s="5">
        <v>44379</v>
      </c>
      <c r="D179" s="5">
        <v>44380</v>
      </c>
      <c r="E179" t="s">
        <v>19</v>
      </c>
      <c r="F179" t="s">
        <v>22</v>
      </c>
      <c r="G179" t="s">
        <v>25</v>
      </c>
      <c r="H179" t="s">
        <v>32</v>
      </c>
      <c r="I179" t="s">
        <v>34</v>
      </c>
      <c r="J179" t="s">
        <v>39</v>
      </c>
      <c r="K179" t="s">
        <v>50</v>
      </c>
      <c r="L179" t="s">
        <v>52</v>
      </c>
      <c r="M179" s="7">
        <v>40435</v>
      </c>
      <c r="N179">
        <v>0.28999999999999998</v>
      </c>
      <c r="O179" s="7">
        <v>13134</v>
      </c>
      <c r="P179">
        <v>13</v>
      </c>
      <c r="Q179" t="s">
        <v>56</v>
      </c>
      <c r="R179" t="s">
        <v>60</v>
      </c>
      <c r="S179">
        <f t="shared" si="10"/>
        <v>2021</v>
      </c>
      <c r="T179" t="str">
        <f t="shared" si="11"/>
        <v>Jun</v>
      </c>
      <c r="U179">
        <f t="shared" si="12"/>
        <v>5</v>
      </c>
      <c r="V179">
        <f t="shared" si="13"/>
        <v>6</v>
      </c>
      <c r="W179" s="9">
        <f t="shared" si="14"/>
        <v>0.32481760850748115</v>
      </c>
    </row>
    <row r="180" spans="1:23">
      <c r="A180">
        <v>10179</v>
      </c>
      <c r="B180" s="5">
        <v>44375</v>
      </c>
      <c r="C180" s="5">
        <v>44380</v>
      </c>
      <c r="D180" s="5">
        <v>44382</v>
      </c>
      <c r="E180" t="s">
        <v>20</v>
      </c>
      <c r="F180" t="s">
        <v>22</v>
      </c>
      <c r="G180" t="s">
        <v>24</v>
      </c>
      <c r="H180" t="s">
        <v>31</v>
      </c>
      <c r="I180" t="s">
        <v>36</v>
      </c>
      <c r="J180" t="s">
        <v>39</v>
      </c>
      <c r="K180" t="s">
        <v>47</v>
      </c>
      <c r="L180" t="s">
        <v>53</v>
      </c>
      <c r="M180" s="7">
        <v>5042</v>
      </c>
      <c r="N180">
        <v>0.01</v>
      </c>
      <c r="O180" s="7">
        <v>1250</v>
      </c>
      <c r="P180">
        <v>6</v>
      </c>
      <c r="Q180" t="s">
        <v>56</v>
      </c>
      <c r="R180" t="s">
        <v>60</v>
      </c>
      <c r="S180">
        <f t="shared" si="10"/>
        <v>2021</v>
      </c>
      <c r="T180" t="str">
        <f t="shared" si="11"/>
        <v>Jun</v>
      </c>
      <c r="U180">
        <f t="shared" si="12"/>
        <v>5</v>
      </c>
      <c r="V180">
        <f t="shared" si="13"/>
        <v>7</v>
      </c>
      <c r="W180" s="9">
        <f t="shared" si="14"/>
        <v>0.24791749305831021</v>
      </c>
    </row>
    <row r="181" spans="1:23">
      <c r="A181">
        <v>10180</v>
      </c>
      <c r="B181" s="5">
        <v>44376</v>
      </c>
      <c r="C181" s="5">
        <v>44382</v>
      </c>
      <c r="D181" s="5">
        <v>44386</v>
      </c>
      <c r="E181" t="s">
        <v>20</v>
      </c>
      <c r="F181" t="s">
        <v>22</v>
      </c>
      <c r="G181" t="s">
        <v>27</v>
      </c>
      <c r="H181" t="s">
        <v>30</v>
      </c>
      <c r="I181" t="s">
        <v>35</v>
      </c>
      <c r="J181" t="s">
        <v>40</v>
      </c>
      <c r="K181" t="s">
        <v>44</v>
      </c>
      <c r="L181" t="s">
        <v>53</v>
      </c>
      <c r="M181" s="7">
        <v>71432</v>
      </c>
      <c r="N181">
        <v>0.18</v>
      </c>
      <c r="O181" s="7">
        <v>19179</v>
      </c>
      <c r="P181">
        <v>9</v>
      </c>
      <c r="Q181" t="s">
        <v>56</v>
      </c>
      <c r="R181" t="s">
        <v>62</v>
      </c>
      <c r="S181">
        <f t="shared" si="10"/>
        <v>2021</v>
      </c>
      <c r="T181" t="str">
        <f t="shared" si="11"/>
        <v>Jun</v>
      </c>
      <c r="U181">
        <f t="shared" si="12"/>
        <v>6</v>
      </c>
      <c r="V181">
        <f t="shared" si="13"/>
        <v>10</v>
      </c>
      <c r="W181" s="9">
        <f t="shared" si="14"/>
        <v>0.26849311233060813</v>
      </c>
    </row>
    <row r="182" spans="1:23">
      <c r="A182">
        <v>10181</v>
      </c>
      <c r="B182" s="5">
        <v>44377</v>
      </c>
      <c r="C182" s="5">
        <v>44383</v>
      </c>
      <c r="D182" s="5">
        <v>44387</v>
      </c>
      <c r="E182" t="s">
        <v>21</v>
      </c>
      <c r="F182" t="s">
        <v>22</v>
      </c>
      <c r="G182" t="s">
        <v>27</v>
      </c>
      <c r="H182" t="s">
        <v>30</v>
      </c>
      <c r="I182" t="s">
        <v>34</v>
      </c>
      <c r="J182" t="s">
        <v>43</v>
      </c>
      <c r="K182" t="s">
        <v>45</v>
      </c>
      <c r="L182" t="s">
        <v>53</v>
      </c>
      <c r="M182" s="7">
        <v>40533</v>
      </c>
      <c r="N182">
        <v>0.36</v>
      </c>
      <c r="O182" s="7">
        <v>19067</v>
      </c>
      <c r="P182">
        <v>24</v>
      </c>
      <c r="Q182" t="s">
        <v>55</v>
      </c>
      <c r="R182" t="s">
        <v>60</v>
      </c>
      <c r="S182">
        <f t="shared" si="10"/>
        <v>2021</v>
      </c>
      <c r="T182" t="str">
        <f t="shared" si="11"/>
        <v>Jun</v>
      </c>
      <c r="U182">
        <f t="shared" si="12"/>
        <v>6</v>
      </c>
      <c r="V182">
        <f t="shared" si="13"/>
        <v>10</v>
      </c>
      <c r="W182" s="9">
        <f t="shared" si="14"/>
        <v>0.47040682900352798</v>
      </c>
    </row>
    <row r="183" spans="1:23">
      <c r="A183">
        <v>10182</v>
      </c>
      <c r="B183" s="5">
        <v>44378</v>
      </c>
      <c r="C183" s="5">
        <v>44381</v>
      </c>
      <c r="D183" s="5">
        <v>44383</v>
      </c>
      <c r="E183" t="s">
        <v>21</v>
      </c>
      <c r="F183" t="s">
        <v>22</v>
      </c>
      <c r="G183" t="s">
        <v>23</v>
      </c>
      <c r="H183" t="s">
        <v>32</v>
      </c>
      <c r="I183" t="s">
        <v>34</v>
      </c>
      <c r="J183" t="s">
        <v>38</v>
      </c>
      <c r="K183" t="s">
        <v>45</v>
      </c>
      <c r="L183" t="s">
        <v>52</v>
      </c>
      <c r="M183" s="7">
        <v>59844</v>
      </c>
      <c r="N183">
        <v>0.4</v>
      </c>
      <c r="O183" s="7">
        <v>-1048</v>
      </c>
      <c r="P183">
        <v>11</v>
      </c>
      <c r="Q183" t="s">
        <v>54</v>
      </c>
      <c r="R183" t="s">
        <v>62</v>
      </c>
      <c r="S183">
        <f t="shared" si="10"/>
        <v>2021</v>
      </c>
      <c r="T183" t="str">
        <f t="shared" si="11"/>
        <v>Jul</v>
      </c>
      <c r="U183">
        <f t="shared" si="12"/>
        <v>3</v>
      </c>
      <c r="V183">
        <f t="shared" si="13"/>
        <v>5</v>
      </c>
      <c r="W183" s="9">
        <f t="shared" si="14"/>
        <v>-1.7512198382461066E-2</v>
      </c>
    </row>
    <row r="184" spans="1:23">
      <c r="A184">
        <v>10183</v>
      </c>
      <c r="B184" s="5">
        <v>44379</v>
      </c>
      <c r="C184" s="5">
        <v>44381</v>
      </c>
      <c r="D184" s="5">
        <v>44386</v>
      </c>
      <c r="E184" t="s">
        <v>20</v>
      </c>
      <c r="F184" t="s">
        <v>22</v>
      </c>
      <c r="G184" t="s">
        <v>28</v>
      </c>
      <c r="H184" t="s">
        <v>31</v>
      </c>
      <c r="I184" t="s">
        <v>34</v>
      </c>
      <c r="J184" t="s">
        <v>38</v>
      </c>
      <c r="K184" t="s">
        <v>48</v>
      </c>
      <c r="L184" t="s">
        <v>53</v>
      </c>
      <c r="M184" s="7">
        <v>58491</v>
      </c>
      <c r="N184">
        <v>0.22</v>
      </c>
      <c r="O184" s="7">
        <v>989</v>
      </c>
      <c r="P184">
        <v>19</v>
      </c>
      <c r="Q184" t="s">
        <v>56</v>
      </c>
      <c r="R184" t="s">
        <v>60</v>
      </c>
      <c r="S184">
        <f t="shared" si="10"/>
        <v>2021</v>
      </c>
      <c r="T184" t="str">
        <f t="shared" si="11"/>
        <v>Jul</v>
      </c>
      <c r="U184">
        <f t="shared" si="12"/>
        <v>2</v>
      </c>
      <c r="V184">
        <f t="shared" si="13"/>
        <v>7</v>
      </c>
      <c r="W184" s="9">
        <f t="shared" si="14"/>
        <v>1.6908584226633157E-2</v>
      </c>
    </row>
    <row r="185" spans="1:23">
      <c r="A185">
        <v>10184</v>
      </c>
      <c r="B185" s="5">
        <v>44380</v>
      </c>
      <c r="C185" s="5">
        <v>44384</v>
      </c>
      <c r="D185" s="5">
        <v>44389</v>
      </c>
      <c r="E185" t="s">
        <v>20</v>
      </c>
      <c r="F185" t="s">
        <v>22</v>
      </c>
      <c r="G185" t="s">
        <v>28</v>
      </c>
      <c r="H185" t="s">
        <v>30</v>
      </c>
      <c r="I185" t="s">
        <v>35</v>
      </c>
      <c r="J185" t="s">
        <v>40</v>
      </c>
      <c r="K185" t="s">
        <v>45</v>
      </c>
      <c r="L185" t="s">
        <v>53</v>
      </c>
      <c r="M185" s="7">
        <v>56682</v>
      </c>
      <c r="N185">
        <v>0.23</v>
      </c>
      <c r="O185" s="7">
        <v>252</v>
      </c>
      <c r="P185">
        <v>22</v>
      </c>
      <c r="Q185" t="s">
        <v>57</v>
      </c>
      <c r="R185" t="s">
        <v>60</v>
      </c>
      <c r="S185">
        <f t="shared" si="10"/>
        <v>2021</v>
      </c>
      <c r="T185" t="str">
        <f t="shared" si="11"/>
        <v>Jul</v>
      </c>
      <c r="U185">
        <f t="shared" si="12"/>
        <v>4</v>
      </c>
      <c r="V185">
        <f t="shared" si="13"/>
        <v>9</v>
      </c>
      <c r="W185" s="9">
        <f t="shared" si="14"/>
        <v>4.4458558272467454E-3</v>
      </c>
    </row>
    <row r="186" spans="1:23">
      <c r="A186">
        <v>10185</v>
      </c>
      <c r="B186" s="5">
        <v>44381</v>
      </c>
      <c r="C186" s="5">
        <v>44386</v>
      </c>
      <c r="D186" s="5">
        <v>44390</v>
      </c>
      <c r="E186" t="s">
        <v>18</v>
      </c>
      <c r="F186" t="s">
        <v>22</v>
      </c>
      <c r="G186" t="s">
        <v>26</v>
      </c>
      <c r="H186" t="s">
        <v>30</v>
      </c>
      <c r="I186" t="s">
        <v>36</v>
      </c>
      <c r="J186" t="s">
        <v>40</v>
      </c>
      <c r="K186" t="s">
        <v>47</v>
      </c>
      <c r="L186" t="s">
        <v>52</v>
      </c>
      <c r="M186" s="7">
        <v>19542</v>
      </c>
      <c r="N186">
        <v>0.08</v>
      </c>
      <c r="O186" s="7">
        <v>10570</v>
      </c>
      <c r="P186">
        <v>13</v>
      </c>
      <c r="Q186" t="s">
        <v>54</v>
      </c>
      <c r="R186" t="s">
        <v>62</v>
      </c>
      <c r="S186">
        <f t="shared" si="10"/>
        <v>2021</v>
      </c>
      <c r="T186" t="str">
        <f t="shared" si="11"/>
        <v>Jul</v>
      </c>
      <c r="U186">
        <f t="shared" si="12"/>
        <v>5</v>
      </c>
      <c r="V186">
        <f t="shared" si="13"/>
        <v>9</v>
      </c>
      <c r="W186" s="9">
        <f t="shared" si="14"/>
        <v>0.54088629618258111</v>
      </c>
    </row>
    <row r="187" spans="1:23">
      <c r="A187">
        <v>10186</v>
      </c>
      <c r="B187" s="5">
        <v>44382</v>
      </c>
      <c r="C187" s="5">
        <v>44384</v>
      </c>
      <c r="D187" s="5">
        <v>44388</v>
      </c>
      <c r="E187" t="s">
        <v>20</v>
      </c>
      <c r="F187" t="s">
        <v>22</v>
      </c>
      <c r="G187" t="s">
        <v>23</v>
      </c>
      <c r="H187" t="s">
        <v>30</v>
      </c>
      <c r="I187" t="s">
        <v>34</v>
      </c>
      <c r="J187" t="s">
        <v>42</v>
      </c>
      <c r="K187" t="s">
        <v>44</v>
      </c>
      <c r="L187" t="s">
        <v>52</v>
      </c>
      <c r="M187" s="7">
        <v>58109</v>
      </c>
      <c r="N187">
        <v>0.19</v>
      </c>
      <c r="O187" s="7">
        <v>13927</v>
      </c>
      <c r="P187">
        <v>22</v>
      </c>
      <c r="Q187" t="s">
        <v>55</v>
      </c>
      <c r="R187" t="s">
        <v>60</v>
      </c>
      <c r="S187">
        <f t="shared" si="10"/>
        <v>2021</v>
      </c>
      <c r="T187" t="str">
        <f t="shared" si="11"/>
        <v>Jul</v>
      </c>
      <c r="U187">
        <f t="shared" si="12"/>
        <v>2</v>
      </c>
      <c r="V187">
        <f t="shared" si="13"/>
        <v>6</v>
      </c>
      <c r="W187" s="9">
        <f t="shared" si="14"/>
        <v>0.23967027482833986</v>
      </c>
    </row>
    <row r="188" spans="1:23">
      <c r="A188">
        <v>10187</v>
      </c>
      <c r="B188" s="5">
        <v>44383</v>
      </c>
      <c r="C188" s="5">
        <v>44388</v>
      </c>
      <c r="D188" s="5">
        <v>44391</v>
      </c>
      <c r="E188" t="s">
        <v>21</v>
      </c>
      <c r="F188" t="s">
        <v>22</v>
      </c>
      <c r="G188" t="s">
        <v>25</v>
      </c>
      <c r="H188" t="s">
        <v>32</v>
      </c>
      <c r="I188" t="s">
        <v>34</v>
      </c>
      <c r="J188" t="s">
        <v>42</v>
      </c>
      <c r="K188" t="s">
        <v>46</v>
      </c>
      <c r="L188" t="s">
        <v>52</v>
      </c>
      <c r="M188" s="7">
        <v>44876</v>
      </c>
      <c r="N188">
        <v>0.33</v>
      </c>
      <c r="O188" s="7">
        <v>18130</v>
      </c>
      <c r="P188">
        <v>8</v>
      </c>
      <c r="Q188" t="s">
        <v>55</v>
      </c>
      <c r="R188" t="s">
        <v>59</v>
      </c>
      <c r="S188">
        <f t="shared" si="10"/>
        <v>2021</v>
      </c>
      <c r="T188" t="str">
        <f t="shared" si="11"/>
        <v>Jul</v>
      </c>
      <c r="U188">
        <f t="shared" si="12"/>
        <v>5</v>
      </c>
      <c r="V188">
        <f t="shared" si="13"/>
        <v>8</v>
      </c>
      <c r="W188" s="9">
        <f t="shared" si="14"/>
        <v>0.40400213922809519</v>
      </c>
    </row>
    <row r="189" spans="1:23">
      <c r="A189">
        <v>10188</v>
      </c>
      <c r="B189" s="5">
        <v>44384</v>
      </c>
      <c r="C189" s="5">
        <v>44390</v>
      </c>
      <c r="D189" s="5">
        <v>44392</v>
      </c>
      <c r="E189" t="s">
        <v>19</v>
      </c>
      <c r="F189" t="s">
        <v>22</v>
      </c>
      <c r="G189" t="s">
        <v>25</v>
      </c>
      <c r="H189" t="s">
        <v>31</v>
      </c>
      <c r="I189" t="s">
        <v>34</v>
      </c>
      <c r="J189" t="s">
        <v>43</v>
      </c>
      <c r="K189" t="s">
        <v>45</v>
      </c>
      <c r="L189" t="s">
        <v>52</v>
      </c>
      <c r="M189" s="7">
        <v>43459</v>
      </c>
      <c r="N189">
        <v>0.04</v>
      </c>
      <c r="O189" s="7">
        <v>4324</v>
      </c>
      <c r="P189">
        <v>22</v>
      </c>
      <c r="Q189" t="s">
        <v>58</v>
      </c>
      <c r="R189" t="s">
        <v>59</v>
      </c>
      <c r="S189">
        <f t="shared" si="10"/>
        <v>2021</v>
      </c>
      <c r="T189" t="str">
        <f t="shared" si="11"/>
        <v>Jul</v>
      </c>
      <c r="U189">
        <f t="shared" si="12"/>
        <v>6</v>
      </c>
      <c r="V189">
        <f t="shared" si="13"/>
        <v>8</v>
      </c>
      <c r="W189" s="9">
        <f t="shared" si="14"/>
        <v>9.9496076762005572E-2</v>
      </c>
    </row>
    <row r="190" spans="1:23">
      <c r="A190">
        <v>10189</v>
      </c>
      <c r="B190" s="5">
        <v>44385</v>
      </c>
      <c r="C190" s="5">
        <v>44389</v>
      </c>
      <c r="D190" s="5">
        <v>44393</v>
      </c>
      <c r="E190" t="s">
        <v>20</v>
      </c>
      <c r="F190" t="s">
        <v>22</v>
      </c>
      <c r="G190" t="s">
        <v>23</v>
      </c>
      <c r="H190" t="s">
        <v>32</v>
      </c>
      <c r="I190" t="s">
        <v>34</v>
      </c>
      <c r="J190" t="s">
        <v>39</v>
      </c>
      <c r="K190" t="s">
        <v>48</v>
      </c>
      <c r="L190" t="s">
        <v>51</v>
      </c>
      <c r="M190" s="7">
        <v>35687</v>
      </c>
      <c r="N190">
        <v>0.16</v>
      </c>
      <c r="O190" s="7">
        <v>8947</v>
      </c>
      <c r="P190">
        <v>17</v>
      </c>
      <c r="Q190" t="s">
        <v>55</v>
      </c>
      <c r="R190" t="s">
        <v>61</v>
      </c>
      <c r="S190">
        <f t="shared" si="10"/>
        <v>2021</v>
      </c>
      <c r="T190" t="str">
        <f t="shared" si="11"/>
        <v>Jul</v>
      </c>
      <c r="U190">
        <f t="shared" si="12"/>
        <v>4</v>
      </c>
      <c r="V190">
        <f t="shared" si="13"/>
        <v>8</v>
      </c>
      <c r="W190" s="9">
        <f t="shared" si="14"/>
        <v>0.2507075405609886</v>
      </c>
    </row>
    <row r="191" spans="1:23">
      <c r="A191">
        <v>10190</v>
      </c>
      <c r="B191" s="5">
        <v>44386</v>
      </c>
      <c r="C191" s="5">
        <v>44388</v>
      </c>
      <c r="D191" s="5">
        <v>44391</v>
      </c>
      <c r="E191" t="s">
        <v>19</v>
      </c>
      <c r="F191" t="s">
        <v>22</v>
      </c>
      <c r="G191" t="s">
        <v>25</v>
      </c>
      <c r="H191" t="s">
        <v>31</v>
      </c>
      <c r="I191" t="s">
        <v>35</v>
      </c>
      <c r="J191" t="s">
        <v>37</v>
      </c>
      <c r="K191" t="s">
        <v>49</v>
      </c>
      <c r="L191" t="s">
        <v>53</v>
      </c>
      <c r="M191" s="7">
        <v>28025</v>
      </c>
      <c r="N191">
        <v>0.36</v>
      </c>
      <c r="O191" s="7">
        <v>2116</v>
      </c>
      <c r="P191">
        <v>1</v>
      </c>
      <c r="Q191" t="s">
        <v>55</v>
      </c>
      <c r="R191" t="s">
        <v>62</v>
      </c>
      <c r="S191">
        <f t="shared" si="10"/>
        <v>2021</v>
      </c>
      <c r="T191" t="str">
        <f t="shared" si="11"/>
        <v>Jul</v>
      </c>
      <c r="U191">
        <f t="shared" si="12"/>
        <v>2</v>
      </c>
      <c r="V191">
        <f t="shared" si="13"/>
        <v>5</v>
      </c>
      <c r="W191" s="9">
        <f t="shared" si="14"/>
        <v>7.5504014272970557E-2</v>
      </c>
    </row>
    <row r="192" spans="1:23">
      <c r="A192">
        <v>10191</v>
      </c>
      <c r="B192" s="5">
        <v>44387</v>
      </c>
      <c r="C192" s="5">
        <v>44390</v>
      </c>
      <c r="D192" s="5">
        <v>44392</v>
      </c>
      <c r="E192" t="s">
        <v>19</v>
      </c>
      <c r="F192" t="s">
        <v>22</v>
      </c>
      <c r="G192" t="s">
        <v>23</v>
      </c>
      <c r="H192" t="s">
        <v>29</v>
      </c>
      <c r="I192" t="s">
        <v>36</v>
      </c>
      <c r="J192" t="s">
        <v>39</v>
      </c>
      <c r="K192" t="s">
        <v>46</v>
      </c>
      <c r="L192" t="s">
        <v>52</v>
      </c>
      <c r="M192" s="7">
        <v>46764</v>
      </c>
      <c r="N192">
        <v>0.33</v>
      </c>
      <c r="O192" s="7">
        <v>6095</v>
      </c>
      <c r="P192">
        <v>21</v>
      </c>
      <c r="Q192" t="s">
        <v>58</v>
      </c>
      <c r="R192" t="s">
        <v>61</v>
      </c>
      <c r="S192">
        <f t="shared" si="10"/>
        <v>2021</v>
      </c>
      <c r="T192" t="str">
        <f t="shared" si="11"/>
        <v>Jul</v>
      </c>
      <c r="U192">
        <f t="shared" si="12"/>
        <v>3</v>
      </c>
      <c r="V192">
        <f t="shared" si="13"/>
        <v>5</v>
      </c>
      <c r="W192" s="9">
        <f t="shared" si="14"/>
        <v>0.13033530065862631</v>
      </c>
    </row>
    <row r="193" spans="1:23">
      <c r="A193">
        <v>10192</v>
      </c>
      <c r="B193" s="5">
        <v>44388</v>
      </c>
      <c r="C193" s="5">
        <v>44391</v>
      </c>
      <c r="D193" s="5">
        <v>44394</v>
      </c>
      <c r="E193" t="s">
        <v>21</v>
      </c>
      <c r="F193" t="s">
        <v>22</v>
      </c>
      <c r="G193" t="s">
        <v>25</v>
      </c>
      <c r="H193" t="s">
        <v>31</v>
      </c>
      <c r="I193" t="s">
        <v>36</v>
      </c>
      <c r="J193" t="s">
        <v>42</v>
      </c>
      <c r="K193" t="s">
        <v>50</v>
      </c>
      <c r="L193" t="s">
        <v>52</v>
      </c>
      <c r="M193" s="7">
        <v>74062</v>
      </c>
      <c r="N193">
        <v>0.09</v>
      </c>
      <c r="O193" s="7">
        <v>7820</v>
      </c>
      <c r="P193">
        <v>2</v>
      </c>
      <c r="Q193" t="s">
        <v>58</v>
      </c>
      <c r="R193" t="s">
        <v>59</v>
      </c>
      <c r="S193">
        <f t="shared" si="10"/>
        <v>2021</v>
      </c>
      <c r="T193" t="str">
        <f t="shared" si="11"/>
        <v>Jul</v>
      </c>
      <c r="U193">
        <f t="shared" si="12"/>
        <v>3</v>
      </c>
      <c r="V193">
        <f t="shared" si="13"/>
        <v>6</v>
      </c>
      <c r="W193" s="9">
        <f t="shared" si="14"/>
        <v>0.1055872107153466</v>
      </c>
    </row>
    <row r="194" spans="1:23">
      <c r="A194">
        <v>10193</v>
      </c>
      <c r="B194" s="5">
        <v>44389</v>
      </c>
      <c r="C194" s="5">
        <v>44396</v>
      </c>
      <c r="D194" s="5">
        <v>44400</v>
      </c>
      <c r="E194" t="s">
        <v>18</v>
      </c>
      <c r="F194" t="s">
        <v>22</v>
      </c>
      <c r="G194" t="s">
        <v>23</v>
      </c>
      <c r="H194" t="s">
        <v>31</v>
      </c>
      <c r="I194" t="s">
        <v>36</v>
      </c>
      <c r="J194" t="s">
        <v>42</v>
      </c>
      <c r="K194" t="s">
        <v>47</v>
      </c>
      <c r="L194" t="s">
        <v>53</v>
      </c>
      <c r="M194" s="7">
        <v>32367</v>
      </c>
      <c r="N194">
        <v>0.36</v>
      </c>
      <c r="O194" s="7">
        <v>-1129</v>
      </c>
      <c r="P194">
        <v>8</v>
      </c>
      <c r="Q194" t="s">
        <v>55</v>
      </c>
      <c r="R194" t="s">
        <v>62</v>
      </c>
      <c r="S194">
        <f t="shared" si="10"/>
        <v>2021</v>
      </c>
      <c r="T194" t="str">
        <f t="shared" si="11"/>
        <v>Jul</v>
      </c>
      <c r="U194">
        <f t="shared" si="12"/>
        <v>7</v>
      </c>
      <c r="V194">
        <f t="shared" si="13"/>
        <v>11</v>
      </c>
      <c r="W194" s="9">
        <f t="shared" si="14"/>
        <v>-3.48812061667748E-2</v>
      </c>
    </row>
    <row r="195" spans="1:23">
      <c r="A195">
        <v>10194</v>
      </c>
      <c r="B195" s="5">
        <v>44390</v>
      </c>
      <c r="C195" s="5">
        <v>44396</v>
      </c>
      <c r="D195" s="5">
        <v>44397</v>
      </c>
      <c r="E195" t="s">
        <v>20</v>
      </c>
      <c r="F195" t="s">
        <v>22</v>
      </c>
      <c r="G195" t="s">
        <v>28</v>
      </c>
      <c r="H195" t="s">
        <v>33</v>
      </c>
      <c r="I195" t="s">
        <v>35</v>
      </c>
      <c r="J195" t="s">
        <v>43</v>
      </c>
      <c r="K195" t="s">
        <v>46</v>
      </c>
      <c r="L195" t="s">
        <v>52</v>
      </c>
      <c r="M195" s="7">
        <v>72134</v>
      </c>
      <c r="N195">
        <v>0.33</v>
      </c>
      <c r="O195" s="7">
        <v>7874</v>
      </c>
      <c r="P195">
        <v>18</v>
      </c>
      <c r="Q195" t="s">
        <v>57</v>
      </c>
      <c r="R195" t="s">
        <v>60</v>
      </c>
      <c r="S195">
        <f t="shared" ref="S195:S258" si="15">YEAR(B195)</f>
        <v>2021</v>
      </c>
      <c r="T195" t="str">
        <f t="shared" ref="T195:T258" si="16">TEXT(B195,"mmm")</f>
        <v>Jul</v>
      </c>
      <c r="U195">
        <f t="shared" ref="U195:U258" si="17">C195-B195</f>
        <v>6</v>
      </c>
      <c r="V195">
        <f t="shared" ref="V195:V258" si="18">D195-B195</f>
        <v>7</v>
      </c>
      <c r="W195" s="9">
        <f t="shared" ref="W195:W258" si="19">IFERROR(O195/M195,0)</f>
        <v>0.10915795602628442</v>
      </c>
    </row>
    <row r="196" spans="1:23">
      <c r="A196">
        <v>10195</v>
      </c>
      <c r="B196" s="5">
        <v>44391</v>
      </c>
      <c r="C196" s="5">
        <v>44397</v>
      </c>
      <c r="D196" s="5">
        <v>44399</v>
      </c>
      <c r="E196" t="s">
        <v>20</v>
      </c>
      <c r="F196" t="s">
        <v>22</v>
      </c>
      <c r="G196" t="s">
        <v>23</v>
      </c>
      <c r="H196" t="s">
        <v>32</v>
      </c>
      <c r="I196" t="s">
        <v>34</v>
      </c>
      <c r="J196" t="s">
        <v>38</v>
      </c>
      <c r="K196" t="s">
        <v>48</v>
      </c>
      <c r="L196" t="s">
        <v>52</v>
      </c>
      <c r="M196" s="7">
        <v>39808</v>
      </c>
      <c r="N196">
        <v>0.27</v>
      </c>
      <c r="O196" s="7">
        <v>1268</v>
      </c>
      <c r="P196">
        <v>9</v>
      </c>
      <c r="Q196" t="s">
        <v>56</v>
      </c>
      <c r="R196" t="s">
        <v>60</v>
      </c>
      <c r="S196">
        <f t="shared" si="15"/>
        <v>2021</v>
      </c>
      <c r="T196" t="str">
        <f t="shared" si="16"/>
        <v>Jul</v>
      </c>
      <c r="U196">
        <f t="shared" si="17"/>
        <v>6</v>
      </c>
      <c r="V196">
        <f t="shared" si="18"/>
        <v>8</v>
      </c>
      <c r="W196" s="9">
        <f t="shared" si="19"/>
        <v>3.1852893890675242E-2</v>
      </c>
    </row>
    <row r="197" spans="1:23">
      <c r="A197">
        <v>10196</v>
      </c>
      <c r="B197" s="5">
        <v>44392</v>
      </c>
      <c r="C197" s="5">
        <v>44394</v>
      </c>
      <c r="D197" s="5">
        <v>44398</v>
      </c>
      <c r="E197" t="s">
        <v>18</v>
      </c>
      <c r="F197" t="s">
        <v>22</v>
      </c>
      <c r="G197" t="s">
        <v>28</v>
      </c>
      <c r="H197" t="s">
        <v>31</v>
      </c>
      <c r="I197" t="s">
        <v>36</v>
      </c>
      <c r="J197" t="s">
        <v>41</v>
      </c>
      <c r="K197" t="s">
        <v>47</v>
      </c>
      <c r="L197" t="s">
        <v>53</v>
      </c>
      <c r="M197" s="7">
        <v>9852</v>
      </c>
      <c r="N197">
        <v>0.12</v>
      </c>
      <c r="O197" s="7">
        <v>14479</v>
      </c>
      <c r="P197">
        <v>10</v>
      </c>
      <c r="Q197" t="s">
        <v>54</v>
      </c>
      <c r="R197" t="s">
        <v>61</v>
      </c>
      <c r="S197">
        <f t="shared" si="15"/>
        <v>2021</v>
      </c>
      <c r="T197" t="str">
        <f t="shared" si="16"/>
        <v>Jul</v>
      </c>
      <c r="U197">
        <f t="shared" si="17"/>
        <v>2</v>
      </c>
      <c r="V197">
        <f t="shared" si="18"/>
        <v>6</v>
      </c>
      <c r="W197" s="9">
        <f t="shared" si="19"/>
        <v>1.4696508323183111</v>
      </c>
    </row>
    <row r="198" spans="1:23">
      <c r="A198">
        <v>10197</v>
      </c>
      <c r="B198" s="5">
        <v>44393</v>
      </c>
      <c r="C198" s="5">
        <v>44396</v>
      </c>
      <c r="D198" s="5">
        <v>44397</v>
      </c>
      <c r="E198" t="s">
        <v>20</v>
      </c>
      <c r="F198" t="s">
        <v>22</v>
      </c>
      <c r="G198" t="s">
        <v>23</v>
      </c>
      <c r="H198" t="s">
        <v>31</v>
      </c>
      <c r="I198" t="s">
        <v>34</v>
      </c>
      <c r="J198" t="s">
        <v>40</v>
      </c>
      <c r="K198" t="s">
        <v>47</v>
      </c>
      <c r="L198" t="s">
        <v>53</v>
      </c>
      <c r="M198" s="7">
        <v>18078</v>
      </c>
      <c r="N198">
        <v>0.38</v>
      </c>
      <c r="O198" s="7">
        <v>1896</v>
      </c>
      <c r="P198">
        <v>17</v>
      </c>
      <c r="Q198" t="s">
        <v>55</v>
      </c>
      <c r="R198" t="s">
        <v>59</v>
      </c>
      <c r="S198">
        <f t="shared" si="15"/>
        <v>2021</v>
      </c>
      <c r="T198" t="str">
        <f t="shared" si="16"/>
        <v>Jul</v>
      </c>
      <c r="U198">
        <f t="shared" si="17"/>
        <v>3</v>
      </c>
      <c r="V198">
        <f t="shared" si="18"/>
        <v>4</v>
      </c>
      <c r="W198" s="9">
        <f t="shared" si="19"/>
        <v>0.10487885828078328</v>
      </c>
    </row>
    <row r="199" spans="1:23">
      <c r="A199">
        <v>10198</v>
      </c>
      <c r="B199" s="5">
        <v>44394</v>
      </c>
      <c r="C199" s="5">
        <v>44398</v>
      </c>
      <c r="D199" s="5">
        <v>44401</v>
      </c>
      <c r="E199" t="s">
        <v>19</v>
      </c>
      <c r="F199" t="s">
        <v>22</v>
      </c>
      <c r="G199" t="s">
        <v>26</v>
      </c>
      <c r="H199" t="s">
        <v>25</v>
      </c>
      <c r="I199" t="s">
        <v>36</v>
      </c>
      <c r="J199" t="s">
        <v>38</v>
      </c>
      <c r="K199" t="s">
        <v>45</v>
      </c>
      <c r="L199" t="s">
        <v>53</v>
      </c>
      <c r="M199" s="7">
        <v>44925</v>
      </c>
      <c r="N199">
        <v>0.27</v>
      </c>
      <c r="O199" s="7">
        <v>-517</v>
      </c>
      <c r="P199">
        <v>22</v>
      </c>
      <c r="Q199" t="s">
        <v>58</v>
      </c>
      <c r="R199" t="s">
        <v>62</v>
      </c>
      <c r="S199">
        <f t="shared" si="15"/>
        <v>2021</v>
      </c>
      <c r="T199" t="str">
        <f t="shared" si="16"/>
        <v>Jul</v>
      </c>
      <c r="U199">
        <f t="shared" si="17"/>
        <v>4</v>
      </c>
      <c r="V199">
        <f t="shared" si="18"/>
        <v>7</v>
      </c>
      <c r="W199" s="9">
        <f t="shared" si="19"/>
        <v>-1.1508069003895382E-2</v>
      </c>
    </row>
    <row r="200" spans="1:23">
      <c r="A200">
        <v>10199</v>
      </c>
      <c r="B200" s="5">
        <v>44395</v>
      </c>
      <c r="C200" s="5">
        <v>44401</v>
      </c>
      <c r="D200" s="5">
        <v>44405</v>
      </c>
      <c r="E200" t="s">
        <v>18</v>
      </c>
      <c r="F200" t="s">
        <v>22</v>
      </c>
      <c r="G200" t="s">
        <v>28</v>
      </c>
      <c r="H200" t="s">
        <v>33</v>
      </c>
      <c r="I200" t="s">
        <v>36</v>
      </c>
      <c r="J200" t="s">
        <v>43</v>
      </c>
      <c r="K200" t="s">
        <v>47</v>
      </c>
      <c r="L200" t="s">
        <v>53</v>
      </c>
      <c r="M200" s="7">
        <v>32307</v>
      </c>
      <c r="N200">
        <v>0.32</v>
      </c>
      <c r="O200" s="7">
        <v>11349</v>
      </c>
      <c r="P200">
        <v>8</v>
      </c>
      <c r="Q200" t="s">
        <v>57</v>
      </c>
      <c r="R200" t="s">
        <v>62</v>
      </c>
      <c r="S200">
        <f t="shared" si="15"/>
        <v>2021</v>
      </c>
      <c r="T200" t="str">
        <f t="shared" si="16"/>
        <v>Jul</v>
      </c>
      <c r="U200">
        <f t="shared" si="17"/>
        <v>6</v>
      </c>
      <c r="V200">
        <f t="shared" si="18"/>
        <v>10</v>
      </c>
      <c r="W200" s="9">
        <f t="shared" si="19"/>
        <v>0.35128609898783547</v>
      </c>
    </row>
    <row r="201" spans="1:23">
      <c r="A201">
        <v>10200</v>
      </c>
      <c r="B201" s="5">
        <v>44396</v>
      </c>
      <c r="C201" s="5">
        <v>44399</v>
      </c>
      <c r="D201" s="5">
        <v>44400</v>
      </c>
      <c r="E201" t="s">
        <v>19</v>
      </c>
      <c r="F201" t="s">
        <v>22</v>
      </c>
      <c r="G201" t="s">
        <v>24</v>
      </c>
      <c r="H201" t="s">
        <v>30</v>
      </c>
      <c r="I201" t="s">
        <v>34</v>
      </c>
      <c r="J201" t="s">
        <v>42</v>
      </c>
      <c r="K201" t="s">
        <v>47</v>
      </c>
      <c r="L201" t="s">
        <v>51</v>
      </c>
      <c r="M201" s="7">
        <v>20199</v>
      </c>
      <c r="N201">
        <v>0.15</v>
      </c>
      <c r="O201" s="7">
        <v>18282</v>
      </c>
      <c r="P201">
        <v>12</v>
      </c>
      <c r="Q201" t="s">
        <v>55</v>
      </c>
      <c r="R201" t="s">
        <v>60</v>
      </c>
      <c r="S201">
        <f t="shared" si="15"/>
        <v>2021</v>
      </c>
      <c r="T201" t="str">
        <f t="shared" si="16"/>
        <v>Jul</v>
      </c>
      <c r="U201">
        <f t="shared" si="17"/>
        <v>3</v>
      </c>
      <c r="V201">
        <f t="shared" si="18"/>
        <v>4</v>
      </c>
      <c r="W201" s="9">
        <f t="shared" si="19"/>
        <v>0.90509431159958409</v>
      </c>
    </row>
    <row r="202" spans="1:23">
      <c r="A202">
        <v>10201</v>
      </c>
      <c r="B202" s="5">
        <v>44397</v>
      </c>
      <c r="C202" s="5">
        <v>44404</v>
      </c>
      <c r="D202" s="5">
        <v>44407</v>
      </c>
      <c r="E202" t="s">
        <v>20</v>
      </c>
      <c r="F202" t="s">
        <v>22</v>
      </c>
      <c r="G202" t="s">
        <v>27</v>
      </c>
      <c r="H202" t="s">
        <v>33</v>
      </c>
      <c r="I202" t="s">
        <v>35</v>
      </c>
      <c r="J202" t="s">
        <v>40</v>
      </c>
      <c r="K202" t="s">
        <v>50</v>
      </c>
      <c r="L202" t="s">
        <v>51</v>
      </c>
      <c r="M202" s="7">
        <v>18041</v>
      </c>
      <c r="N202">
        <v>0.34</v>
      </c>
      <c r="O202" s="7">
        <v>19921</v>
      </c>
      <c r="P202">
        <v>23</v>
      </c>
      <c r="Q202" t="s">
        <v>58</v>
      </c>
      <c r="R202" t="s">
        <v>59</v>
      </c>
      <c r="S202">
        <f t="shared" si="15"/>
        <v>2021</v>
      </c>
      <c r="T202" t="str">
        <f t="shared" si="16"/>
        <v>Jul</v>
      </c>
      <c r="U202">
        <f t="shared" si="17"/>
        <v>7</v>
      </c>
      <c r="V202">
        <f t="shared" si="18"/>
        <v>10</v>
      </c>
      <c r="W202" s="9">
        <f t="shared" si="19"/>
        <v>1.1042070838645308</v>
      </c>
    </row>
    <row r="203" spans="1:23">
      <c r="A203">
        <v>10202</v>
      </c>
      <c r="B203" s="5">
        <v>44398</v>
      </c>
      <c r="C203" s="5">
        <v>44404</v>
      </c>
      <c r="D203" s="5">
        <v>44407</v>
      </c>
      <c r="E203" t="s">
        <v>18</v>
      </c>
      <c r="F203" t="s">
        <v>22</v>
      </c>
      <c r="G203" t="s">
        <v>28</v>
      </c>
      <c r="H203" t="s">
        <v>25</v>
      </c>
      <c r="I203" t="s">
        <v>36</v>
      </c>
      <c r="J203" t="s">
        <v>39</v>
      </c>
      <c r="K203" t="s">
        <v>44</v>
      </c>
      <c r="L203" t="s">
        <v>51</v>
      </c>
      <c r="M203" s="7">
        <v>67106</v>
      </c>
      <c r="N203">
        <v>0.18</v>
      </c>
      <c r="O203" s="7">
        <v>18920</v>
      </c>
      <c r="P203">
        <v>9</v>
      </c>
      <c r="Q203" t="s">
        <v>54</v>
      </c>
      <c r="R203" t="s">
        <v>61</v>
      </c>
      <c r="S203">
        <f t="shared" si="15"/>
        <v>2021</v>
      </c>
      <c r="T203" t="str">
        <f t="shared" si="16"/>
        <v>Jul</v>
      </c>
      <c r="U203">
        <f t="shared" si="17"/>
        <v>6</v>
      </c>
      <c r="V203">
        <f t="shared" si="18"/>
        <v>9</v>
      </c>
      <c r="W203" s="9">
        <f t="shared" si="19"/>
        <v>0.281942002205466</v>
      </c>
    </row>
    <row r="204" spans="1:23">
      <c r="A204">
        <v>10203</v>
      </c>
      <c r="B204" s="5">
        <v>44399</v>
      </c>
      <c r="C204" s="5">
        <v>44403</v>
      </c>
      <c r="D204" s="5">
        <v>44406</v>
      </c>
      <c r="E204" t="s">
        <v>21</v>
      </c>
      <c r="F204" t="s">
        <v>22</v>
      </c>
      <c r="G204" t="s">
        <v>23</v>
      </c>
      <c r="H204" t="s">
        <v>32</v>
      </c>
      <c r="I204" t="s">
        <v>35</v>
      </c>
      <c r="J204" t="s">
        <v>41</v>
      </c>
      <c r="K204" t="s">
        <v>44</v>
      </c>
      <c r="L204" t="s">
        <v>53</v>
      </c>
      <c r="M204" s="7">
        <v>33582</v>
      </c>
      <c r="N204">
        <v>0.03</v>
      </c>
      <c r="O204" s="7">
        <v>-1038</v>
      </c>
      <c r="P204">
        <v>11</v>
      </c>
      <c r="Q204" t="s">
        <v>57</v>
      </c>
      <c r="R204" t="s">
        <v>61</v>
      </c>
      <c r="S204">
        <f t="shared" si="15"/>
        <v>2021</v>
      </c>
      <c r="T204" t="str">
        <f t="shared" si="16"/>
        <v>Jul</v>
      </c>
      <c r="U204">
        <f t="shared" si="17"/>
        <v>4</v>
      </c>
      <c r="V204">
        <f t="shared" si="18"/>
        <v>7</v>
      </c>
      <c r="W204" s="9">
        <f t="shared" si="19"/>
        <v>-3.0909415758442024E-2</v>
      </c>
    </row>
    <row r="205" spans="1:23">
      <c r="A205">
        <v>10204</v>
      </c>
      <c r="B205" s="5">
        <v>44400</v>
      </c>
      <c r="C205" s="5">
        <v>44407</v>
      </c>
      <c r="D205" s="5">
        <v>44408</v>
      </c>
      <c r="E205" t="s">
        <v>19</v>
      </c>
      <c r="F205" t="s">
        <v>22</v>
      </c>
      <c r="G205" t="s">
        <v>27</v>
      </c>
      <c r="H205" t="s">
        <v>32</v>
      </c>
      <c r="I205" t="s">
        <v>34</v>
      </c>
      <c r="J205" t="s">
        <v>42</v>
      </c>
      <c r="K205" t="s">
        <v>44</v>
      </c>
      <c r="L205" t="s">
        <v>52</v>
      </c>
      <c r="M205" s="7">
        <v>36838</v>
      </c>
      <c r="N205">
        <v>0</v>
      </c>
      <c r="O205" s="7">
        <v>205</v>
      </c>
      <c r="P205">
        <v>22</v>
      </c>
      <c r="Q205" t="s">
        <v>56</v>
      </c>
      <c r="R205" t="s">
        <v>59</v>
      </c>
      <c r="S205">
        <f t="shared" si="15"/>
        <v>2021</v>
      </c>
      <c r="T205" t="str">
        <f t="shared" si="16"/>
        <v>Jul</v>
      </c>
      <c r="U205">
        <f t="shared" si="17"/>
        <v>7</v>
      </c>
      <c r="V205">
        <f t="shared" si="18"/>
        <v>8</v>
      </c>
      <c r="W205" s="9">
        <f t="shared" si="19"/>
        <v>5.5649058037895655E-3</v>
      </c>
    </row>
    <row r="206" spans="1:23">
      <c r="A206">
        <v>10205</v>
      </c>
      <c r="B206" s="5">
        <v>44401</v>
      </c>
      <c r="C206" s="5">
        <v>44403</v>
      </c>
      <c r="D206" s="5">
        <v>44407</v>
      </c>
      <c r="E206" t="s">
        <v>20</v>
      </c>
      <c r="F206" t="s">
        <v>22</v>
      </c>
      <c r="G206" t="s">
        <v>26</v>
      </c>
      <c r="H206" t="s">
        <v>31</v>
      </c>
      <c r="I206" t="s">
        <v>34</v>
      </c>
      <c r="J206" t="s">
        <v>38</v>
      </c>
      <c r="K206" t="s">
        <v>44</v>
      </c>
      <c r="L206" t="s">
        <v>53</v>
      </c>
      <c r="M206" s="7">
        <v>2954</v>
      </c>
      <c r="N206">
        <v>0.28999999999999998</v>
      </c>
      <c r="O206" s="7">
        <v>12100</v>
      </c>
      <c r="P206">
        <v>8</v>
      </c>
      <c r="Q206" t="s">
        <v>54</v>
      </c>
      <c r="R206" t="s">
        <v>60</v>
      </c>
      <c r="S206">
        <f t="shared" si="15"/>
        <v>2021</v>
      </c>
      <c r="T206" t="str">
        <f t="shared" si="16"/>
        <v>Jul</v>
      </c>
      <c r="U206">
        <f t="shared" si="17"/>
        <v>2</v>
      </c>
      <c r="V206">
        <f t="shared" si="18"/>
        <v>6</v>
      </c>
      <c r="W206" s="9">
        <f t="shared" si="19"/>
        <v>4.0961408259986456</v>
      </c>
    </row>
    <row r="207" spans="1:23">
      <c r="A207">
        <v>10206</v>
      </c>
      <c r="B207" s="5">
        <v>44402</v>
      </c>
      <c r="C207" s="5">
        <v>44405</v>
      </c>
      <c r="D207" s="5">
        <v>44409</v>
      </c>
      <c r="E207" t="s">
        <v>20</v>
      </c>
      <c r="F207" t="s">
        <v>22</v>
      </c>
      <c r="G207" t="s">
        <v>26</v>
      </c>
      <c r="H207" t="s">
        <v>32</v>
      </c>
      <c r="I207" t="s">
        <v>34</v>
      </c>
      <c r="J207" t="s">
        <v>38</v>
      </c>
      <c r="K207" t="s">
        <v>45</v>
      </c>
      <c r="L207" t="s">
        <v>53</v>
      </c>
      <c r="M207" s="7">
        <v>49703</v>
      </c>
      <c r="N207">
        <v>0.35</v>
      </c>
      <c r="O207" s="7">
        <v>1911</v>
      </c>
      <c r="P207">
        <v>24</v>
      </c>
      <c r="Q207" t="s">
        <v>55</v>
      </c>
      <c r="R207" t="s">
        <v>59</v>
      </c>
      <c r="S207">
        <f t="shared" si="15"/>
        <v>2021</v>
      </c>
      <c r="T207" t="str">
        <f t="shared" si="16"/>
        <v>Jul</v>
      </c>
      <c r="U207">
        <f t="shared" si="17"/>
        <v>3</v>
      </c>
      <c r="V207">
        <f t="shared" si="18"/>
        <v>7</v>
      </c>
      <c r="W207" s="9">
        <f t="shared" si="19"/>
        <v>3.8448383397380437E-2</v>
      </c>
    </row>
    <row r="208" spans="1:23">
      <c r="A208">
        <v>10207</v>
      </c>
      <c r="B208" s="5">
        <v>44403</v>
      </c>
      <c r="C208" s="5">
        <v>44406</v>
      </c>
      <c r="D208" s="5">
        <v>44410</v>
      </c>
      <c r="E208" t="s">
        <v>20</v>
      </c>
      <c r="F208" t="s">
        <v>22</v>
      </c>
      <c r="G208" t="s">
        <v>27</v>
      </c>
      <c r="H208" t="s">
        <v>25</v>
      </c>
      <c r="I208" t="s">
        <v>35</v>
      </c>
      <c r="J208" t="s">
        <v>43</v>
      </c>
      <c r="K208" t="s">
        <v>50</v>
      </c>
      <c r="L208" t="s">
        <v>53</v>
      </c>
      <c r="M208" s="7">
        <v>32294</v>
      </c>
      <c r="N208">
        <v>0.19</v>
      </c>
      <c r="O208" s="7">
        <v>9783</v>
      </c>
      <c r="P208">
        <v>17</v>
      </c>
      <c r="Q208" t="s">
        <v>54</v>
      </c>
      <c r="R208" t="s">
        <v>61</v>
      </c>
      <c r="S208">
        <f t="shared" si="15"/>
        <v>2021</v>
      </c>
      <c r="T208" t="str">
        <f t="shared" si="16"/>
        <v>Jul</v>
      </c>
      <c r="U208">
        <f t="shared" si="17"/>
        <v>3</v>
      </c>
      <c r="V208">
        <f t="shared" si="18"/>
        <v>7</v>
      </c>
      <c r="W208" s="9">
        <f t="shared" si="19"/>
        <v>0.30293552981978078</v>
      </c>
    </row>
    <row r="209" spans="1:23">
      <c r="A209">
        <v>10208</v>
      </c>
      <c r="B209" s="5">
        <v>44404</v>
      </c>
      <c r="C209" s="5">
        <v>44408</v>
      </c>
      <c r="D209" s="5">
        <v>44409</v>
      </c>
      <c r="E209" t="s">
        <v>21</v>
      </c>
      <c r="F209" t="s">
        <v>22</v>
      </c>
      <c r="G209" t="s">
        <v>23</v>
      </c>
      <c r="H209" t="s">
        <v>33</v>
      </c>
      <c r="I209" t="s">
        <v>34</v>
      </c>
      <c r="J209" t="s">
        <v>37</v>
      </c>
      <c r="K209" t="s">
        <v>48</v>
      </c>
      <c r="L209" t="s">
        <v>51</v>
      </c>
      <c r="M209" s="7">
        <v>63176</v>
      </c>
      <c r="N209">
        <v>0.3</v>
      </c>
      <c r="O209" s="7">
        <v>19770</v>
      </c>
      <c r="P209">
        <v>5</v>
      </c>
      <c r="Q209" t="s">
        <v>58</v>
      </c>
      <c r="R209" t="s">
        <v>59</v>
      </c>
      <c r="S209">
        <f t="shared" si="15"/>
        <v>2021</v>
      </c>
      <c r="T209" t="str">
        <f t="shared" si="16"/>
        <v>Jul</v>
      </c>
      <c r="U209">
        <f t="shared" si="17"/>
        <v>4</v>
      </c>
      <c r="V209">
        <f t="shared" si="18"/>
        <v>5</v>
      </c>
      <c r="W209" s="9">
        <f t="shared" si="19"/>
        <v>0.31293529188299352</v>
      </c>
    </row>
    <row r="210" spans="1:23">
      <c r="A210">
        <v>10209</v>
      </c>
      <c r="B210" s="5">
        <v>44405</v>
      </c>
      <c r="C210" s="5">
        <v>44409</v>
      </c>
      <c r="D210" s="5">
        <v>44410</v>
      </c>
      <c r="E210" t="s">
        <v>18</v>
      </c>
      <c r="F210" t="s">
        <v>22</v>
      </c>
      <c r="G210" t="s">
        <v>25</v>
      </c>
      <c r="H210" t="s">
        <v>32</v>
      </c>
      <c r="I210" t="s">
        <v>34</v>
      </c>
      <c r="J210" t="s">
        <v>37</v>
      </c>
      <c r="K210" t="s">
        <v>44</v>
      </c>
      <c r="L210" t="s">
        <v>51</v>
      </c>
      <c r="M210" s="7">
        <v>73677</v>
      </c>
      <c r="N210">
        <v>0.18</v>
      </c>
      <c r="O210" s="7">
        <v>9194</v>
      </c>
      <c r="P210">
        <v>3</v>
      </c>
      <c r="Q210" t="s">
        <v>56</v>
      </c>
      <c r="R210" t="s">
        <v>62</v>
      </c>
      <c r="S210">
        <f t="shared" si="15"/>
        <v>2021</v>
      </c>
      <c r="T210" t="str">
        <f t="shared" si="16"/>
        <v>Jul</v>
      </c>
      <c r="U210">
        <f t="shared" si="17"/>
        <v>4</v>
      </c>
      <c r="V210">
        <f t="shared" si="18"/>
        <v>5</v>
      </c>
      <c r="W210" s="9">
        <f t="shared" si="19"/>
        <v>0.12478792567558397</v>
      </c>
    </row>
    <row r="211" spans="1:23">
      <c r="A211">
        <v>10210</v>
      </c>
      <c r="B211" s="5">
        <v>44406</v>
      </c>
      <c r="C211" s="5">
        <v>44412</v>
      </c>
      <c r="D211" s="5">
        <v>44415</v>
      </c>
      <c r="E211" t="s">
        <v>19</v>
      </c>
      <c r="F211" t="s">
        <v>22</v>
      </c>
      <c r="G211" t="s">
        <v>24</v>
      </c>
      <c r="H211" t="s">
        <v>32</v>
      </c>
      <c r="I211" t="s">
        <v>36</v>
      </c>
      <c r="J211" t="s">
        <v>43</v>
      </c>
      <c r="K211" t="s">
        <v>44</v>
      </c>
      <c r="L211" t="s">
        <v>52</v>
      </c>
      <c r="M211" s="7">
        <v>47425</v>
      </c>
      <c r="N211">
        <v>0.05</v>
      </c>
      <c r="O211" s="7">
        <v>3327</v>
      </c>
      <c r="P211">
        <v>2</v>
      </c>
      <c r="Q211" t="s">
        <v>56</v>
      </c>
      <c r="R211" t="s">
        <v>61</v>
      </c>
      <c r="S211">
        <f t="shared" si="15"/>
        <v>2021</v>
      </c>
      <c r="T211" t="str">
        <f t="shared" si="16"/>
        <v>Jul</v>
      </c>
      <c r="U211">
        <f t="shared" si="17"/>
        <v>6</v>
      </c>
      <c r="V211">
        <f t="shared" si="18"/>
        <v>9</v>
      </c>
      <c r="W211" s="9">
        <f t="shared" si="19"/>
        <v>7.0152872957301007E-2</v>
      </c>
    </row>
    <row r="212" spans="1:23">
      <c r="A212">
        <v>10211</v>
      </c>
      <c r="B212" s="5">
        <v>44407</v>
      </c>
      <c r="C212" s="5">
        <v>44410</v>
      </c>
      <c r="D212" s="5">
        <v>44414</v>
      </c>
      <c r="E212" t="s">
        <v>19</v>
      </c>
      <c r="F212" t="s">
        <v>22</v>
      </c>
      <c r="G212" t="s">
        <v>23</v>
      </c>
      <c r="H212" t="s">
        <v>31</v>
      </c>
      <c r="I212" t="s">
        <v>35</v>
      </c>
      <c r="J212" t="s">
        <v>43</v>
      </c>
      <c r="K212" t="s">
        <v>48</v>
      </c>
      <c r="L212" t="s">
        <v>52</v>
      </c>
      <c r="M212" s="7">
        <v>74024</v>
      </c>
      <c r="N212">
        <v>0.02</v>
      </c>
      <c r="O212" s="7">
        <v>16752</v>
      </c>
      <c r="P212">
        <v>13</v>
      </c>
      <c r="Q212" t="s">
        <v>56</v>
      </c>
      <c r="R212" t="s">
        <v>61</v>
      </c>
      <c r="S212">
        <f t="shared" si="15"/>
        <v>2021</v>
      </c>
      <c r="T212" t="str">
        <f t="shared" si="16"/>
        <v>Jul</v>
      </c>
      <c r="U212">
        <f t="shared" si="17"/>
        <v>3</v>
      </c>
      <c r="V212">
        <f t="shared" si="18"/>
        <v>7</v>
      </c>
      <c r="W212" s="9">
        <f t="shared" si="19"/>
        <v>0.22630498216794553</v>
      </c>
    </row>
    <row r="213" spans="1:23">
      <c r="A213">
        <v>10212</v>
      </c>
      <c r="B213" s="5">
        <v>44408</v>
      </c>
      <c r="C213" s="5">
        <v>44412</v>
      </c>
      <c r="D213" s="5">
        <v>44417</v>
      </c>
      <c r="E213" t="s">
        <v>18</v>
      </c>
      <c r="F213" t="s">
        <v>22</v>
      </c>
      <c r="G213" t="s">
        <v>24</v>
      </c>
      <c r="H213" t="s">
        <v>31</v>
      </c>
      <c r="I213" t="s">
        <v>36</v>
      </c>
      <c r="J213" t="s">
        <v>40</v>
      </c>
      <c r="K213" t="s">
        <v>45</v>
      </c>
      <c r="L213" t="s">
        <v>53</v>
      </c>
      <c r="M213" s="7">
        <v>58016</v>
      </c>
      <c r="N213">
        <v>0.39</v>
      </c>
      <c r="O213" s="7">
        <v>13729</v>
      </c>
      <c r="P213">
        <v>6</v>
      </c>
      <c r="Q213" t="s">
        <v>56</v>
      </c>
      <c r="R213" t="s">
        <v>60</v>
      </c>
      <c r="S213">
        <f t="shared" si="15"/>
        <v>2021</v>
      </c>
      <c r="T213" t="str">
        <f t="shared" si="16"/>
        <v>Jul</v>
      </c>
      <c r="U213">
        <f t="shared" si="17"/>
        <v>4</v>
      </c>
      <c r="V213">
        <f t="shared" si="18"/>
        <v>9</v>
      </c>
      <c r="W213" s="9">
        <f t="shared" si="19"/>
        <v>0.23664161610590181</v>
      </c>
    </row>
    <row r="214" spans="1:23">
      <c r="A214">
        <v>10213</v>
      </c>
      <c r="B214" s="5">
        <v>44409</v>
      </c>
      <c r="C214" s="5">
        <v>44414</v>
      </c>
      <c r="D214" s="5">
        <v>44419</v>
      </c>
      <c r="E214" t="s">
        <v>18</v>
      </c>
      <c r="F214" t="s">
        <v>22</v>
      </c>
      <c r="G214" t="s">
        <v>28</v>
      </c>
      <c r="H214" t="s">
        <v>33</v>
      </c>
      <c r="I214" t="s">
        <v>34</v>
      </c>
      <c r="J214" t="s">
        <v>38</v>
      </c>
      <c r="K214" t="s">
        <v>44</v>
      </c>
      <c r="L214" t="s">
        <v>53</v>
      </c>
      <c r="M214" s="7">
        <v>15797</v>
      </c>
      <c r="N214">
        <v>0.01</v>
      </c>
      <c r="O214" s="7">
        <v>12149</v>
      </c>
      <c r="P214">
        <v>24</v>
      </c>
      <c r="Q214" t="s">
        <v>54</v>
      </c>
      <c r="R214" t="s">
        <v>62</v>
      </c>
      <c r="S214">
        <f t="shared" si="15"/>
        <v>2021</v>
      </c>
      <c r="T214" t="str">
        <f t="shared" si="16"/>
        <v>Aug</v>
      </c>
      <c r="U214">
        <f t="shared" si="17"/>
        <v>5</v>
      </c>
      <c r="V214">
        <f t="shared" si="18"/>
        <v>10</v>
      </c>
      <c r="W214" s="9">
        <f t="shared" si="19"/>
        <v>0.76907007659682214</v>
      </c>
    </row>
    <row r="215" spans="1:23">
      <c r="A215">
        <v>10214</v>
      </c>
      <c r="B215" s="5">
        <v>44410</v>
      </c>
      <c r="C215" s="5">
        <v>44412</v>
      </c>
      <c r="D215" s="5">
        <v>44416</v>
      </c>
      <c r="E215" t="s">
        <v>18</v>
      </c>
      <c r="F215" t="s">
        <v>22</v>
      </c>
      <c r="G215" t="s">
        <v>27</v>
      </c>
      <c r="H215" t="s">
        <v>32</v>
      </c>
      <c r="I215" t="s">
        <v>36</v>
      </c>
      <c r="J215" t="s">
        <v>41</v>
      </c>
      <c r="K215" t="s">
        <v>47</v>
      </c>
      <c r="L215" t="s">
        <v>53</v>
      </c>
      <c r="M215" s="7">
        <v>73048</v>
      </c>
      <c r="N215">
        <v>0.27</v>
      </c>
      <c r="O215" s="7">
        <v>5945</v>
      </c>
      <c r="P215">
        <v>16</v>
      </c>
      <c r="Q215" t="s">
        <v>57</v>
      </c>
      <c r="R215" t="s">
        <v>62</v>
      </c>
      <c r="S215">
        <f t="shared" si="15"/>
        <v>2021</v>
      </c>
      <c r="T215" t="str">
        <f t="shared" si="16"/>
        <v>Aug</v>
      </c>
      <c r="U215">
        <f t="shared" si="17"/>
        <v>2</v>
      </c>
      <c r="V215">
        <f t="shared" si="18"/>
        <v>6</v>
      </c>
      <c r="W215" s="9">
        <f t="shared" si="19"/>
        <v>8.1384842843062091E-2</v>
      </c>
    </row>
    <row r="216" spans="1:23">
      <c r="A216">
        <v>10215</v>
      </c>
      <c r="B216" s="5">
        <v>44411</v>
      </c>
      <c r="C216" s="5">
        <v>44416</v>
      </c>
      <c r="D216" s="5">
        <v>44419</v>
      </c>
      <c r="E216" t="s">
        <v>20</v>
      </c>
      <c r="F216" t="s">
        <v>22</v>
      </c>
      <c r="G216" t="s">
        <v>24</v>
      </c>
      <c r="H216" t="s">
        <v>31</v>
      </c>
      <c r="I216" t="s">
        <v>35</v>
      </c>
      <c r="J216" t="s">
        <v>43</v>
      </c>
      <c r="K216" t="s">
        <v>46</v>
      </c>
      <c r="L216" t="s">
        <v>51</v>
      </c>
      <c r="M216" s="7">
        <v>64362</v>
      </c>
      <c r="N216">
        <v>0.35</v>
      </c>
      <c r="O216" s="7">
        <v>5843</v>
      </c>
      <c r="P216">
        <v>7</v>
      </c>
      <c r="Q216" t="s">
        <v>57</v>
      </c>
      <c r="R216" t="s">
        <v>62</v>
      </c>
      <c r="S216">
        <f t="shared" si="15"/>
        <v>2021</v>
      </c>
      <c r="T216" t="str">
        <f t="shared" si="16"/>
        <v>Aug</v>
      </c>
      <c r="U216">
        <f t="shared" si="17"/>
        <v>5</v>
      </c>
      <c r="V216">
        <f t="shared" si="18"/>
        <v>8</v>
      </c>
      <c r="W216" s="9">
        <f t="shared" si="19"/>
        <v>9.0783381498399679E-2</v>
      </c>
    </row>
    <row r="217" spans="1:23">
      <c r="A217">
        <v>10216</v>
      </c>
      <c r="B217" s="5">
        <v>44412</v>
      </c>
      <c r="C217" s="5">
        <v>44414</v>
      </c>
      <c r="D217" s="5">
        <v>44416</v>
      </c>
      <c r="E217" t="s">
        <v>19</v>
      </c>
      <c r="F217" t="s">
        <v>22</v>
      </c>
      <c r="G217" t="s">
        <v>23</v>
      </c>
      <c r="H217" t="s">
        <v>31</v>
      </c>
      <c r="I217" t="s">
        <v>35</v>
      </c>
      <c r="J217" t="s">
        <v>40</v>
      </c>
      <c r="K217" t="s">
        <v>50</v>
      </c>
      <c r="L217" t="s">
        <v>51</v>
      </c>
      <c r="M217" s="7">
        <v>70888</v>
      </c>
      <c r="N217">
        <v>0.32</v>
      </c>
      <c r="O217" s="7">
        <v>19773</v>
      </c>
      <c r="P217">
        <v>2</v>
      </c>
      <c r="Q217" t="s">
        <v>58</v>
      </c>
      <c r="R217" t="s">
        <v>62</v>
      </c>
      <c r="S217">
        <f t="shared" si="15"/>
        <v>2021</v>
      </c>
      <c r="T217" t="str">
        <f t="shared" si="16"/>
        <v>Aug</v>
      </c>
      <c r="U217">
        <f t="shared" si="17"/>
        <v>2</v>
      </c>
      <c r="V217">
        <f t="shared" si="18"/>
        <v>4</v>
      </c>
      <c r="W217" s="9">
        <f t="shared" si="19"/>
        <v>0.27893296467667306</v>
      </c>
    </row>
    <row r="218" spans="1:23">
      <c r="A218">
        <v>10217</v>
      </c>
      <c r="B218" s="5">
        <v>44413</v>
      </c>
      <c r="C218" s="5">
        <v>44420</v>
      </c>
      <c r="D218" s="5">
        <v>44421</v>
      </c>
      <c r="E218" t="s">
        <v>19</v>
      </c>
      <c r="F218" t="s">
        <v>22</v>
      </c>
      <c r="G218" t="s">
        <v>28</v>
      </c>
      <c r="H218" t="s">
        <v>30</v>
      </c>
      <c r="I218" t="s">
        <v>35</v>
      </c>
      <c r="J218" t="s">
        <v>40</v>
      </c>
      <c r="K218" t="s">
        <v>45</v>
      </c>
      <c r="L218" t="s">
        <v>53</v>
      </c>
      <c r="M218" s="7">
        <v>44821</v>
      </c>
      <c r="N218">
        <v>0.27</v>
      </c>
      <c r="O218" s="7">
        <v>11425</v>
      </c>
      <c r="P218">
        <v>7</v>
      </c>
      <c r="Q218" t="s">
        <v>58</v>
      </c>
      <c r="R218" t="s">
        <v>60</v>
      </c>
      <c r="S218">
        <f t="shared" si="15"/>
        <v>2021</v>
      </c>
      <c r="T218" t="str">
        <f t="shared" si="16"/>
        <v>Aug</v>
      </c>
      <c r="U218">
        <f t="shared" si="17"/>
        <v>7</v>
      </c>
      <c r="V218">
        <f t="shared" si="18"/>
        <v>8</v>
      </c>
      <c r="W218" s="9">
        <f t="shared" si="19"/>
        <v>0.25490283572432565</v>
      </c>
    </row>
    <row r="219" spans="1:23">
      <c r="A219">
        <v>10218</v>
      </c>
      <c r="B219" s="5">
        <v>44414</v>
      </c>
      <c r="C219" s="5">
        <v>44421</v>
      </c>
      <c r="D219" s="5">
        <v>44425</v>
      </c>
      <c r="E219" t="s">
        <v>20</v>
      </c>
      <c r="F219" t="s">
        <v>22</v>
      </c>
      <c r="G219" t="s">
        <v>28</v>
      </c>
      <c r="H219" t="s">
        <v>29</v>
      </c>
      <c r="I219" t="s">
        <v>34</v>
      </c>
      <c r="J219" t="s">
        <v>41</v>
      </c>
      <c r="K219" t="s">
        <v>49</v>
      </c>
      <c r="L219" t="s">
        <v>52</v>
      </c>
      <c r="M219" s="7">
        <v>70418</v>
      </c>
      <c r="N219">
        <v>0.19</v>
      </c>
      <c r="O219" s="7">
        <v>3586</v>
      </c>
      <c r="P219">
        <v>4</v>
      </c>
      <c r="Q219" t="s">
        <v>56</v>
      </c>
      <c r="R219" t="s">
        <v>61</v>
      </c>
      <c r="S219">
        <f t="shared" si="15"/>
        <v>2021</v>
      </c>
      <c r="T219" t="str">
        <f t="shared" si="16"/>
        <v>Aug</v>
      </c>
      <c r="U219">
        <f t="shared" si="17"/>
        <v>7</v>
      </c>
      <c r="V219">
        <f t="shared" si="18"/>
        <v>11</v>
      </c>
      <c r="W219" s="9">
        <f t="shared" si="19"/>
        <v>5.0924479536482152E-2</v>
      </c>
    </row>
    <row r="220" spans="1:23">
      <c r="A220">
        <v>10219</v>
      </c>
      <c r="B220" s="5">
        <v>44415</v>
      </c>
      <c r="C220" s="5">
        <v>44422</v>
      </c>
      <c r="D220" s="5">
        <v>44423</v>
      </c>
      <c r="E220" t="s">
        <v>19</v>
      </c>
      <c r="F220" t="s">
        <v>22</v>
      </c>
      <c r="G220" t="s">
        <v>24</v>
      </c>
      <c r="H220" t="s">
        <v>31</v>
      </c>
      <c r="I220" t="s">
        <v>34</v>
      </c>
      <c r="J220" t="s">
        <v>38</v>
      </c>
      <c r="K220" t="s">
        <v>45</v>
      </c>
      <c r="L220" t="s">
        <v>52</v>
      </c>
      <c r="M220" s="7">
        <v>53976</v>
      </c>
      <c r="N220">
        <v>0.35</v>
      </c>
      <c r="O220" s="7">
        <v>-1891</v>
      </c>
      <c r="P220">
        <v>5</v>
      </c>
      <c r="Q220" t="s">
        <v>58</v>
      </c>
      <c r="R220" t="s">
        <v>62</v>
      </c>
      <c r="S220">
        <f t="shared" si="15"/>
        <v>2021</v>
      </c>
      <c r="T220" t="str">
        <f t="shared" si="16"/>
        <v>Aug</v>
      </c>
      <c r="U220">
        <f t="shared" si="17"/>
        <v>7</v>
      </c>
      <c r="V220">
        <f t="shared" si="18"/>
        <v>8</v>
      </c>
      <c r="W220" s="9">
        <f t="shared" si="19"/>
        <v>-3.5034089224840671E-2</v>
      </c>
    </row>
    <row r="221" spans="1:23">
      <c r="A221">
        <v>10220</v>
      </c>
      <c r="B221" s="5">
        <v>44416</v>
      </c>
      <c r="C221" s="5">
        <v>44423</v>
      </c>
      <c r="D221" s="5">
        <v>44426</v>
      </c>
      <c r="E221" t="s">
        <v>18</v>
      </c>
      <c r="F221" t="s">
        <v>22</v>
      </c>
      <c r="G221" t="s">
        <v>23</v>
      </c>
      <c r="H221" t="s">
        <v>29</v>
      </c>
      <c r="I221" t="s">
        <v>35</v>
      </c>
      <c r="J221" t="s">
        <v>39</v>
      </c>
      <c r="K221" t="s">
        <v>47</v>
      </c>
      <c r="L221" t="s">
        <v>53</v>
      </c>
      <c r="M221" s="7">
        <v>70383</v>
      </c>
      <c r="N221">
        <v>0.28999999999999998</v>
      </c>
      <c r="O221" s="7">
        <v>-996</v>
      </c>
      <c r="P221">
        <v>15</v>
      </c>
      <c r="Q221" t="s">
        <v>58</v>
      </c>
      <c r="R221" t="s">
        <v>59</v>
      </c>
      <c r="S221">
        <f t="shared" si="15"/>
        <v>2021</v>
      </c>
      <c r="T221" t="str">
        <f t="shared" si="16"/>
        <v>Aug</v>
      </c>
      <c r="U221">
        <f t="shared" si="17"/>
        <v>7</v>
      </c>
      <c r="V221">
        <f t="shared" si="18"/>
        <v>10</v>
      </c>
      <c r="W221" s="9">
        <f t="shared" si="19"/>
        <v>-1.415114445249563E-2</v>
      </c>
    </row>
    <row r="222" spans="1:23">
      <c r="A222">
        <v>10221</v>
      </c>
      <c r="B222" s="5">
        <v>44417</v>
      </c>
      <c r="C222" s="5">
        <v>44421</v>
      </c>
      <c r="D222" s="5">
        <v>44424</v>
      </c>
      <c r="E222" t="s">
        <v>20</v>
      </c>
      <c r="F222" t="s">
        <v>22</v>
      </c>
      <c r="G222" t="s">
        <v>24</v>
      </c>
      <c r="H222" t="s">
        <v>33</v>
      </c>
      <c r="I222" t="s">
        <v>36</v>
      </c>
      <c r="J222" t="s">
        <v>39</v>
      </c>
      <c r="K222" t="s">
        <v>49</v>
      </c>
      <c r="L222" t="s">
        <v>53</v>
      </c>
      <c r="M222" s="7">
        <v>5436</v>
      </c>
      <c r="N222">
        <v>0.32</v>
      </c>
      <c r="O222" s="7">
        <v>10523</v>
      </c>
      <c r="P222">
        <v>7</v>
      </c>
      <c r="Q222" t="s">
        <v>55</v>
      </c>
      <c r="R222" t="s">
        <v>62</v>
      </c>
      <c r="S222">
        <f t="shared" si="15"/>
        <v>2021</v>
      </c>
      <c r="T222" t="str">
        <f t="shared" si="16"/>
        <v>Aug</v>
      </c>
      <c r="U222">
        <f t="shared" si="17"/>
        <v>4</v>
      </c>
      <c r="V222">
        <f t="shared" si="18"/>
        <v>7</v>
      </c>
      <c r="W222" s="9">
        <f t="shared" si="19"/>
        <v>1.9357983811626196</v>
      </c>
    </row>
    <row r="223" spans="1:23">
      <c r="A223">
        <v>10222</v>
      </c>
      <c r="B223" s="5">
        <v>44418</v>
      </c>
      <c r="C223" s="5">
        <v>44421</v>
      </c>
      <c r="D223" s="5">
        <v>44425</v>
      </c>
      <c r="E223" t="s">
        <v>21</v>
      </c>
      <c r="F223" t="s">
        <v>22</v>
      </c>
      <c r="G223" t="s">
        <v>23</v>
      </c>
      <c r="H223" t="s">
        <v>31</v>
      </c>
      <c r="I223" t="s">
        <v>34</v>
      </c>
      <c r="J223" t="s">
        <v>38</v>
      </c>
      <c r="K223" t="s">
        <v>50</v>
      </c>
      <c r="L223" t="s">
        <v>53</v>
      </c>
      <c r="M223" s="7">
        <v>34740</v>
      </c>
      <c r="N223">
        <v>0.15</v>
      </c>
      <c r="O223" s="7">
        <v>920</v>
      </c>
      <c r="P223">
        <v>9</v>
      </c>
      <c r="Q223" t="s">
        <v>56</v>
      </c>
      <c r="R223" t="s">
        <v>61</v>
      </c>
      <c r="S223">
        <f t="shared" si="15"/>
        <v>2021</v>
      </c>
      <c r="T223" t="str">
        <f t="shared" si="16"/>
        <v>Aug</v>
      </c>
      <c r="U223">
        <f t="shared" si="17"/>
        <v>3</v>
      </c>
      <c r="V223">
        <f t="shared" si="18"/>
        <v>7</v>
      </c>
      <c r="W223" s="9">
        <f t="shared" si="19"/>
        <v>2.6482440990213012E-2</v>
      </c>
    </row>
    <row r="224" spans="1:23">
      <c r="A224">
        <v>10223</v>
      </c>
      <c r="B224" s="5">
        <v>44419</v>
      </c>
      <c r="C224" s="5">
        <v>44421</v>
      </c>
      <c r="D224" s="5">
        <v>44423</v>
      </c>
      <c r="E224" t="s">
        <v>20</v>
      </c>
      <c r="F224" t="s">
        <v>22</v>
      </c>
      <c r="G224" t="s">
        <v>28</v>
      </c>
      <c r="H224" t="s">
        <v>33</v>
      </c>
      <c r="I224" t="s">
        <v>35</v>
      </c>
      <c r="J224" t="s">
        <v>39</v>
      </c>
      <c r="K224" t="s">
        <v>48</v>
      </c>
      <c r="L224" t="s">
        <v>52</v>
      </c>
      <c r="M224" s="7">
        <v>44686</v>
      </c>
      <c r="N224">
        <v>0.22</v>
      </c>
      <c r="O224" s="7">
        <v>17877</v>
      </c>
      <c r="P224">
        <v>18</v>
      </c>
      <c r="Q224" t="s">
        <v>57</v>
      </c>
      <c r="R224" t="s">
        <v>60</v>
      </c>
      <c r="S224">
        <f t="shared" si="15"/>
        <v>2021</v>
      </c>
      <c r="T224" t="str">
        <f t="shared" si="16"/>
        <v>Aug</v>
      </c>
      <c r="U224">
        <f t="shared" si="17"/>
        <v>2</v>
      </c>
      <c r="V224">
        <f t="shared" si="18"/>
        <v>4</v>
      </c>
      <c r="W224" s="9">
        <f t="shared" si="19"/>
        <v>0.4000581837712035</v>
      </c>
    </row>
    <row r="225" spans="1:23">
      <c r="A225">
        <v>10224</v>
      </c>
      <c r="B225" s="5">
        <v>44420</v>
      </c>
      <c r="C225" s="5">
        <v>44425</v>
      </c>
      <c r="D225" s="5">
        <v>44430</v>
      </c>
      <c r="E225" t="s">
        <v>21</v>
      </c>
      <c r="F225" t="s">
        <v>22</v>
      </c>
      <c r="G225" t="s">
        <v>27</v>
      </c>
      <c r="H225" t="s">
        <v>33</v>
      </c>
      <c r="I225" t="s">
        <v>35</v>
      </c>
      <c r="J225" t="s">
        <v>43</v>
      </c>
      <c r="K225" t="s">
        <v>46</v>
      </c>
      <c r="L225" t="s">
        <v>51</v>
      </c>
      <c r="M225" s="7">
        <v>38268</v>
      </c>
      <c r="N225">
        <v>0.05</v>
      </c>
      <c r="O225" s="7">
        <v>17423</v>
      </c>
      <c r="P225">
        <v>13</v>
      </c>
      <c r="Q225" t="s">
        <v>57</v>
      </c>
      <c r="R225" t="s">
        <v>60</v>
      </c>
      <c r="S225">
        <f t="shared" si="15"/>
        <v>2021</v>
      </c>
      <c r="T225" t="str">
        <f t="shared" si="16"/>
        <v>Aug</v>
      </c>
      <c r="U225">
        <f t="shared" si="17"/>
        <v>5</v>
      </c>
      <c r="V225">
        <f t="shared" si="18"/>
        <v>10</v>
      </c>
      <c r="W225" s="9">
        <f t="shared" si="19"/>
        <v>0.45528901432005853</v>
      </c>
    </row>
    <row r="226" spans="1:23">
      <c r="A226">
        <v>10225</v>
      </c>
      <c r="B226" s="5">
        <v>44421</v>
      </c>
      <c r="C226" s="5">
        <v>44423</v>
      </c>
      <c r="D226" s="5">
        <v>44424</v>
      </c>
      <c r="E226" t="s">
        <v>18</v>
      </c>
      <c r="F226" t="s">
        <v>22</v>
      </c>
      <c r="G226" t="s">
        <v>24</v>
      </c>
      <c r="H226" t="s">
        <v>30</v>
      </c>
      <c r="I226" t="s">
        <v>36</v>
      </c>
      <c r="J226" t="s">
        <v>39</v>
      </c>
      <c r="K226" t="s">
        <v>47</v>
      </c>
      <c r="L226" t="s">
        <v>51</v>
      </c>
      <c r="M226" s="7">
        <v>24119</v>
      </c>
      <c r="N226">
        <v>0.19</v>
      </c>
      <c r="O226" s="7">
        <v>3700</v>
      </c>
      <c r="P226">
        <v>6</v>
      </c>
      <c r="Q226" t="s">
        <v>57</v>
      </c>
      <c r="R226" t="s">
        <v>62</v>
      </c>
      <c r="S226">
        <f t="shared" si="15"/>
        <v>2021</v>
      </c>
      <c r="T226" t="str">
        <f t="shared" si="16"/>
        <v>Aug</v>
      </c>
      <c r="U226">
        <f t="shared" si="17"/>
        <v>2</v>
      </c>
      <c r="V226">
        <f t="shared" si="18"/>
        <v>3</v>
      </c>
      <c r="W226" s="9">
        <f t="shared" si="19"/>
        <v>0.15340602844230689</v>
      </c>
    </row>
    <row r="227" spans="1:23">
      <c r="A227">
        <v>10226</v>
      </c>
      <c r="B227" s="5">
        <v>44422</v>
      </c>
      <c r="C227" s="5">
        <v>44425</v>
      </c>
      <c r="D227" s="5">
        <v>44427</v>
      </c>
      <c r="E227" t="s">
        <v>18</v>
      </c>
      <c r="F227" t="s">
        <v>22</v>
      </c>
      <c r="G227" t="s">
        <v>27</v>
      </c>
      <c r="H227" t="s">
        <v>25</v>
      </c>
      <c r="I227" t="s">
        <v>36</v>
      </c>
      <c r="J227" t="s">
        <v>38</v>
      </c>
      <c r="K227" t="s">
        <v>49</v>
      </c>
      <c r="L227" t="s">
        <v>51</v>
      </c>
      <c r="M227" s="7">
        <v>71656</v>
      </c>
      <c r="N227">
        <v>0.34</v>
      </c>
      <c r="O227" s="7">
        <v>12360</v>
      </c>
      <c r="P227">
        <v>19</v>
      </c>
      <c r="Q227" t="s">
        <v>54</v>
      </c>
      <c r="R227" t="s">
        <v>61</v>
      </c>
      <c r="S227">
        <f t="shared" si="15"/>
        <v>2021</v>
      </c>
      <c r="T227" t="str">
        <f t="shared" si="16"/>
        <v>Aug</v>
      </c>
      <c r="U227">
        <f t="shared" si="17"/>
        <v>3</v>
      </c>
      <c r="V227">
        <f t="shared" si="18"/>
        <v>5</v>
      </c>
      <c r="W227" s="9">
        <f t="shared" si="19"/>
        <v>0.17249078932678352</v>
      </c>
    </row>
    <row r="228" spans="1:23">
      <c r="A228">
        <v>10227</v>
      </c>
      <c r="B228" s="5">
        <v>44423</v>
      </c>
      <c r="C228" s="5">
        <v>44426</v>
      </c>
      <c r="D228" s="5">
        <v>44431</v>
      </c>
      <c r="E228" t="s">
        <v>18</v>
      </c>
      <c r="F228" t="s">
        <v>22</v>
      </c>
      <c r="G228" t="s">
        <v>28</v>
      </c>
      <c r="H228" t="s">
        <v>31</v>
      </c>
      <c r="I228" t="s">
        <v>36</v>
      </c>
      <c r="J228" t="s">
        <v>42</v>
      </c>
      <c r="K228" t="s">
        <v>50</v>
      </c>
      <c r="L228" t="s">
        <v>51</v>
      </c>
      <c r="M228" s="7">
        <v>10344</v>
      </c>
      <c r="N228">
        <v>0.22</v>
      </c>
      <c r="O228" s="7">
        <v>8391</v>
      </c>
      <c r="P228">
        <v>20</v>
      </c>
      <c r="Q228" t="s">
        <v>54</v>
      </c>
      <c r="R228" t="s">
        <v>59</v>
      </c>
      <c r="S228">
        <f t="shared" si="15"/>
        <v>2021</v>
      </c>
      <c r="T228" t="str">
        <f t="shared" si="16"/>
        <v>Aug</v>
      </c>
      <c r="U228">
        <f t="shared" si="17"/>
        <v>3</v>
      </c>
      <c r="V228">
        <f t="shared" si="18"/>
        <v>8</v>
      </c>
      <c r="W228" s="9">
        <f t="shared" si="19"/>
        <v>0.81119489559164737</v>
      </c>
    </row>
    <row r="229" spans="1:23">
      <c r="A229">
        <v>10228</v>
      </c>
      <c r="B229" s="5">
        <v>44424</v>
      </c>
      <c r="C229" s="5">
        <v>44428</v>
      </c>
      <c r="D229" s="5">
        <v>44431</v>
      </c>
      <c r="E229" t="s">
        <v>21</v>
      </c>
      <c r="F229" t="s">
        <v>22</v>
      </c>
      <c r="G229" t="s">
        <v>25</v>
      </c>
      <c r="H229" t="s">
        <v>29</v>
      </c>
      <c r="I229" t="s">
        <v>34</v>
      </c>
      <c r="J229" t="s">
        <v>37</v>
      </c>
      <c r="K229" t="s">
        <v>46</v>
      </c>
      <c r="L229" t="s">
        <v>51</v>
      </c>
      <c r="M229" s="7">
        <v>35823</v>
      </c>
      <c r="N229">
        <v>0.14000000000000001</v>
      </c>
      <c r="O229" s="7">
        <v>14023</v>
      </c>
      <c r="P229">
        <v>6</v>
      </c>
      <c r="Q229" t="s">
        <v>58</v>
      </c>
      <c r="R229" t="s">
        <v>60</v>
      </c>
      <c r="S229">
        <f t="shared" si="15"/>
        <v>2021</v>
      </c>
      <c r="T229" t="str">
        <f t="shared" si="16"/>
        <v>Aug</v>
      </c>
      <c r="U229">
        <f t="shared" si="17"/>
        <v>4</v>
      </c>
      <c r="V229">
        <f t="shared" si="18"/>
        <v>7</v>
      </c>
      <c r="W229" s="9">
        <f t="shared" si="19"/>
        <v>0.39145241883706</v>
      </c>
    </row>
    <row r="230" spans="1:23">
      <c r="A230">
        <v>10229</v>
      </c>
      <c r="B230" s="5">
        <v>44425</v>
      </c>
      <c r="C230" s="5">
        <v>44429</v>
      </c>
      <c r="D230" s="5">
        <v>44434</v>
      </c>
      <c r="E230" t="s">
        <v>18</v>
      </c>
      <c r="F230" t="s">
        <v>22</v>
      </c>
      <c r="G230" t="s">
        <v>25</v>
      </c>
      <c r="H230" t="s">
        <v>33</v>
      </c>
      <c r="I230" t="s">
        <v>35</v>
      </c>
      <c r="J230" t="s">
        <v>38</v>
      </c>
      <c r="K230" t="s">
        <v>49</v>
      </c>
      <c r="L230" t="s">
        <v>52</v>
      </c>
      <c r="M230" s="7">
        <v>13165</v>
      </c>
      <c r="N230">
        <v>0.12</v>
      </c>
      <c r="O230" s="7">
        <v>2016</v>
      </c>
      <c r="P230">
        <v>16</v>
      </c>
      <c r="Q230" t="s">
        <v>54</v>
      </c>
      <c r="R230" t="s">
        <v>62</v>
      </c>
      <c r="S230">
        <f t="shared" si="15"/>
        <v>2021</v>
      </c>
      <c r="T230" t="str">
        <f t="shared" si="16"/>
        <v>Aug</v>
      </c>
      <c r="U230">
        <f t="shared" si="17"/>
        <v>4</v>
      </c>
      <c r="V230">
        <f t="shared" si="18"/>
        <v>9</v>
      </c>
      <c r="W230" s="9">
        <f t="shared" si="19"/>
        <v>0.15313330801367261</v>
      </c>
    </row>
    <row r="231" spans="1:23">
      <c r="A231">
        <v>10230</v>
      </c>
      <c r="B231" s="5">
        <v>44426</v>
      </c>
      <c r="C231" s="5">
        <v>44430</v>
      </c>
      <c r="D231" s="5">
        <v>44433</v>
      </c>
      <c r="E231" t="s">
        <v>19</v>
      </c>
      <c r="F231" t="s">
        <v>22</v>
      </c>
      <c r="G231" t="s">
        <v>26</v>
      </c>
      <c r="H231" t="s">
        <v>31</v>
      </c>
      <c r="I231" t="s">
        <v>35</v>
      </c>
      <c r="J231" t="s">
        <v>43</v>
      </c>
      <c r="K231" t="s">
        <v>50</v>
      </c>
      <c r="L231" t="s">
        <v>53</v>
      </c>
      <c r="M231" s="7">
        <v>41850</v>
      </c>
      <c r="N231">
        <v>0.03</v>
      </c>
      <c r="O231" s="7">
        <v>14713</v>
      </c>
      <c r="P231">
        <v>18</v>
      </c>
      <c r="Q231" t="s">
        <v>57</v>
      </c>
      <c r="R231" t="s">
        <v>59</v>
      </c>
      <c r="S231">
        <f t="shared" si="15"/>
        <v>2021</v>
      </c>
      <c r="T231" t="str">
        <f t="shared" si="16"/>
        <v>Aug</v>
      </c>
      <c r="U231">
        <f t="shared" si="17"/>
        <v>4</v>
      </c>
      <c r="V231">
        <f t="shared" si="18"/>
        <v>7</v>
      </c>
      <c r="W231" s="9">
        <f t="shared" si="19"/>
        <v>0.35156511350059738</v>
      </c>
    </row>
    <row r="232" spans="1:23">
      <c r="A232">
        <v>10231</v>
      </c>
      <c r="B232" s="5">
        <v>44427</v>
      </c>
      <c r="C232" s="5">
        <v>44433</v>
      </c>
      <c r="D232" s="5">
        <v>44436</v>
      </c>
      <c r="E232" t="s">
        <v>19</v>
      </c>
      <c r="F232" t="s">
        <v>22</v>
      </c>
      <c r="G232" t="s">
        <v>23</v>
      </c>
      <c r="H232" t="s">
        <v>29</v>
      </c>
      <c r="I232" t="s">
        <v>34</v>
      </c>
      <c r="J232" t="s">
        <v>39</v>
      </c>
      <c r="K232" t="s">
        <v>47</v>
      </c>
      <c r="L232" t="s">
        <v>53</v>
      </c>
      <c r="M232" s="7">
        <v>13243</v>
      </c>
      <c r="N232">
        <v>0.17</v>
      </c>
      <c r="O232" s="7">
        <v>16654</v>
      </c>
      <c r="P232">
        <v>6</v>
      </c>
      <c r="Q232" t="s">
        <v>58</v>
      </c>
      <c r="R232" t="s">
        <v>62</v>
      </c>
      <c r="S232">
        <f t="shared" si="15"/>
        <v>2021</v>
      </c>
      <c r="T232" t="str">
        <f t="shared" si="16"/>
        <v>Aug</v>
      </c>
      <c r="U232">
        <f t="shared" si="17"/>
        <v>6</v>
      </c>
      <c r="V232">
        <f t="shared" si="18"/>
        <v>9</v>
      </c>
      <c r="W232" s="9">
        <f t="shared" si="19"/>
        <v>1.2575700370006797</v>
      </c>
    </row>
    <row r="233" spans="1:23">
      <c r="A233">
        <v>10232</v>
      </c>
      <c r="B233" s="5">
        <v>44428</v>
      </c>
      <c r="C233" s="5">
        <v>44435</v>
      </c>
      <c r="D233" s="5">
        <v>44437</v>
      </c>
      <c r="E233" t="s">
        <v>20</v>
      </c>
      <c r="F233" t="s">
        <v>22</v>
      </c>
      <c r="G233" t="s">
        <v>23</v>
      </c>
      <c r="H233" t="s">
        <v>33</v>
      </c>
      <c r="I233" t="s">
        <v>34</v>
      </c>
      <c r="J233" t="s">
        <v>40</v>
      </c>
      <c r="K233" t="s">
        <v>49</v>
      </c>
      <c r="L233" t="s">
        <v>52</v>
      </c>
      <c r="M233" s="7">
        <v>65961</v>
      </c>
      <c r="N233">
        <v>0.28999999999999998</v>
      </c>
      <c r="O233" s="7">
        <v>-385</v>
      </c>
      <c r="P233">
        <v>3</v>
      </c>
      <c r="Q233" t="s">
        <v>54</v>
      </c>
      <c r="R233" t="s">
        <v>60</v>
      </c>
      <c r="S233">
        <f t="shared" si="15"/>
        <v>2021</v>
      </c>
      <c r="T233" t="str">
        <f t="shared" si="16"/>
        <v>Aug</v>
      </c>
      <c r="U233">
        <f t="shared" si="17"/>
        <v>7</v>
      </c>
      <c r="V233">
        <f t="shared" si="18"/>
        <v>9</v>
      </c>
      <c r="W233" s="9">
        <f t="shared" si="19"/>
        <v>-5.8367823410803354E-3</v>
      </c>
    </row>
    <row r="234" spans="1:23">
      <c r="A234">
        <v>10233</v>
      </c>
      <c r="B234" s="5">
        <v>44429</v>
      </c>
      <c r="C234" s="5">
        <v>44435</v>
      </c>
      <c r="D234" s="5">
        <v>44439</v>
      </c>
      <c r="E234" t="s">
        <v>18</v>
      </c>
      <c r="F234" t="s">
        <v>22</v>
      </c>
      <c r="G234" t="s">
        <v>25</v>
      </c>
      <c r="H234" t="s">
        <v>25</v>
      </c>
      <c r="I234" t="s">
        <v>34</v>
      </c>
      <c r="J234" t="s">
        <v>41</v>
      </c>
      <c r="K234" t="s">
        <v>45</v>
      </c>
      <c r="L234" t="s">
        <v>51</v>
      </c>
      <c r="M234" s="7">
        <v>2622</v>
      </c>
      <c r="N234">
        <v>0.02</v>
      </c>
      <c r="O234" s="7">
        <v>17350</v>
      </c>
      <c r="P234">
        <v>8</v>
      </c>
      <c r="Q234" t="s">
        <v>57</v>
      </c>
      <c r="R234" t="s">
        <v>59</v>
      </c>
      <c r="S234">
        <f t="shared" si="15"/>
        <v>2021</v>
      </c>
      <c r="T234" t="str">
        <f t="shared" si="16"/>
        <v>Aug</v>
      </c>
      <c r="U234">
        <f t="shared" si="17"/>
        <v>6</v>
      </c>
      <c r="V234">
        <f t="shared" si="18"/>
        <v>10</v>
      </c>
      <c r="W234" s="9">
        <f t="shared" si="19"/>
        <v>6.6170861937452328</v>
      </c>
    </row>
    <row r="235" spans="1:23">
      <c r="A235">
        <v>10234</v>
      </c>
      <c r="B235" s="5">
        <v>44430</v>
      </c>
      <c r="C235" s="5">
        <v>44434</v>
      </c>
      <c r="D235" s="5">
        <v>44436</v>
      </c>
      <c r="E235" t="s">
        <v>20</v>
      </c>
      <c r="F235" t="s">
        <v>22</v>
      </c>
      <c r="G235" t="s">
        <v>23</v>
      </c>
      <c r="H235" t="s">
        <v>25</v>
      </c>
      <c r="I235" t="s">
        <v>35</v>
      </c>
      <c r="J235" t="s">
        <v>39</v>
      </c>
      <c r="K235" t="s">
        <v>50</v>
      </c>
      <c r="L235" t="s">
        <v>53</v>
      </c>
      <c r="M235" s="7">
        <v>39522</v>
      </c>
      <c r="N235">
        <v>0.19</v>
      </c>
      <c r="O235" s="7">
        <v>13920</v>
      </c>
      <c r="P235">
        <v>1</v>
      </c>
      <c r="Q235" t="s">
        <v>58</v>
      </c>
      <c r="R235" t="s">
        <v>61</v>
      </c>
      <c r="S235">
        <f t="shared" si="15"/>
        <v>2021</v>
      </c>
      <c r="T235" t="str">
        <f t="shared" si="16"/>
        <v>Aug</v>
      </c>
      <c r="U235">
        <f t="shared" si="17"/>
        <v>4</v>
      </c>
      <c r="V235">
        <f t="shared" si="18"/>
        <v>6</v>
      </c>
      <c r="W235" s="9">
        <f t="shared" si="19"/>
        <v>0.35220889631091545</v>
      </c>
    </row>
    <row r="236" spans="1:23">
      <c r="A236">
        <v>10235</v>
      </c>
      <c r="B236" s="5">
        <v>44431</v>
      </c>
      <c r="C236" s="5">
        <v>44437</v>
      </c>
      <c r="D236" s="5">
        <v>44440</v>
      </c>
      <c r="E236" t="s">
        <v>19</v>
      </c>
      <c r="F236" t="s">
        <v>22</v>
      </c>
      <c r="G236" t="s">
        <v>26</v>
      </c>
      <c r="H236" t="s">
        <v>31</v>
      </c>
      <c r="I236" t="s">
        <v>34</v>
      </c>
      <c r="J236" t="s">
        <v>38</v>
      </c>
      <c r="K236" t="s">
        <v>44</v>
      </c>
      <c r="L236" t="s">
        <v>53</v>
      </c>
      <c r="M236" s="7">
        <v>35466</v>
      </c>
      <c r="N236">
        <v>0.04</v>
      </c>
      <c r="O236" s="7">
        <v>9376</v>
      </c>
      <c r="P236">
        <v>11</v>
      </c>
      <c r="Q236" t="s">
        <v>57</v>
      </c>
      <c r="R236" t="s">
        <v>59</v>
      </c>
      <c r="S236">
        <f t="shared" si="15"/>
        <v>2021</v>
      </c>
      <c r="T236" t="str">
        <f t="shared" si="16"/>
        <v>Aug</v>
      </c>
      <c r="U236">
        <f t="shared" si="17"/>
        <v>6</v>
      </c>
      <c r="V236">
        <f t="shared" si="18"/>
        <v>9</v>
      </c>
      <c r="W236" s="9">
        <f t="shared" si="19"/>
        <v>0.2643658715389387</v>
      </c>
    </row>
    <row r="237" spans="1:23">
      <c r="A237">
        <v>10236</v>
      </c>
      <c r="B237" s="5">
        <v>44432</v>
      </c>
      <c r="C237" s="5">
        <v>44439</v>
      </c>
      <c r="D237" s="5">
        <v>44444</v>
      </c>
      <c r="E237" t="s">
        <v>20</v>
      </c>
      <c r="F237" t="s">
        <v>22</v>
      </c>
      <c r="G237" t="s">
        <v>28</v>
      </c>
      <c r="H237" t="s">
        <v>33</v>
      </c>
      <c r="I237" t="s">
        <v>36</v>
      </c>
      <c r="J237" t="s">
        <v>38</v>
      </c>
      <c r="K237" t="s">
        <v>45</v>
      </c>
      <c r="L237" t="s">
        <v>53</v>
      </c>
      <c r="M237" s="7">
        <v>15501</v>
      </c>
      <c r="N237">
        <v>0.04</v>
      </c>
      <c r="O237" s="7">
        <v>11128</v>
      </c>
      <c r="P237">
        <v>11</v>
      </c>
      <c r="Q237" t="s">
        <v>57</v>
      </c>
      <c r="R237" t="s">
        <v>61</v>
      </c>
      <c r="S237">
        <f t="shared" si="15"/>
        <v>2021</v>
      </c>
      <c r="T237" t="str">
        <f t="shared" si="16"/>
        <v>Aug</v>
      </c>
      <c r="U237">
        <f t="shared" si="17"/>
        <v>7</v>
      </c>
      <c r="V237">
        <f t="shared" si="18"/>
        <v>12</v>
      </c>
      <c r="W237" s="9">
        <f t="shared" si="19"/>
        <v>0.7178891684407458</v>
      </c>
    </row>
    <row r="238" spans="1:23">
      <c r="A238">
        <v>10237</v>
      </c>
      <c r="B238" s="5">
        <v>44433</v>
      </c>
      <c r="C238" s="5">
        <v>44438</v>
      </c>
      <c r="D238" s="5">
        <v>44440</v>
      </c>
      <c r="E238" t="s">
        <v>18</v>
      </c>
      <c r="F238" t="s">
        <v>22</v>
      </c>
      <c r="G238" t="s">
        <v>26</v>
      </c>
      <c r="H238" t="s">
        <v>33</v>
      </c>
      <c r="I238" t="s">
        <v>36</v>
      </c>
      <c r="J238" t="s">
        <v>40</v>
      </c>
      <c r="K238" t="s">
        <v>46</v>
      </c>
      <c r="L238" t="s">
        <v>52</v>
      </c>
      <c r="M238" s="7">
        <v>56612</v>
      </c>
      <c r="N238">
        <v>0.28999999999999998</v>
      </c>
      <c r="O238" s="7">
        <v>11288</v>
      </c>
      <c r="P238">
        <v>17</v>
      </c>
      <c r="Q238" t="s">
        <v>56</v>
      </c>
      <c r="R238" t="s">
        <v>62</v>
      </c>
      <c r="S238">
        <f t="shared" si="15"/>
        <v>2021</v>
      </c>
      <c r="T238" t="str">
        <f t="shared" si="16"/>
        <v>Aug</v>
      </c>
      <c r="U238">
        <f t="shared" si="17"/>
        <v>5</v>
      </c>
      <c r="V238">
        <f t="shared" si="18"/>
        <v>7</v>
      </c>
      <c r="W238" s="9">
        <f t="shared" si="19"/>
        <v>0.19939235497774324</v>
      </c>
    </row>
    <row r="239" spans="1:23">
      <c r="A239">
        <v>10238</v>
      </c>
      <c r="B239" s="5">
        <v>44434</v>
      </c>
      <c r="C239" s="5">
        <v>44441</v>
      </c>
      <c r="D239" s="5">
        <v>44446</v>
      </c>
      <c r="E239" t="s">
        <v>18</v>
      </c>
      <c r="F239" t="s">
        <v>22</v>
      </c>
      <c r="G239" t="s">
        <v>24</v>
      </c>
      <c r="H239" t="s">
        <v>33</v>
      </c>
      <c r="I239" t="s">
        <v>35</v>
      </c>
      <c r="J239" t="s">
        <v>40</v>
      </c>
      <c r="K239" t="s">
        <v>45</v>
      </c>
      <c r="L239" t="s">
        <v>52</v>
      </c>
      <c r="M239" s="7">
        <v>12578</v>
      </c>
      <c r="N239">
        <v>0.39</v>
      </c>
      <c r="O239" s="7">
        <v>16811</v>
      </c>
      <c r="P239">
        <v>24</v>
      </c>
      <c r="Q239" t="s">
        <v>56</v>
      </c>
      <c r="R239" t="s">
        <v>61</v>
      </c>
      <c r="S239">
        <f t="shared" si="15"/>
        <v>2021</v>
      </c>
      <c r="T239" t="str">
        <f t="shared" si="16"/>
        <v>Aug</v>
      </c>
      <c r="U239">
        <f t="shared" si="17"/>
        <v>7</v>
      </c>
      <c r="V239">
        <f t="shared" si="18"/>
        <v>12</v>
      </c>
      <c r="W239" s="9">
        <f t="shared" si="19"/>
        <v>1.3365399904595325</v>
      </c>
    </row>
    <row r="240" spans="1:23">
      <c r="A240">
        <v>10239</v>
      </c>
      <c r="B240" s="5">
        <v>44435</v>
      </c>
      <c r="C240" s="5">
        <v>44437</v>
      </c>
      <c r="D240" s="5">
        <v>44439</v>
      </c>
      <c r="E240" t="s">
        <v>20</v>
      </c>
      <c r="F240" t="s">
        <v>22</v>
      </c>
      <c r="G240" t="s">
        <v>23</v>
      </c>
      <c r="H240" t="s">
        <v>30</v>
      </c>
      <c r="I240" t="s">
        <v>36</v>
      </c>
      <c r="J240" t="s">
        <v>38</v>
      </c>
      <c r="K240" t="s">
        <v>46</v>
      </c>
      <c r="L240" t="s">
        <v>53</v>
      </c>
      <c r="M240" s="7">
        <v>35299</v>
      </c>
      <c r="N240">
        <v>7.0000000000000007E-2</v>
      </c>
      <c r="O240" s="7">
        <v>18427</v>
      </c>
      <c r="P240">
        <v>20</v>
      </c>
      <c r="Q240" t="s">
        <v>58</v>
      </c>
      <c r="R240" t="s">
        <v>60</v>
      </c>
      <c r="S240">
        <f t="shared" si="15"/>
        <v>2021</v>
      </c>
      <c r="T240" t="str">
        <f t="shared" si="16"/>
        <v>Aug</v>
      </c>
      <c r="U240">
        <f t="shared" si="17"/>
        <v>2</v>
      </c>
      <c r="V240">
        <f t="shared" si="18"/>
        <v>4</v>
      </c>
      <c r="W240" s="9">
        <f t="shared" si="19"/>
        <v>0.52202611972010537</v>
      </c>
    </row>
    <row r="241" spans="1:23">
      <c r="A241">
        <v>10240</v>
      </c>
      <c r="B241" s="5">
        <v>44436</v>
      </c>
      <c r="C241" s="5">
        <v>44438</v>
      </c>
      <c r="D241" s="5">
        <v>44440</v>
      </c>
      <c r="E241" t="s">
        <v>20</v>
      </c>
      <c r="F241" t="s">
        <v>22</v>
      </c>
      <c r="G241" t="s">
        <v>27</v>
      </c>
      <c r="H241" t="s">
        <v>30</v>
      </c>
      <c r="I241" t="s">
        <v>36</v>
      </c>
      <c r="J241" t="s">
        <v>42</v>
      </c>
      <c r="K241" t="s">
        <v>46</v>
      </c>
      <c r="L241" t="s">
        <v>52</v>
      </c>
      <c r="M241" s="7">
        <v>45076</v>
      </c>
      <c r="N241">
        <v>0.27</v>
      </c>
      <c r="O241" s="7">
        <v>5174</v>
      </c>
      <c r="P241">
        <v>7</v>
      </c>
      <c r="Q241" t="s">
        <v>56</v>
      </c>
      <c r="R241" t="s">
        <v>61</v>
      </c>
      <c r="S241">
        <f t="shared" si="15"/>
        <v>2021</v>
      </c>
      <c r="T241" t="str">
        <f t="shared" si="16"/>
        <v>Aug</v>
      </c>
      <c r="U241">
        <f t="shared" si="17"/>
        <v>2</v>
      </c>
      <c r="V241">
        <f t="shared" si="18"/>
        <v>4</v>
      </c>
      <c r="W241" s="9">
        <f t="shared" si="19"/>
        <v>0.11478392048983939</v>
      </c>
    </row>
    <row r="242" spans="1:23">
      <c r="A242">
        <v>10241</v>
      </c>
      <c r="B242" s="5">
        <v>44437</v>
      </c>
      <c r="C242" s="5">
        <v>44442</v>
      </c>
      <c r="D242" s="5">
        <v>44443</v>
      </c>
      <c r="E242" t="s">
        <v>19</v>
      </c>
      <c r="F242" t="s">
        <v>22</v>
      </c>
      <c r="G242" t="s">
        <v>27</v>
      </c>
      <c r="H242" t="s">
        <v>25</v>
      </c>
      <c r="I242" t="s">
        <v>36</v>
      </c>
      <c r="J242" t="s">
        <v>41</v>
      </c>
      <c r="K242" t="s">
        <v>44</v>
      </c>
      <c r="L242" t="s">
        <v>51</v>
      </c>
      <c r="M242" s="7">
        <v>57777</v>
      </c>
      <c r="N242">
        <v>0.27</v>
      </c>
      <c r="O242" s="7">
        <v>2238</v>
      </c>
      <c r="P242">
        <v>10</v>
      </c>
      <c r="Q242" t="s">
        <v>57</v>
      </c>
      <c r="R242" t="s">
        <v>60</v>
      </c>
      <c r="S242">
        <f t="shared" si="15"/>
        <v>2021</v>
      </c>
      <c r="T242" t="str">
        <f t="shared" si="16"/>
        <v>Aug</v>
      </c>
      <c r="U242">
        <f t="shared" si="17"/>
        <v>5</v>
      </c>
      <c r="V242">
        <f t="shared" si="18"/>
        <v>6</v>
      </c>
      <c r="W242" s="9">
        <f t="shared" si="19"/>
        <v>3.8735136819149488E-2</v>
      </c>
    </row>
    <row r="243" spans="1:23">
      <c r="A243">
        <v>10242</v>
      </c>
      <c r="B243" s="5">
        <v>44438</v>
      </c>
      <c r="C243" s="5">
        <v>44443</v>
      </c>
      <c r="D243" s="5">
        <v>44448</v>
      </c>
      <c r="E243" t="s">
        <v>19</v>
      </c>
      <c r="F243" t="s">
        <v>22</v>
      </c>
      <c r="G243" t="s">
        <v>24</v>
      </c>
      <c r="H243" t="s">
        <v>29</v>
      </c>
      <c r="I243" t="s">
        <v>35</v>
      </c>
      <c r="J243" t="s">
        <v>41</v>
      </c>
      <c r="K243" t="s">
        <v>48</v>
      </c>
      <c r="L243" t="s">
        <v>51</v>
      </c>
      <c r="M243" s="7">
        <v>15544</v>
      </c>
      <c r="N243">
        <v>7.0000000000000007E-2</v>
      </c>
      <c r="O243" s="7">
        <v>7184</v>
      </c>
      <c r="P243">
        <v>4</v>
      </c>
      <c r="Q243" t="s">
        <v>57</v>
      </c>
      <c r="R243" t="s">
        <v>60</v>
      </c>
      <c r="S243">
        <f t="shared" si="15"/>
        <v>2021</v>
      </c>
      <c r="T243" t="str">
        <f t="shared" si="16"/>
        <v>Aug</v>
      </c>
      <c r="U243">
        <f t="shared" si="17"/>
        <v>5</v>
      </c>
      <c r="V243">
        <f t="shared" si="18"/>
        <v>10</v>
      </c>
      <c r="W243" s="9">
        <f t="shared" si="19"/>
        <v>0.46217189912506434</v>
      </c>
    </row>
    <row r="244" spans="1:23">
      <c r="A244">
        <v>10243</v>
      </c>
      <c r="B244" s="5">
        <v>44439</v>
      </c>
      <c r="C244" s="5">
        <v>44443</v>
      </c>
      <c r="D244" s="5">
        <v>44446</v>
      </c>
      <c r="E244" t="s">
        <v>18</v>
      </c>
      <c r="F244" t="s">
        <v>22</v>
      </c>
      <c r="G244" t="s">
        <v>24</v>
      </c>
      <c r="H244" t="s">
        <v>32</v>
      </c>
      <c r="I244" t="s">
        <v>36</v>
      </c>
      <c r="J244" t="s">
        <v>39</v>
      </c>
      <c r="K244" t="s">
        <v>46</v>
      </c>
      <c r="L244" t="s">
        <v>53</v>
      </c>
      <c r="M244" s="7">
        <v>50532</v>
      </c>
      <c r="N244">
        <v>0.18</v>
      </c>
      <c r="O244" s="7">
        <v>4427</v>
      </c>
      <c r="P244">
        <v>8</v>
      </c>
      <c r="Q244" t="s">
        <v>58</v>
      </c>
      <c r="R244" t="s">
        <v>60</v>
      </c>
      <c r="S244">
        <f t="shared" si="15"/>
        <v>2021</v>
      </c>
      <c r="T244" t="str">
        <f t="shared" si="16"/>
        <v>Aug</v>
      </c>
      <c r="U244">
        <f t="shared" si="17"/>
        <v>4</v>
      </c>
      <c r="V244">
        <f t="shared" si="18"/>
        <v>7</v>
      </c>
      <c r="W244" s="9">
        <f t="shared" si="19"/>
        <v>8.7607852449932716E-2</v>
      </c>
    </row>
    <row r="245" spans="1:23">
      <c r="A245">
        <v>10244</v>
      </c>
      <c r="B245" s="5">
        <v>44440</v>
      </c>
      <c r="C245" s="5">
        <v>44444</v>
      </c>
      <c r="D245" s="5">
        <v>44446</v>
      </c>
      <c r="E245" t="s">
        <v>21</v>
      </c>
      <c r="F245" t="s">
        <v>22</v>
      </c>
      <c r="G245" t="s">
        <v>23</v>
      </c>
      <c r="H245" t="s">
        <v>31</v>
      </c>
      <c r="I245" t="s">
        <v>34</v>
      </c>
      <c r="J245" t="s">
        <v>40</v>
      </c>
      <c r="K245" t="s">
        <v>48</v>
      </c>
      <c r="L245" t="s">
        <v>52</v>
      </c>
      <c r="M245" s="7">
        <v>8536</v>
      </c>
      <c r="N245">
        <v>0.03</v>
      </c>
      <c r="O245" s="7">
        <v>12380</v>
      </c>
      <c r="P245">
        <v>2</v>
      </c>
      <c r="Q245" t="s">
        <v>55</v>
      </c>
      <c r="R245" t="s">
        <v>59</v>
      </c>
      <c r="S245">
        <f t="shared" si="15"/>
        <v>2021</v>
      </c>
      <c r="T245" t="str">
        <f t="shared" si="16"/>
        <v>Sep</v>
      </c>
      <c r="U245">
        <f t="shared" si="17"/>
        <v>4</v>
      </c>
      <c r="V245">
        <f t="shared" si="18"/>
        <v>6</v>
      </c>
      <c r="W245" s="9">
        <f t="shared" si="19"/>
        <v>1.4503280224929709</v>
      </c>
    </row>
    <row r="246" spans="1:23">
      <c r="A246">
        <v>10245</v>
      </c>
      <c r="B246" s="5">
        <v>44441</v>
      </c>
      <c r="C246" s="5">
        <v>44444</v>
      </c>
      <c r="D246" s="5">
        <v>44448</v>
      </c>
      <c r="E246" t="s">
        <v>20</v>
      </c>
      <c r="F246" t="s">
        <v>22</v>
      </c>
      <c r="G246" t="s">
        <v>27</v>
      </c>
      <c r="H246" t="s">
        <v>30</v>
      </c>
      <c r="I246" t="s">
        <v>34</v>
      </c>
      <c r="J246" t="s">
        <v>37</v>
      </c>
      <c r="K246" t="s">
        <v>48</v>
      </c>
      <c r="L246" t="s">
        <v>51</v>
      </c>
      <c r="M246" s="7">
        <v>57883</v>
      </c>
      <c r="N246">
        <v>0.36</v>
      </c>
      <c r="O246" s="7">
        <v>8117</v>
      </c>
      <c r="P246">
        <v>11</v>
      </c>
      <c r="Q246" t="s">
        <v>57</v>
      </c>
      <c r="R246" t="s">
        <v>59</v>
      </c>
      <c r="S246">
        <f t="shared" si="15"/>
        <v>2021</v>
      </c>
      <c r="T246" t="str">
        <f t="shared" si="16"/>
        <v>Sep</v>
      </c>
      <c r="U246">
        <f t="shared" si="17"/>
        <v>3</v>
      </c>
      <c r="V246">
        <f t="shared" si="18"/>
        <v>7</v>
      </c>
      <c r="W246" s="9">
        <f t="shared" si="19"/>
        <v>0.14023115595252492</v>
      </c>
    </row>
    <row r="247" spans="1:23">
      <c r="A247">
        <v>10246</v>
      </c>
      <c r="B247" s="5">
        <v>44442</v>
      </c>
      <c r="C247" s="5">
        <v>44444</v>
      </c>
      <c r="D247" s="5">
        <v>44449</v>
      </c>
      <c r="E247" t="s">
        <v>20</v>
      </c>
      <c r="F247" t="s">
        <v>22</v>
      </c>
      <c r="G247" t="s">
        <v>25</v>
      </c>
      <c r="H247" t="s">
        <v>31</v>
      </c>
      <c r="I247" t="s">
        <v>36</v>
      </c>
      <c r="J247" t="s">
        <v>39</v>
      </c>
      <c r="K247" t="s">
        <v>45</v>
      </c>
      <c r="L247" t="s">
        <v>51</v>
      </c>
      <c r="M247" s="7">
        <v>60278</v>
      </c>
      <c r="N247">
        <v>0.31</v>
      </c>
      <c r="O247" s="7">
        <v>8685</v>
      </c>
      <c r="P247">
        <v>5</v>
      </c>
      <c r="Q247" t="s">
        <v>58</v>
      </c>
      <c r="R247" t="s">
        <v>61</v>
      </c>
      <c r="S247">
        <f t="shared" si="15"/>
        <v>2021</v>
      </c>
      <c r="T247" t="str">
        <f t="shared" si="16"/>
        <v>Sep</v>
      </c>
      <c r="U247">
        <f t="shared" si="17"/>
        <v>2</v>
      </c>
      <c r="V247">
        <f t="shared" si="18"/>
        <v>7</v>
      </c>
      <c r="W247" s="9">
        <f t="shared" si="19"/>
        <v>0.14408241812933409</v>
      </c>
    </row>
    <row r="248" spans="1:23">
      <c r="A248">
        <v>10247</v>
      </c>
      <c r="B248" s="5">
        <v>44443</v>
      </c>
      <c r="C248" s="5">
        <v>44450</v>
      </c>
      <c r="D248" s="5">
        <v>44455</v>
      </c>
      <c r="E248" t="s">
        <v>21</v>
      </c>
      <c r="F248" t="s">
        <v>22</v>
      </c>
      <c r="G248" t="s">
        <v>28</v>
      </c>
      <c r="H248" t="s">
        <v>31</v>
      </c>
      <c r="I248" t="s">
        <v>34</v>
      </c>
      <c r="J248" t="s">
        <v>37</v>
      </c>
      <c r="K248" t="s">
        <v>44</v>
      </c>
      <c r="L248" t="s">
        <v>53</v>
      </c>
      <c r="M248" s="7">
        <v>35691</v>
      </c>
      <c r="N248">
        <v>0.34</v>
      </c>
      <c r="O248" s="7">
        <v>16820</v>
      </c>
      <c r="P248">
        <v>1</v>
      </c>
      <c r="Q248" t="s">
        <v>55</v>
      </c>
      <c r="R248" t="s">
        <v>62</v>
      </c>
      <c r="S248">
        <f t="shared" si="15"/>
        <v>2021</v>
      </c>
      <c r="T248" t="str">
        <f t="shared" si="16"/>
        <v>Sep</v>
      </c>
      <c r="U248">
        <f t="shared" si="17"/>
        <v>7</v>
      </c>
      <c r="V248">
        <f t="shared" si="18"/>
        <v>12</v>
      </c>
      <c r="W248" s="9">
        <f t="shared" si="19"/>
        <v>0.47126726625759996</v>
      </c>
    </row>
    <row r="249" spans="1:23">
      <c r="A249">
        <v>10248</v>
      </c>
      <c r="B249" s="5">
        <v>44444</v>
      </c>
      <c r="C249" s="5">
        <v>44451</v>
      </c>
      <c r="D249" s="5">
        <v>44452</v>
      </c>
      <c r="E249" t="s">
        <v>19</v>
      </c>
      <c r="F249" t="s">
        <v>22</v>
      </c>
      <c r="G249" t="s">
        <v>28</v>
      </c>
      <c r="H249" t="s">
        <v>29</v>
      </c>
      <c r="I249" t="s">
        <v>36</v>
      </c>
      <c r="J249" t="s">
        <v>37</v>
      </c>
      <c r="K249" t="s">
        <v>45</v>
      </c>
      <c r="L249" t="s">
        <v>51</v>
      </c>
      <c r="M249" s="7">
        <v>16152</v>
      </c>
      <c r="N249">
        <v>0.18</v>
      </c>
      <c r="O249" s="7">
        <v>1140</v>
      </c>
      <c r="P249">
        <v>23</v>
      </c>
      <c r="Q249" t="s">
        <v>55</v>
      </c>
      <c r="R249" t="s">
        <v>61</v>
      </c>
      <c r="S249">
        <f t="shared" si="15"/>
        <v>2021</v>
      </c>
      <c r="T249" t="str">
        <f t="shared" si="16"/>
        <v>Sep</v>
      </c>
      <c r="U249">
        <f t="shared" si="17"/>
        <v>7</v>
      </c>
      <c r="V249">
        <f t="shared" si="18"/>
        <v>8</v>
      </c>
      <c r="W249" s="9">
        <f t="shared" si="19"/>
        <v>7.0579494799405645E-2</v>
      </c>
    </row>
    <row r="250" spans="1:23">
      <c r="A250">
        <v>10249</v>
      </c>
      <c r="B250" s="5">
        <v>44445</v>
      </c>
      <c r="C250" s="5">
        <v>44452</v>
      </c>
      <c r="D250" s="5">
        <v>44454</v>
      </c>
      <c r="E250" t="s">
        <v>21</v>
      </c>
      <c r="F250" t="s">
        <v>22</v>
      </c>
      <c r="G250" t="s">
        <v>27</v>
      </c>
      <c r="H250" t="s">
        <v>25</v>
      </c>
      <c r="I250" t="s">
        <v>34</v>
      </c>
      <c r="J250" t="s">
        <v>42</v>
      </c>
      <c r="K250" t="s">
        <v>48</v>
      </c>
      <c r="L250" t="s">
        <v>53</v>
      </c>
      <c r="M250" s="7">
        <v>10127</v>
      </c>
      <c r="N250">
        <v>0.12</v>
      </c>
      <c r="O250" s="7">
        <v>5276</v>
      </c>
      <c r="P250">
        <v>16</v>
      </c>
      <c r="Q250" t="s">
        <v>58</v>
      </c>
      <c r="R250" t="s">
        <v>61</v>
      </c>
      <c r="S250">
        <f t="shared" si="15"/>
        <v>2021</v>
      </c>
      <c r="T250" t="str">
        <f t="shared" si="16"/>
        <v>Sep</v>
      </c>
      <c r="U250">
        <f t="shared" si="17"/>
        <v>7</v>
      </c>
      <c r="V250">
        <f t="shared" si="18"/>
        <v>9</v>
      </c>
      <c r="W250" s="9">
        <f t="shared" si="19"/>
        <v>0.52098350943023597</v>
      </c>
    </row>
    <row r="251" spans="1:23">
      <c r="A251">
        <v>10250</v>
      </c>
      <c r="B251" s="5">
        <v>44446</v>
      </c>
      <c r="C251" s="5">
        <v>44451</v>
      </c>
      <c r="D251" s="5">
        <v>44454</v>
      </c>
      <c r="E251" t="s">
        <v>18</v>
      </c>
      <c r="F251" t="s">
        <v>22</v>
      </c>
      <c r="G251" t="s">
        <v>27</v>
      </c>
      <c r="H251" t="s">
        <v>29</v>
      </c>
      <c r="I251" t="s">
        <v>35</v>
      </c>
      <c r="J251" t="s">
        <v>39</v>
      </c>
      <c r="K251" t="s">
        <v>47</v>
      </c>
      <c r="L251" t="s">
        <v>51</v>
      </c>
      <c r="M251" s="7">
        <v>24311</v>
      </c>
      <c r="N251">
        <v>0.14000000000000001</v>
      </c>
      <c r="O251" s="7">
        <v>13598</v>
      </c>
      <c r="P251">
        <v>1</v>
      </c>
      <c r="Q251" t="s">
        <v>54</v>
      </c>
      <c r="R251" t="s">
        <v>62</v>
      </c>
      <c r="S251">
        <f t="shared" si="15"/>
        <v>2021</v>
      </c>
      <c r="T251" t="str">
        <f t="shared" si="16"/>
        <v>Sep</v>
      </c>
      <c r="U251">
        <f t="shared" si="17"/>
        <v>5</v>
      </c>
      <c r="V251">
        <f t="shared" si="18"/>
        <v>8</v>
      </c>
      <c r="W251" s="9">
        <f t="shared" si="19"/>
        <v>0.55933528032577851</v>
      </c>
    </row>
    <row r="252" spans="1:23">
      <c r="A252">
        <v>10251</v>
      </c>
      <c r="B252" s="5">
        <v>44447</v>
      </c>
      <c r="C252" s="5">
        <v>44451</v>
      </c>
      <c r="D252" s="5">
        <v>44453</v>
      </c>
      <c r="E252" t="s">
        <v>19</v>
      </c>
      <c r="F252" t="s">
        <v>22</v>
      </c>
      <c r="G252" t="s">
        <v>28</v>
      </c>
      <c r="H252" t="s">
        <v>32</v>
      </c>
      <c r="I252" t="s">
        <v>34</v>
      </c>
      <c r="J252" t="s">
        <v>39</v>
      </c>
      <c r="K252" t="s">
        <v>50</v>
      </c>
      <c r="L252" t="s">
        <v>52</v>
      </c>
      <c r="M252" s="7">
        <v>12958</v>
      </c>
      <c r="N252">
        <v>0.11</v>
      </c>
      <c r="O252" s="7">
        <v>493</v>
      </c>
      <c r="P252">
        <v>16</v>
      </c>
      <c r="Q252" t="s">
        <v>57</v>
      </c>
      <c r="R252" t="s">
        <v>62</v>
      </c>
      <c r="S252">
        <f t="shared" si="15"/>
        <v>2021</v>
      </c>
      <c r="T252" t="str">
        <f t="shared" si="16"/>
        <v>Sep</v>
      </c>
      <c r="U252">
        <f t="shared" si="17"/>
        <v>4</v>
      </c>
      <c r="V252">
        <f t="shared" si="18"/>
        <v>6</v>
      </c>
      <c r="W252" s="9">
        <f t="shared" si="19"/>
        <v>3.8045994752276588E-2</v>
      </c>
    </row>
    <row r="253" spans="1:23">
      <c r="A253">
        <v>10252</v>
      </c>
      <c r="B253" s="5">
        <v>44448</v>
      </c>
      <c r="C253" s="5">
        <v>44455</v>
      </c>
      <c r="D253" s="5">
        <v>44456</v>
      </c>
      <c r="E253" t="s">
        <v>18</v>
      </c>
      <c r="F253" t="s">
        <v>22</v>
      </c>
      <c r="G253" t="s">
        <v>23</v>
      </c>
      <c r="H253" t="s">
        <v>31</v>
      </c>
      <c r="I253" t="s">
        <v>35</v>
      </c>
      <c r="J253" t="s">
        <v>38</v>
      </c>
      <c r="K253" t="s">
        <v>44</v>
      </c>
      <c r="L253" t="s">
        <v>53</v>
      </c>
      <c r="M253" s="7">
        <v>4463</v>
      </c>
      <c r="N253">
        <v>0.06</v>
      </c>
      <c r="O253" s="7">
        <v>1026</v>
      </c>
      <c r="P253">
        <v>20</v>
      </c>
      <c r="Q253" t="s">
        <v>55</v>
      </c>
      <c r="R253" t="s">
        <v>59</v>
      </c>
      <c r="S253">
        <f t="shared" si="15"/>
        <v>2021</v>
      </c>
      <c r="T253" t="str">
        <f t="shared" si="16"/>
        <v>Sep</v>
      </c>
      <c r="U253">
        <f t="shared" si="17"/>
        <v>7</v>
      </c>
      <c r="V253">
        <f t="shared" si="18"/>
        <v>8</v>
      </c>
      <c r="W253" s="9">
        <f t="shared" si="19"/>
        <v>0.22989020838001345</v>
      </c>
    </row>
    <row r="254" spans="1:23">
      <c r="A254">
        <v>10253</v>
      </c>
      <c r="B254" s="5">
        <v>44449</v>
      </c>
      <c r="C254" s="5">
        <v>44451</v>
      </c>
      <c r="D254" s="5">
        <v>44453</v>
      </c>
      <c r="E254" t="s">
        <v>21</v>
      </c>
      <c r="F254" t="s">
        <v>22</v>
      </c>
      <c r="G254" t="s">
        <v>28</v>
      </c>
      <c r="H254" t="s">
        <v>31</v>
      </c>
      <c r="I254" t="s">
        <v>34</v>
      </c>
      <c r="J254" t="s">
        <v>38</v>
      </c>
      <c r="K254" t="s">
        <v>50</v>
      </c>
      <c r="L254" t="s">
        <v>52</v>
      </c>
      <c r="M254" s="7">
        <v>47461</v>
      </c>
      <c r="N254">
        <v>0.02</v>
      </c>
      <c r="O254" s="7">
        <v>-909</v>
      </c>
      <c r="P254">
        <v>13</v>
      </c>
      <c r="Q254" t="s">
        <v>58</v>
      </c>
      <c r="R254" t="s">
        <v>61</v>
      </c>
      <c r="S254">
        <f t="shared" si="15"/>
        <v>2021</v>
      </c>
      <c r="T254" t="str">
        <f t="shared" si="16"/>
        <v>Sep</v>
      </c>
      <c r="U254">
        <f t="shared" si="17"/>
        <v>2</v>
      </c>
      <c r="V254">
        <f t="shared" si="18"/>
        <v>4</v>
      </c>
      <c r="W254" s="9">
        <f t="shared" si="19"/>
        <v>-1.9152567371104698E-2</v>
      </c>
    </row>
    <row r="255" spans="1:23">
      <c r="A255">
        <v>10254</v>
      </c>
      <c r="B255" s="5">
        <v>44450</v>
      </c>
      <c r="C255" s="5">
        <v>44453</v>
      </c>
      <c r="D255" s="5">
        <v>44456</v>
      </c>
      <c r="E255" t="s">
        <v>21</v>
      </c>
      <c r="F255" t="s">
        <v>22</v>
      </c>
      <c r="G255" t="s">
        <v>26</v>
      </c>
      <c r="H255" t="s">
        <v>31</v>
      </c>
      <c r="I255" t="s">
        <v>36</v>
      </c>
      <c r="J255" t="s">
        <v>41</v>
      </c>
      <c r="K255" t="s">
        <v>47</v>
      </c>
      <c r="L255" t="s">
        <v>51</v>
      </c>
      <c r="M255" s="7">
        <v>68483</v>
      </c>
      <c r="N255">
        <v>0.16</v>
      </c>
      <c r="O255" s="7">
        <v>4534</v>
      </c>
      <c r="P255">
        <v>8</v>
      </c>
      <c r="Q255" t="s">
        <v>56</v>
      </c>
      <c r="R255" t="s">
        <v>61</v>
      </c>
      <c r="S255">
        <f t="shared" si="15"/>
        <v>2021</v>
      </c>
      <c r="T255" t="str">
        <f t="shared" si="16"/>
        <v>Sep</v>
      </c>
      <c r="U255">
        <f t="shared" si="17"/>
        <v>3</v>
      </c>
      <c r="V255">
        <f t="shared" si="18"/>
        <v>6</v>
      </c>
      <c r="W255" s="9">
        <f t="shared" si="19"/>
        <v>6.6206211760582917E-2</v>
      </c>
    </row>
    <row r="256" spans="1:23">
      <c r="A256">
        <v>10255</v>
      </c>
      <c r="B256" s="5">
        <v>44451</v>
      </c>
      <c r="C256" s="5">
        <v>44458</v>
      </c>
      <c r="D256" s="5">
        <v>44461</v>
      </c>
      <c r="E256" t="s">
        <v>20</v>
      </c>
      <c r="F256" t="s">
        <v>22</v>
      </c>
      <c r="G256" t="s">
        <v>26</v>
      </c>
      <c r="H256" t="s">
        <v>30</v>
      </c>
      <c r="I256" t="s">
        <v>35</v>
      </c>
      <c r="J256" t="s">
        <v>40</v>
      </c>
      <c r="K256" t="s">
        <v>44</v>
      </c>
      <c r="L256" t="s">
        <v>52</v>
      </c>
      <c r="M256" s="7">
        <v>72922</v>
      </c>
      <c r="N256">
        <v>0.22</v>
      </c>
      <c r="O256" s="7">
        <v>-190</v>
      </c>
      <c r="P256">
        <v>9</v>
      </c>
      <c r="Q256" t="s">
        <v>55</v>
      </c>
      <c r="R256" t="s">
        <v>62</v>
      </c>
      <c r="S256">
        <f t="shared" si="15"/>
        <v>2021</v>
      </c>
      <c r="T256" t="str">
        <f t="shared" si="16"/>
        <v>Sep</v>
      </c>
      <c r="U256">
        <f t="shared" si="17"/>
        <v>7</v>
      </c>
      <c r="V256">
        <f t="shared" si="18"/>
        <v>10</v>
      </c>
      <c r="W256" s="9">
        <f t="shared" si="19"/>
        <v>-2.6055237102657635E-3</v>
      </c>
    </row>
    <row r="257" spans="1:23">
      <c r="A257">
        <v>10256</v>
      </c>
      <c r="B257" s="5">
        <v>44452</v>
      </c>
      <c r="C257" s="5">
        <v>44459</v>
      </c>
      <c r="D257" s="5">
        <v>44463</v>
      </c>
      <c r="E257" t="s">
        <v>20</v>
      </c>
      <c r="F257" t="s">
        <v>22</v>
      </c>
      <c r="G257" t="s">
        <v>23</v>
      </c>
      <c r="H257" t="s">
        <v>30</v>
      </c>
      <c r="I257" t="s">
        <v>36</v>
      </c>
      <c r="J257" t="s">
        <v>40</v>
      </c>
      <c r="K257" t="s">
        <v>48</v>
      </c>
      <c r="L257" t="s">
        <v>51</v>
      </c>
      <c r="M257" s="7">
        <v>39211</v>
      </c>
      <c r="N257">
        <v>0.18</v>
      </c>
      <c r="O257" s="7">
        <v>10674</v>
      </c>
      <c r="P257">
        <v>19</v>
      </c>
      <c r="Q257" t="s">
        <v>55</v>
      </c>
      <c r="R257" t="s">
        <v>61</v>
      </c>
      <c r="S257">
        <f t="shared" si="15"/>
        <v>2021</v>
      </c>
      <c r="T257" t="str">
        <f t="shared" si="16"/>
        <v>Sep</v>
      </c>
      <c r="U257">
        <f t="shared" si="17"/>
        <v>7</v>
      </c>
      <c r="V257">
        <f t="shared" si="18"/>
        <v>11</v>
      </c>
      <c r="W257" s="9">
        <f t="shared" si="19"/>
        <v>0.27221953023386297</v>
      </c>
    </row>
    <row r="258" spans="1:23">
      <c r="A258">
        <v>10257</v>
      </c>
      <c r="B258" s="5">
        <v>44453</v>
      </c>
      <c r="C258" s="5">
        <v>44459</v>
      </c>
      <c r="D258" s="5">
        <v>44464</v>
      </c>
      <c r="E258" t="s">
        <v>20</v>
      </c>
      <c r="F258" t="s">
        <v>22</v>
      </c>
      <c r="G258" t="s">
        <v>23</v>
      </c>
      <c r="H258" t="s">
        <v>30</v>
      </c>
      <c r="I258" t="s">
        <v>34</v>
      </c>
      <c r="J258" t="s">
        <v>39</v>
      </c>
      <c r="K258" t="s">
        <v>50</v>
      </c>
      <c r="L258" t="s">
        <v>53</v>
      </c>
      <c r="M258" s="7">
        <v>25659</v>
      </c>
      <c r="N258">
        <v>0.16</v>
      </c>
      <c r="O258" s="7">
        <v>11210</v>
      </c>
      <c r="P258">
        <v>9</v>
      </c>
      <c r="Q258" t="s">
        <v>58</v>
      </c>
      <c r="R258" t="s">
        <v>62</v>
      </c>
      <c r="S258">
        <f t="shared" si="15"/>
        <v>2021</v>
      </c>
      <c r="T258" t="str">
        <f t="shared" si="16"/>
        <v>Sep</v>
      </c>
      <c r="U258">
        <f t="shared" si="17"/>
        <v>6</v>
      </c>
      <c r="V258">
        <f t="shared" si="18"/>
        <v>11</v>
      </c>
      <c r="W258" s="9">
        <f t="shared" si="19"/>
        <v>0.43688374449510892</v>
      </c>
    </row>
    <row r="259" spans="1:23">
      <c r="A259">
        <v>10258</v>
      </c>
      <c r="B259" s="5">
        <v>44454</v>
      </c>
      <c r="C259" s="5">
        <v>44456</v>
      </c>
      <c r="D259" s="5">
        <v>44457</v>
      </c>
      <c r="E259" t="s">
        <v>20</v>
      </c>
      <c r="F259" t="s">
        <v>22</v>
      </c>
      <c r="G259" t="s">
        <v>27</v>
      </c>
      <c r="H259" t="s">
        <v>25</v>
      </c>
      <c r="I259" t="s">
        <v>35</v>
      </c>
      <c r="J259" t="s">
        <v>43</v>
      </c>
      <c r="K259" t="s">
        <v>49</v>
      </c>
      <c r="L259" t="s">
        <v>52</v>
      </c>
      <c r="M259" s="7">
        <v>15884</v>
      </c>
      <c r="N259">
        <v>0.01</v>
      </c>
      <c r="O259" s="7">
        <v>437</v>
      </c>
      <c r="P259">
        <v>19</v>
      </c>
      <c r="Q259" t="s">
        <v>58</v>
      </c>
      <c r="R259" t="s">
        <v>60</v>
      </c>
      <c r="S259">
        <f t="shared" ref="S259:S322" si="20">YEAR(B259)</f>
        <v>2021</v>
      </c>
      <c r="T259" t="str">
        <f t="shared" ref="T259:T322" si="21">TEXT(B259,"mmm")</f>
        <v>Sep</v>
      </c>
      <c r="U259">
        <f t="shared" ref="U259:U322" si="22">C259-B259</f>
        <v>2</v>
      </c>
      <c r="V259">
        <f t="shared" ref="V259:V322" si="23">D259-B259</f>
        <v>3</v>
      </c>
      <c r="W259" s="9">
        <f t="shared" ref="W259:W322" si="24">IFERROR(O259/M259,0)</f>
        <v>2.751196172248804E-2</v>
      </c>
    </row>
    <row r="260" spans="1:23">
      <c r="A260">
        <v>10259</v>
      </c>
      <c r="B260" s="5">
        <v>44455</v>
      </c>
      <c r="C260" s="5">
        <v>44460</v>
      </c>
      <c r="D260" s="5">
        <v>44463</v>
      </c>
      <c r="E260" t="s">
        <v>18</v>
      </c>
      <c r="F260" t="s">
        <v>22</v>
      </c>
      <c r="G260" t="s">
        <v>25</v>
      </c>
      <c r="H260" t="s">
        <v>30</v>
      </c>
      <c r="I260" t="s">
        <v>34</v>
      </c>
      <c r="J260" t="s">
        <v>38</v>
      </c>
      <c r="K260" t="s">
        <v>49</v>
      </c>
      <c r="L260" t="s">
        <v>53</v>
      </c>
      <c r="M260" s="7">
        <v>31787</v>
      </c>
      <c r="N260">
        <v>0.15</v>
      </c>
      <c r="O260" s="7">
        <v>6862</v>
      </c>
      <c r="P260">
        <v>24</v>
      </c>
      <c r="Q260" t="s">
        <v>58</v>
      </c>
      <c r="R260" t="s">
        <v>59</v>
      </c>
      <c r="S260">
        <f t="shared" si="20"/>
        <v>2021</v>
      </c>
      <c r="T260" t="str">
        <f t="shared" si="21"/>
        <v>Sep</v>
      </c>
      <c r="U260">
        <f t="shared" si="22"/>
        <v>5</v>
      </c>
      <c r="V260">
        <f t="shared" si="23"/>
        <v>8</v>
      </c>
      <c r="W260" s="9">
        <f t="shared" si="24"/>
        <v>0.21587441406864441</v>
      </c>
    </row>
    <row r="261" spans="1:23">
      <c r="A261">
        <v>10260</v>
      </c>
      <c r="B261" s="5">
        <v>44456</v>
      </c>
      <c r="C261" s="5">
        <v>44460</v>
      </c>
      <c r="D261" s="5">
        <v>44463</v>
      </c>
      <c r="E261" t="s">
        <v>20</v>
      </c>
      <c r="F261" t="s">
        <v>22</v>
      </c>
      <c r="G261" t="s">
        <v>24</v>
      </c>
      <c r="H261" t="s">
        <v>29</v>
      </c>
      <c r="I261" t="s">
        <v>34</v>
      </c>
      <c r="J261" t="s">
        <v>41</v>
      </c>
      <c r="K261" t="s">
        <v>47</v>
      </c>
      <c r="L261" t="s">
        <v>52</v>
      </c>
      <c r="M261" s="7">
        <v>11188</v>
      </c>
      <c r="N261">
        <v>0.05</v>
      </c>
      <c r="O261" s="7">
        <v>109</v>
      </c>
      <c r="P261">
        <v>4</v>
      </c>
      <c r="Q261" t="s">
        <v>54</v>
      </c>
      <c r="R261" t="s">
        <v>60</v>
      </c>
      <c r="S261">
        <f t="shared" si="20"/>
        <v>2021</v>
      </c>
      <c r="T261" t="str">
        <f t="shared" si="21"/>
        <v>Sep</v>
      </c>
      <c r="U261">
        <f t="shared" si="22"/>
        <v>4</v>
      </c>
      <c r="V261">
        <f t="shared" si="23"/>
        <v>7</v>
      </c>
      <c r="W261" s="9">
        <f t="shared" si="24"/>
        <v>9.7425813371469425E-3</v>
      </c>
    </row>
    <row r="262" spans="1:23">
      <c r="A262">
        <v>10261</v>
      </c>
      <c r="B262" s="5">
        <v>44457</v>
      </c>
      <c r="C262" s="5">
        <v>44461</v>
      </c>
      <c r="D262" s="5">
        <v>44464</v>
      </c>
      <c r="E262" t="s">
        <v>18</v>
      </c>
      <c r="F262" t="s">
        <v>22</v>
      </c>
      <c r="G262" t="s">
        <v>23</v>
      </c>
      <c r="H262" t="s">
        <v>33</v>
      </c>
      <c r="I262" t="s">
        <v>36</v>
      </c>
      <c r="J262" t="s">
        <v>37</v>
      </c>
      <c r="K262" t="s">
        <v>45</v>
      </c>
      <c r="L262" t="s">
        <v>51</v>
      </c>
      <c r="M262" s="7">
        <v>23680</v>
      </c>
      <c r="N262">
        <v>0.28000000000000003</v>
      </c>
      <c r="O262" s="7">
        <v>3645</v>
      </c>
      <c r="P262">
        <v>19</v>
      </c>
      <c r="Q262" t="s">
        <v>57</v>
      </c>
      <c r="R262" t="s">
        <v>61</v>
      </c>
      <c r="S262">
        <f t="shared" si="20"/>
        <v>2021</v>
      </c>
      <c r="T262" t="str">
        <f t="shared" si="21"/>
        <v>Sep</v>
      </c>
      <c r="U262">
        <f t="shared" si="22"/>
        <v>4</v>
      </c>
      <c r="V262">
        <f t="shared" si="23"/>
        <v>7</v>
      </c>
      <c r="W262" s="9">
        <f t="shared" si="24"/>
        <v>0.15392736486486486</v>
      </c>
    </row>
    <row r="263" spans="1:23">
      <c r="A263">
        <v>10262</v>
      </c>
      <c r="B263" s="5">
        <v>44458</v>
      </c>
      <c r="C263" s="5">
        <v>44463</v>
      </c>
      <c r="D263" s="5">
        <v>44467</v>
      </c>
      <c r="E263" t="s">
        <v>21</v>
      </c>
      <c r="F263" t="s">
        <v>22</v>
      </c>
      <c r="G263" t="s">
        <v>27</v>
      </c>
      <c r="H263" t="s">
        <v>31</v>
      </c>
      <c r="I263" t="s">
        <v>34</v>
      </c>
      <c r="J263" t="s">
        <v>39</v>
      </c>
      <c r="K263" t="s">
        <v>48</v>
      </c>
      <c r="L263" t="s">
        <v>52</v>
      </c>
      <c r="M263" s="7">
        <v>24514</v>
      </c>
      <c r="N263">
        <v>0.12</v>
      </c>
      <c r="O263" s="7">
        <v>7929</v>
      </c>
      <c r="P263">
        <v>15</v>
      </c>
      <c r="Q263" t="s">
        <v>55</v>
      </c>
      <c r="R263" t="s">
        <v>61</v>
      </c>
      <c r="S263">
        <f t="shared" si="20"/>
        <v>2021</v>
      </c>
      <c r="T263" t="str">
        <f t="shared" si="21"/>
        <v>Sep</v>
      </c>
      <c r="U263">
        <f t="shared" si="22"/>
        <v>5</v>
      </c>
      <c r="V263">
        <f t="shared" si="23"/>
        <v>9</v>
      </c>
      <c r="W263" s="9">
        <f t="shared" si="24"/>
        <v>0.32344782573223463</v>
      </c>
    </row>
    <row r="264" spans="1:23">
      <c r="A264">
        <v>10263</v>
      </c>
      <c r="B264" s="5">
        <v>44459</v>
      </c>
      <c r="C264" s="5">
        <v>44463</v>
      </c>
      <c r="D264" s="5">
        <v>44467</v>
      </c>
      <c r="E264" t="s">
        <v>19</v>
      </c>
      <c r="F264" t="s">
        <v>22</v>
      </c>
      <c r="G264" t="s">
        <v>23</v>
      </c>
      <c r="H264" t="s">
        <v>29</v>
      </c>
      <c r="I264" t="s">
        <v>35</v>
      </c>
      <c r="J264" t="s">
        <v>38</v>
      </c>
      <c r="K264" t="s">
        <v>50</v>
      </c>
      <c r="L264" t="s">
        <v>53</v>
      </c>
      <c r="M264" s="7">
        <v>56671</v>
      </c>
      <c r="N264">
        <v>0.2</v>
      </c>
      <c r="O264" s="7">
        <v>19737</v>
      </c>
      <c r="P264">
        <v>19</v>
      </c>
      <c r="Q264" t="s">
        <v>58</v>
      </c>
      <c r="R264" t="s">
        <v>62</v>
      </c>
      <c r="S264">
        <f t="shared" si="20"/>
        <v>2021</v>
      </c>
      <c r="T264" t="str">
        <f t="shared" si="21"/>
        <v>Sep</v>
      </c>
      <c r="U264">
        <f t="shared" si="22"/>
        <v>4</v>
      </c>
      <c r="V264">
        <f t="shared" si="23"/>
        <v>8</v>
      </c>
      <c r="W264" s="9">
        <f t="shared" si="24"/>
        <v>0.34827336733073355</v>
      </c>
    </row>
    <row r="265" spans="1:23">
      <c r="A265">
        <v>10264</v>
      </c>
      <c r="B265" s="5">
        <v>44460</v>
      </c>
      <c r="C265" s="5">
        <v>44462</v>
      </c>
      <c r="D265" s="5">
        <v>44466</v>
      </c>
      <c r="E265" t="s">
        <v>19</v>
      </c>
      <c r="F265" t="s">
        <v>22</v>
      </c>
      <c r="G265" t="s">
        <v>26</v>
      </c>
      <c r="H265" t="s">
        <v>25</v>
      </c>
      <c r="I265" t="s">
        <v>34</v>
      </c>
      <c r="J265" t="s">
        <v>39</v>
      </c>
      <c r="K265" t="s">
        <v>50</v>
      </c>
      <c r="L265" t="s">
        <v>51</v>
      </c>
      <c r="M265" s="7">
        <v>7865</v>
      </c>
      <c r="N265">
        <v>0.14000000000000001</v>
      </c>
      <c r="O265" s="7">
        <v>17228</v>
      </c>
      <c r="P265">
        <v>22</v>
      </c>
      <c r="Q265" t="s">
        <v>56</v>
      </c>
      <c r="R265" t="s">
        <v>60</v>
      </c>
      <c r="S265">
        <f t="shared" si="20"/>
        <v>2021</v>
      </c>
      <c r="T265" t="str">
        <f t="shared" si="21"/>
        <v>Sep</v>
      </c>
      <c r="U265">
        <f t="shared" si="22"/>
        <v>2</v>
      </c>
      <c r="V265">
        <f t="shared" si="23"/>
        <v>6</v>
      </c>
      <c r="W265" s="9">
        <f t="shared" si="24"/>
        <v>2.1904640813731722</v>
      </c>
    </row>
    <row r="266" spans="1:23">
      <c r="A266">
        <v>10265</v>
      </c>
      <c r="B266" s="5">
        <v>44461</v>
      </c>
      <c r="C266" s="5">
        <v>44468</v>
      </c>
      <c r="D266" s="5">
        <v>44471</v>
      </c>
      <c r="E266" t="s">
        <v>20</v>
      </c>
      <c r="F266" t="s">
        <v>22</v>
      </c>
      <c r="G266" t="s">
        <v>26</v>
      </c>
      <c r="H266" t="s">
        <v>30</v>
      </c>
      <c r="I266" t="s">
        <v>34</v>
      </c>
      <c r="J266" t="s">
        <v>39</v>
      </c>
      <c r="K266" t="s">
        <v>49</v>
      </c>
      <c r="L266" t="s">
        <v>52</v>
      </c>
      <c r="M266" s="7">
        <v>51918</v>
      </c>
      <c r="N266">
        <v>0.21</v>
      </c>
      <c r="O266" s="7">
        <v>3335</v>
      </c>
      <c r="P266">
        <v>13</v>
      </c>
      <c r="Q266" t="s">
        <v>58</v>
      </c>
      <c r="R266" t="s">
        <v>59</v>
      </c>
      <c r="S266">
        <f t="shared" si="20"/>
        <v>2021</v>
      </c>
      <c r="T266" t="str">
        <f t="shared" si="21"/>
        <v>Sep</v>
      </c>
      <c r="U266">
        <f t="shared" si="22"/>
        <v>7</v>
      </c>
      <c r="V266">
        <f t="shared" si="23"/>
        <v>10</v>
      </c>
      <c r="W266" s="9">
        <f t="shared" si="24"/>
        <v>6.4235910474209332E-2</v>
      </c>
    </row>
    <row r="267" spans="1:23">
      <c r="A267">
        <v>10266</v>
      </c>
      <c r="B267" s="5">
        <v>44462</v>
      </c>
      <c r="C267" s="5">
        <v>44465</v>
      </c>
      <c r="D267" s="5">
        <v>44467</v>
      </c>
      <c r="E267" t="s">
        <v>20</v>
      </c>
      <c r="F267" t="s">
        <v>22</v>
      </c>
      <c r="G267" t="s">
        <v>26</v>
      </c>
      <c r="H267" t="s">
        <v>25</v>
      </c>
      <c r="I267" t="s">
        <v>35</v>
      </c>
      <c r="J267" t="s">
        <v>43</v>
      </c>
      <c r="K267" t="s">
        <v>44</v>
      </c>
      <c r="L267" t="s">
        <v>52</v>
      </c>
      <c r="M267" s="7">
        <v>33138</v>
      </c>
      <c r="N267">
        <v>0.08</v>
      </c>
      <c r="O267" s="7">
        <v>9693</v>
      </c>
      <c r="P267">
        <v>5</v>
      </c>
      <c r="Q267" t="s">
        <v>55</v>
      </c>
      <c r="R267" t="s">
        <v>62</v>
      </c>
      <c r="S267">
        <f t="shared" si="20"/>
        <v>2021</v>
      </c>
      <c r="T267" t="str">
        <f t="shared" si="21"/>
        <v>Sep</v>
      </c>
      <c r="U267">
        <f t="shared" si="22"/>
        <v>3</v>
      </c>
      <c r="V267">
        <f t="shared" si="23"/>
        <v>5</v>
      </c>
      <c r="W267" s="9">
        <f t="shared" si="24"/>
        <v>0.29250407387289518</v>
      </c>
    </row>
    <row r="268" spans="1:23">
      <c r="A268">
        <v>10267</v>
      </c>
      <c r="B268" s="5">
        <v>44463</v>
      </c>
      <c r="C268" s="5">
        <v>44465</v>
      </c>
      <c r="D268" s="5">
        <v>44467</v>
      </c>
      <c r="E268" t="s">
        <v>21</v>
      </c>
      <c r="F268" t="s">
        <v>22</v>
      </c>
      <c r="G268" t="s">
        <v>28</v>
      </c>
      <c r="H268" t="s">
        <v>31</v>
      </c>
      <c r="I268" t="s">
        <v>34</v>
      </c>
      <c r="J268" t="s">
        <v>38</v>
      </c>
      <c r="K268" t="s">
        <v>50</v>
      </c>
      <c r="L268" t="s">
        <v>51</v>
      </c>
      <c r="M268" s="7">
        <v>72849</v>
      </c>
      <c r="N268">
        <v>0.03</v>
      </c>
      <c r="O268" s="7">
        <v>16071</v>
      </c>
      <c r="P268">
        <v>2</v>
      </c>
      <c r="Q268" t="s">
        <v>55</v>
      </c>
      <c r="R268" t="s">
        <v>60</v>
      </c>
      <c r="S268">
        <f t="shared" si="20"/>
        <v>2021</v>
      </c>
      <c r="T268" t="str">
        <f t="shared" si="21"/>
        <v>Sep</v>
      </c>
      <c r="U268">
        <f t="shared" si="22"/>
        <v>2</v>
      </c>
      <c r="V268">
        <f t="shared" si="23"/>
        <v>4</v>
      </c>
      <c r="W268" s="9">
        <f t="shared" si="24"/>
        <v>0.22060700901865501</v>
      </c>
    </row>
    <row r="269" spans="1:23">
      <c r="A269">
        <v>10268</v>
      </c>
      <c r="B269" s="5">
        <v>44464</v>
      </c>
      <c r="C269" s="5">
        <v>44467</v>
      </c>
      <c r="D269" s="5">
        <v>44472</v>
      </c>
      <c r="E269" t="s">
        <v>20</v>
      </c>
      <c r="F269" t="s">
        <v>22</v>
      </c>
      <c r="G269" t="s">
        <v>24</v>
      </c>
      <c r="H269" t="s">
        <v>32</v>
      </c>
      <c r="I269" t="s">
        <v>35</v>
      </c>
      <c r="J269" t="s">
        <v>39</v>
      </c>
      <c r="K269" t="s">
        <v>47</v>
      </c>
      <c r="L269" t="s">
        <v>51</v>
      </c>
      <c r="M269" s="7">
        <v>2751</v>
      </c>
      <c r="N269">
        <v>0.1</v>
      </c>
      <c r="O269" s="7">
        <v>1584</v>
      </c>
      <c r="P269">
        <v>4</v>
      </c>
      <c r="Q269" t="s">
        <v>54</v>
      </c>
      <c r="R269" t="s">
        <v>62</v>
      </c>
      <c r="S269">
        <f t="shared" si="20"/>
        <v>2021</v>
      </c>
      <c r="T269" t="str">
        <f t="shared" si="21"/>
        <v>Sep</v>
      </c>
      <c r="U269">
        <f t="shared" si="22"/>
        <v>3</v>
      </c>
      <c r="V269">
        <f t="shared" si="23"/>
        <v>8</v>
      </c>
      <c r="W269" s="9">
        <f t="shared" si="24"/>
        <v>0.57579062159214833</v>
      </c>
    </row>
    <row r="270" spans="1:23">
      <c r="A270">
        <v>10269</v>
      </c>
      <c r="B270" s="5">
        <v>44465</v>
      </c>
      <c r="C270" s="5">
        <v>44468</v>
      </c>
      <c r="D270" s="5">
        <v>44470</v>
      </c>
      <c r="E270" t="s">
        <v>20</v>
      </c>
      <c r="F270" t="s">
        <v>22</v>
      </c>
      <c r="G270" t="s">
        <v>27</v>
      </c>
      <c r="H270" t="s">
        <v>33</v>
      </c>
      <c r="I270" t="s">
        <v>34</v>
      </c>
      <c r="J270" t="s">
        <v>43</v>
      </c>
      <c r="K270" t="s">
        <v>45</v>
      </c>
      <c r="L270" t="s">
        <v>52</v>
      </c>
      <c r="M270" s="7">
        <v>20089</v>
      </c>
      <c r="N270">
        <v>0.1</v>
      </c>
      <c r="O270" s="7">
        <v>752</v>
      </c>
      <c r="P270">
        <v>9</v>
      </c>
      <c r="Q270" t="s">
        <v>55</v>
      </c>
      <c r="R270" t="s">
        <v>59</v>
      </c>
      <c r="S270">
        <f t="shared" si="20"/>
        <v>2021</v>
      </c>
      <c r="T270" t="str">
        <f t="shared" si="21"/>
        <v>Sep</v>
      </c>
      <c r="U270">
        <f t="shared" si="22"/>
        <v>3</v>
      </c>
      <c r="V270">
        <f t="shared" si="23"/>
        <v>5</v>
      </c>
      <c r="W270" s="9">
        <f t="shared" si="24"/>
        <v>3.7433421275324806E-2</v>
      </c>
    </row>
    <row r="271" spans="1:23">
      <c r="A271">
        <v>10270</v>
      </c>
      <c r="B271" s="5">
        <v>44466</v>
      </c>
      <c r="C271" s="5">
        <v>44468</v>
      </c>
      <c r="D271" s="5">
        <v>44471</v>
      </c>
      <c r="E271" t="s">
        <v>18</v>
      </c>
      <c r="F271" t="s">
        <v>22</v>
      </c>
      <c r="G271" t="s">
        <v>27</v>
      </c>
      <c r="H271" t="s">
        <v>30</v>
      </c>
      <c r="I271" t="s">
        <v>35</v>
      </c>
      <c r="J271" t="s">
        <v>42</v>
      </c>
      <c r="K271" t="s">
        <v>48</v>
      </c>
      <c r="L271" t="s">
        <v>52</v>
      </c>
      <c r="M271" s="7">
        <v>28908</v>
      </c>
      <c r="N271">
        <v>0.1</v>
      </c>
      <c r="O271" s="7">
        <v>1534</v>
      </c>
      <c r="P271">
        <v>22</v>
      </c>
      <c r="Q271" t="s">
        <v>55</v>
      </c>
      <c r="R271" t="s">
        <v>62</v>
      </c>
      <c r="S271">
        <f t="shared" si="20"/>
        <v>2021</v>
      </c>
      <c r="T271" t="str">
        <f t="shared" si="21"/>
        <v>Sep</v>
      </c>
      <c r="U271">
        <f t="shared" si="22"/>
        <v>2</v>
      </c>
      <c r="V271">
        <f t="shared" si="23"/>
        <v>5</v>
      </c>
      <c r="W271" s="9">
        <f t="shared" si="24"/>
        <v>5.3064895530648956E-2</v>
      </c>
    </row>
    <row r="272" spans="1:23">
      <c r="A272">
        <v>10271</v>
      </c>
      <c r="B272" s="5">
        <v>44467</v>
      </c>
      <c r="C272" s="5">
        <v>44473</v>
      </c>
      <c r="D272" s="5">
        <v>44475</v>
      </c>
      <c r="E272" t="s">
        <v>18</v>
      </c>
      <c r="F272" t="s">
        <v>22</v>
      </c>
      <c r="G272" t="s">
        <v>26</v>
      </c>
      <c r="H272" t="s">
        <v>32</v>
      </c>
      <c r="I272" t="s">
        <v>35</v>
      </c>
      <c r="J272" t="s">
        <v>38</v>
      </c>
      <c r="K272" t="s">
        <v>44</v>
      </c>
      <c r="L272" t="s">
        <v>51</v>
      </c>
      <c r="M272" s="7">
        <v>4932</v>
      </c>
      <c r="N272">
        <v>0.14000000000000001</v>
      </c>
      <c r="O272" s="7">
        <v>9192</v>
      </c>
      <c r="P272">
        <v>18</v>
      </c>
      <c r="Q272" t="s">
        <v>55</v>
      </c>
      <c r="R272" t="s">
        <v>59</v>
      </c>
      <c r="S272">
        <f t="shared" si="20"/>
        <v>2021</v>
      </c>
      <c r="T272" t="str">
        <f t="shared" si="21"/>
        <v>Sep</v>
      </c>
      <c r="U272">
        <f t="shared" si="22"/>
        <v>6</v>
      </c>
      <c r="V272">
        <f t="shared" si="23"/>
        <v>8</v>
      </c>
      <c r="W272" s="9">
        <f t="shared" si="24"/>
        <v>1.8637469586374695</v>
      </c>
    </row>
    <row r="273" spans="1:23">
      <c r="A273">
        <v>10272</v>
      </c>
      <c r="B273" s="5">
        <v>44468</v>
      </c>
      <c r="C273" s="5">
        <v>44472</v>
      </c>
      <c r="D273" s="5">
        <v>44477</v>
      </c>
      <c r="E273" t="s">
        <v>21</v>
      </c>
      <c r="F273" t="s">
        <v>22</v>
      </c>
      <c r="G273" t="s">
        <v>24</v>
      </c>
      <c r="H273" t="s">
        <v>31</v>
      </c>
      <c r="I273" t="s">
        <v>35</v>
      </c>
      <c r="J273" t="s">
        <v>41</v>
      </c>
      <c r="K273" t="s">
        <v>49</v>
      </c>
      <c r="L273" t="s">
        <v>51</v>
      </c>
      <c r="M273" s="7">
        <v>61735</v>
      </c>
      <c r="N273">
        <v>0.37</v>
      </c>
      <c r="O273" s="7">
        <v>1907</v>
      </c>
      <c r="P273">
        <v>19</v>
      </c>
      <c r="Q273" t="s">
        <v>54</v>
      </c>
      <c r="R273" t="s">
        <v>59</v>
      </c>
      <c r="S273">
        <f t="shared" si="20"/>
        <v>2021</v>
      </c>
      <c r="T273" t="str">
        <f t="shared" si="21"/>
        <v>Sep</v>
      </c>
      <c r="U273">
        <f t="shared" si="22"/>
        <v>4</v>
      </c>
      <c r="V273">
        <f t="shared" si="23"/>
        <v>9</v>
      </c>
      <c r="W273" s="9">
        <f t="shared" si="24"/>
        <v>3.0890094759860695E-2</v>
      </c>
    </row>
    <row r="274" spans="1:23">
      <c r="A274">
        <v>10273</v>
      </c>
      <c r="B274" s="5">
        <v>44469</v>
      </c>
      <c r="C274" s="5">
        <v>44473</v>
      </c>
      <c r="D274" s="5">
        <v>44475</v>
      </c>
      <c r="E274" t="s">
        <v>19</v>
      </c>
      <c r="F274" t="s">
        <v>22</v>
      </c>
      <c r="G274" t="s">
        <v>23</v>
      </c>
      <c r="H274" t="s">
        <v>25</v>
      </c>
      <c r="I274" t="s">
        <v>35</v>
      </c>
      <c r="J274" t="s">
        <v>38</v>
      </c>
      <c r="K274" t="s">
        <v>47</v>
      </c>
      <c r="L274" t="s">
        <v>53</v>
      </c>
      <c r="M274" s="7">
        <v>42432</v>
      </c>
      <c r="N274">
        <v>0.18</v>
      </c>
      <c r="O274" s="7">
        <v>19589</v>
      </c>
      <c r="P274">
        <v>22</v>
      </c>
      <c r="Q274" t="s">
        <v>57</v>
      </c>
      <c r="R274" t="s">
        <v>62</v>
      </c>
      <c r="S274">
        <f t="shared" si="20"/>
        <v>2021</v>
      </c>
      <c r="T274" t="str">
        <f t="shared" si="21"/>
        <v>Sep</v>
      </c>
      <c r="U274">
        <f t="shared" si="22"/>
        <v>4</v>
      </c>
      <c r="V274">
        <f t="shared" si="23"/>
        <v>6</v>
      </c>
      <c r="W274" s="9">
        <f t="shared" si="24"/>
        <v>0.46165629713423834</v>
      </c>
    </row>
    <row r="275" spans="1:23">
      <c r="A275">
        <v>10274</v>
      </c>
      <c r="B275" s="5">
        <v>44470</v>
      </c>
      <c r="C275" s="5">
        <v>44476</v>
      </c>
      <c r="D275" s="5">
        <v>44478</v>
      </c>
      <c r="E275" t="s">
        <v>20</v>
      </c>
      <c r="F275" t="s">
        <v>22</v>
      </c>
      <c r="G275" t="s">
        <v>28</v>
      </c>
      <c r="H275" t="s">
        <v>33</v>
      </c>
      <c r="I275" t="s">
        <v>34</v>
      </c>
      <c r="J275" t="s">
        <v>43</v>
      </c>
      <c r="K275" t="s">
        <v>46</v>
      </c>
      <c r="L275" t="s">
        <v>53</v>
      </c>
      <c r="M275" s="7">
        <v>31476</v>
      </c>
      <c r="N275">
        <v>0.02</v>
      </c>
      <c r="O275" s="7">
        <v>15844</v>
      </c>
      <c r="P275">
        <v>24</v>
      </c>
      <c r="Q275" t="s">
        <v>58</v>
      </c>
      <c r="R275" t="s">
        <v>61</v>
      </c>
      <c r="S275">
        <f t="shared" si="20"/>
        <v>2021</v>
      </c>
      <c r="T275" t="str">
        <f t="shared" si="21"/>
        <v>Oct</v>
      </c>
      <c r="U275">
        <f t="shared" si="22"/>
        <v>6</v>
      </c>
      <c r="V275">
        <f t="shared" si="23"/>
        <v>8</v>
      </c>
      <c r="W275" s="9">
        <f t="shared" si="24"/>
        <v>0.503367645189986</v>
      </c>
    </row>
    <row r="276" spans="1:23">
      <c r="A276">
        <v>10275</v>
      </c>
      <c r="B276" s="5">
        <v>44471</v>
      </c>
      <c r="C276" s="5">
        <v>44473</v>
      </c>
      <c r="D276" s="5">
        <v>44476</v>
      </c>
      <c r="E276" t="s">
        <v>21</v>
      </c>
      <c r="F276" t="s">
        <v>22</v>
      </c>
      <c r="G276" t="s">
        <v>28</v>
      </c>
      <c r="H276" t="s">
        <v>33</v>
      </c>
      <c r="I276" t="s">
        <v>34</v>
      </c>
      <c r="J276" t="s">
        <v>37</v>
      </c>
      <c r="K276" t="s">
        <v>45</v>
      </c>
      <c r="L276" t="s">
        <v>51</v>
      </c>
      <c r="M276" s="7">
        <v>18783</v>
      </c>
      <c r="N276">
        <v>0.3</v>
      </c>
      <c r="O276" s="7">
        <v>16296</v>
      </c>
      <c r="P276">
        <v>5</v>
      </c>
      <c r="Q276" t="s">
        <v>57</v>
      </c>
      <c r="R276" t="s">
        <v>60</v>
      </c>
      <c r="S276">
        <f t="shared" si="20"/>
        <v>2021</v>
      </c>
      <c r="T276" t="str">
        <f t="shared" si="21"/>
        <v>Oct</v>
      </c>
      <c r="U276">
        <f t="shared" si="22"/>
        <v>2</v>
      </c>
      <c r="V276">
        <f t="shared" si="23"/>
        <v>5</v>
      </c>
      <c r="W276" s="9">
        <f t="shared" si="24"/>
        <v>0.86759303625618911</v>
      </c>
    </row>
    <row r="277" spans="1:23">
      <c r="A277">
        <v>10276</v>
      </c>
      <c r="B277" s="5">
        <v>44472</v>
      </c>
      <c r="C277" s="5">
        <v>44476</v>
      </c>
      <c r="D277" s="5">
        <v>44480</v>
      </c>
      <c r="E277" t="s">
        <v>21</v>
      </c>
      <c r="F277" t="s">
        <v>22</v>
      </c>
      <c r="G277" t="s">
        <v>26</v>
      </c>
      <c r="H277" t="s">
        <v>25</v>
      </c>
      <c r="I277" t="s">
        <v>35</v>
      </c>
      <c r="J277" t="s">
        <v>37</v>
      </c>
      <c r="K277" t="s">
        <v>47</v>
      </c>
      <c r="L277" t="s">
        <v>52</v>
      </c>
      <c r="M277" s="7">
        <v>65912</v>
      </c>
      <c r="N277">
        <v>0.39</v>
      </c>
      <c r="O277" s="7">
        <v>5992</v>
      </c>
      <c r="P277">
        <v>17</v>
      </c>
      <c r="Q277" t="s">
        <v>57</v>
      </c>
      <c r="R277" t="s">
        <v>62</v>
      </c>
      <c r="S277">
        <f t="shared" si="20"/>
        <v>2021</v>
      </c>
      <c r="T277" t="str">
        <f t="shared" si="21"/>
        <v>Oct</v>
      </c>
      <c r="U277">
        <f t="shared" si="22"/>
        <v>4</v>
      </c>
      <c r="V277">
        <f t="shared" si="23"/>
        <v>8</v>
      </c>
      <c r="W277" s="9">
        <f t="shared" si="24"/>
        <v>9.0909090909090912E-2</v>
      </c>
    </row>
    <row r="278" spans="1:23">
      <c r="A278">
        <v>10277</v>
      </c>
      <c r="B278" s="5">
        <v>44473</v>
      </c>
      <c r="C278" s="5">
        <v>44476</v>
      </c>
      <c r="D278" s="5">
        <v>44481</v>
      </c>
      <c r="E278" t="s">
        <v>21</v>
      </c>
      <c r="F278" t="s">
        <v>22</v>
      </c>
      <c r="G278" t="s">
        <v>27</v>
      </c>
      <c r="H278" t="s">
        <v>29</v>
      </c>
      <c r="I278" t="s">
        <v>36</v>
      </c>
      <c r="J278" t="s">
        <v>43</v>
      </c>
      <c r="K278" t="s">
        <v>44</v>
      </c>
      <c r="L278" t="s">
        <v>53</v>
      </c>
      <c r="M278" s="7">
        <v>15638</v>
      </c>
      <c r="N278">
        <v>0.1</v>
      </c>
      <c r="O278" s="7">
        <v>18828</v>
      </c>
      <c r="P278">
        <v>14</v>
      </c>
      <c r="Q278" t="s">
        <v>55</v>
      </c>
      <c r="R278" t="s">
        <v>62</v>
      </c>
      <c r="S278">
        <f t="shared" si="20"/>
        <v>2021</v>
      </c>
      <c r="T278" t="str">
        <f t="shared" si="21"/>
        <v>Oct</v>
      </c>
      <c r="U278">
        <f t="shared" si="22"/>
        <v>3</v>
      </c>
      <c r="V278">
        <f t="shared" si="23"/>
        <v>8</v>
      </c>
      <c r="W278" s="9">
        <f t="shared" si="24"/>
        <v>1.2039902800869677</v>
      </c>
    </row>
    <row r="279" spans="1:23">
      <c r="A279">
        <v>10278</v>
      </c>
      <c r="B279" s="5">
        <v>44474</v>
      </c>
      <c r="C279" s="5">
        <v>44481</v>
      </c>
      <c r="D279" s="5">
        <v>44482</v>
      </c>
      <c r="E279" t="s">
        <v>19</v>
      </c>
      <c r="F279" t="s">
        <v>22</v>
      </c>
      <c r="G279" t="s">
        <v>26</v>
      </c>
      <c r="H279" t="s">
        <v>29</v>
      </c>
      <c r="I279" t="s">
        <v>35</v>
      </c>
      <c r="J279" t="s">
        <v>37</v>
      </c>
      <c r="K279" t="s">
        <v>44</v>
      </c>
      <c r="L279" t="s">
        <v>53</v>
      </c>
      <c r="M279" s="7">
        <v>65769</v>
      </c>
      <c r="N279">
        <v>0</v>
      </c>
      <c r="O279" s="7">
        <v>1604</v>
      </c>
      <c r="P279">
        <v>20</v>
      </c>
      <c r="Q279" t="s">
        <v>58</v>
      </c>
      <c r="R279" t="s">
        <v>60</v>
      </c>
      <c r="S279">
        <f t="shared" si="20"/>
        <v>2021</v>
      </c>
      <c r="T279" t="str">
        <f t="shared" si="21"/>
        <v>Oct</v>
      </c>
      <c r="U279">
        <f t="shared" si="22"/>
        <v>7</v>
      </c>
      <c r="V279">
        <f t="shared" si="23"/>
        <v>8</v>
      </c>
      <c r="W279" s="9">
        <f t="shared" si="24"/>
        <v>2.4388389666864328E-2</v>
      </c>
    </row>
    <row r="280" spans="1:23">
      <c r="A280">
        <v>10279</v>
      </c>
      <c r="B280" s="5">
        <v>44475</v>
      </c>
      <c r="C280" s="5">
        <v>44482</v>
      </c>
      <c r="D280" s="5">
        <v>44483</v>
      </c>
      <c r="E280" t="s">
        <v>21</v>
      </c>
      <c r="F280" t="s">
        <v>22</v>
      </c>
      <c r="G280" t="s">
        <v>24</v>
      </c>
      <c r="H280" t="s">
        <v>29</v>
      </c>
      <c r="I280" t="s">
        <v>35</v>
      </c>
      <c r="J280" t="s">
        <v>38</v>
      </c>
      <c r="K280" t="s">
        <v>50</v>
      </c>
      <c r="L280" t="s">
        <v>52</v>
      </c>
      <c r="M280" s="7">
        <v>45333</v>
      </c>
      <c r="N280">
        <v>0.2</v>
      </c>
      <c r="O280" s="7">
        <v>4440</v>
      </c>
      <c r="P280">
        <v>10</v>
      </c>
      <c r="Q280" t="s">
        <v>54</v>
      </c>
      <c r="R280" t="s">
        <v>62</v>
      </c>
      <c r="S280">
        <f t="shared" si="20"/>
        <v>2021</v>
      </c>
      <c r="T280" t="str">
        <f t="shared" si="21"/>
        <v>Oct</v>
      </c>
      <c r="U280">
        <f t="shared" si="22"/>
        <v>7</v>
      </c>
      <c r="V280">
        <f t="shared" si="23"/>
        <v>8</v>
      </c>
      <c r="W280" s="9">
        <f t="shared" si="24"/>
        <v>9.7941896631592876E-2</v>
      </c>
    </row>
    <row r="281" spans="1:23">
      <c r="A281">
        <v>10280</v>
      </c>
      <c r="B281" s="5">
        <v>44476</v>
      </c>
      <c r="C281" s="5">
        <v>44480</v>
      </c>
      <c r="D281" s="5">
        <v>44485</v>
      </c>
      <c r="E281" t="s">
        <v>18</v>
      </c>
      <c r="F281" t="s">
        <v>22</v>
      </c>
      <c r="G281" t="s">
        <v>24</v>
      </c>
      <c r="H281" t="s">
        <v>31</v>
      </c>
      <c r="I281" t="s">
        <v>35</v>
      </c>
      <c r="J281" t="s">
        <v>40</v>
      </c>
      <c r="K281" t="s">
        <v>44</v>
      </c>
      <c r="L281" t="s">
        <v>52</v>
      </c>
      <c r="M281" s="7">
        <v>41425</v>
      </c>
      <c r="N281">
        <v>0.34</v>
      </c>
      <c r="O281" s="7">
        <v>2992</v>
      </c>
      <c r="P281">
        <v>21</v>
      </c>
      <c r="Q281" t="s">
        <v>57</v>
      </c>
      <c r="R281" t="s">
        <v>62</v>
      </c>
      <c r="S281">
        <f t="shared" si="20"/>
        <v>2021</v>
      </c>
      <c r="T281" t="str">
        <f t="shared" si="21"/>
        <v>Oct</v>
      </c>
      <c r="U281">
        <f t="shared" si="22"/>
        <v>4</v>
      </c>
      <c r="V281">
        <f t="shared" si="23"/>
        <v>9</v>
      </c>
      <c r="W281" s="9">
        <f t="shared" si="24"/>
        <v>7.2226916113458051E-2</v>
      </c>
    </row>
    <row r="282" spans="1:23">
      <c r="A282">
        <v>10281</v>
      </c>
      <c r="B282" s="5">
        <v>44477</v>
      </c>
      <c r="C282" s="5">
        <v>44479</v>
      </c>
      <c r="D282" s="5">
        <v>44484</v>
      </c>
      <c r="E282" t="s">
        <v>19</v>
      </c>
      <c r="F282" t="s">
        <v>22</v>
      </c>
      <c r="G282" t="s">
        <v>28</v>
      </c>
      <c r="H282" t="s">
        <v>25</v>
      </c>
      <c r="I282" t="s">
        <v>36</v>
      </c>
      <c r="J282" t="s">
        <v>37</v>
      </c>
      <c r="K282" t="s">
        <v>50</v>
      </c>
      <c r="L282" t="s">
        <v>51</v>
      </c>
      <c r="M282" s="7">
        <v>18291</v>
      </c>
      <c r="N282">
        <v>0.38</v>
      </c>
      <c r="O282" s="7">
        <v>2957</v>
      </c>
      <c r="P282">
        <v>6</v>
      </c>
      <c r="Q282" t="s">
        <v>55</v>
      </c>
      <c r="R282" t="s">
        <v>60</v>
      </c>
      <c r="S282">
        <f t="shared" si="20"/>
        <v>2021</v>
      </c>
      <c r="T282" t="str">
        <f t="shared" si="21"/>
        <v>Oct</v>
      </c>
      <c r="U282">
        <f t="shared" si="22"/>
        <v>2</v>
      </c>
      <c r="V282">
        <f t="shared" si="23"/>
        <v>7</v>
      </c>
      <c r="W282" s="9">
        <f t="shared" si="24"/>
        <v>0.16166420644032584</v>
      </c>
    </row>
    <row r="283" spans="1:23">
      <c r="A283">
        <v>10282</v>
      </c>
      <c r="B283" s="5">
        <v>44478</v>
      </c>
      <c r="C283" s="5">
        <v>44481</v>
      </c>
      <c r="D283" s="5">
        <v>44482</v>
      </c>
      <c r="E283" t="s">
        <v>19</v>
      </c>
      <c r="F283" t="s">
        <v>22</v>
      </c>
      <c r="G283" t="s">
        <v>26</v>
      </c>
      <c r="H283" t="s">
        <v>32</v>
      </c>
      <c r="I283" t="s">
        <v>35</v>
      </c>
      <c r="J283" t="s">
        <v>40</v>
      </c>
      <c r="K283" t="s">
        <v>45</v>
      </c>
      <c r="L283" t="s">
        <v>52</v>
      </c>
      <c r="M283" s="7">
        <v>66031</v>
      </c>
      <c r="N283">
        <v>0.26</v>
      </c>
      <c r="O283" s="7">
        <v>-1861</v>
      </c>
      <c r="P283">
        <v>24</v>
      </c>
      <c r="Q283" t="s">
        <v>57</v>
      </c>
      <c r="R283" t="s">
        <v>62</v>
      </c>
      <c r="S283">
        <f t="shared" si="20"/>
        <v>2021</v>
      </c>
      <c r="T283" t="str">
        <f t="shared" si="21"/>
        <v>Oct</v>
      </c>
      <c r="U283">
        <f t="shared" si="22"/>
        <v>3</v>
      </c>
      <c r="V283">
        <f t="shared" si="23"/>
        <v>4</v>
      </c>
      <c r="W283" s="9">
        <f t="shared" si="24"/>
        <v>-2.8183731883509262E-2</v>
      </c>
    </row>
    <row r="284" spans="1:23">
      <c r="A284">
        <v>10283</v>
      </c>
      <c r="B284" s="5">
        <v>44479</v>
      </c>
      <c r="C284" s="5">
        <v>44482</v>
      </c>
      <c r="D284" s="5">
        <v>44483</v>
      </c>
      <c r="E284" t="s">
        <v>18</v>
      </c>
      <c r="F284" t="s">
        <v>22</v>
      </c>
      <c r="G284" t="s">
        <v>24</v>
      </c>
      <c r="H284" t="s">
        <v>30</v>
      </c>
      <c r="I284" t="s">
        <v>34</v>
      </c>
      <c r="J284" t="s">
        <v>42</v>
      </c>
      <c r="K284" t="s">
        <v>47</v>
      </c>
      <c r="L284" t="s">
        <v>53</v>
      </c>
      <c r="M284" s="7">
        <v>45090</v>
      </c>
      <c r="N284">
        <v>0.06</v>
      </c>
      <c r="O284" s="7">
        <v>10082</v>
      </c>
      <c r="P284">
        <v>24</v>
      </c>
      <c r="Q284" t="s">
        <v>55</v>
      </c>
      <c r="R284" t="s">
        <v>60</v>
      </c>
      <c r="S284">
        <f t="shared" si="20"/>
        <v>2021</v>
      </c>
      <c r="T284" t="str">
        <f t="shared" si="21"/>
        <v>Oct</v>
      </c>
      <c r="U284">
        <f t="shared" si="22"/>
        <v>3</v>
      </c>
      <c r="V284">
        <f t="shared" si="23"/>
        <v>4</v>
      </c>
      <c r="W284" s="9">
        <f t="shared" si="24"/>
        <v>0.22359724994455532</v>
      </c>
    </row>
    <row r="285" spans="1:23">
      <c r="A285">
        <v>10284</v>
      </c>
      <c r="B285" s="5">
        <v>44480</v>
      </c>
      <c r="C285" s="5">
        <v>44483</v>
      </c>
      <c r="D285" s="5">
        <v>44487</v>
      </c>
      <c r="E285" t="s">
        <v>20</v>
      </c>
      <c r="F285" t="s">
        <v>22</v>
      </c>
      <c r="G285" t="s">
        <v>25</v>
      </c>
      <c r="H285" t="s">
        <v>31</v>
      </c>
      <c r="I285" t="s">
        <v>36</v>
      </c>
      <c r="J285" t="s">
        <v>43</v>
      </c>
      <c r="K285" t="s">
        <v>49</v>
      </c>
      <c r="L285" t="s">
        <v>51</v>
      </c>
      <c r="M285" s="7">
        <v>26320</v>
      </c>
      <c r="N285">
        <v>0.22</v>
      </c>
      <c r="O285" s="7">
        <v>13134</v>
      </c>
      <c r="P285">
        <v>3</v>
      </c>
      <c r="Q285" t="s">
        <v>55</v>
      </c>
      <c r="R285" t="s">
        <v>59</v>
      </c>
      <c r="S285">
        <f t="shared" si="20"/>
        <v>2021</v>
      </c>
      <c r="T285" t="str">
        <f t="shared" si="21"/>
        <v>Oct</v>
      </c>
      <c r="U285">
        <f t="shared" si="22"/>
        <v>3</v>
      </c>
      <c r="V285">
        <f t="shared" si="23"/>
        <v>7</v>
      </c>
      <c r="W285" s="9">
        <f t="shared" si="24"/>
        <v>0.49901215805471122</v>
      </c>
    </row>
    <row r="286" spans="1:23">
      <c r="A286">
        <v>10285</v>
      </c>
      <c r="B286" s="5">
        <v>44481</v>
      </c>
      <c r="C286" s="5">
        <v>44487</v>
      </c>
      <c r="D286" s="5">
        <v>44492</v>
      </c>
      <c r="E286" t="s">
        <v>19</v>
      </c>
      <c r="F286" t="s">
        <v>22</v>
      </c>
      <c r="G286" t="s">
        <v>28</v>
      </c>
      <c r="H286" t="s">
        <v>33</v>
      </c>
      <c r="I286" t="s">
        <v>35</v>
      </c>
      <c r="J286" t="s">
        <v>41</v>
      </c>
      <c r="K286" t="s">
        <v>50</v>
      </c>
      <c r="L286" t="s">
        <v>53</v>
      </c>
      <c r="M286" s="7">
        <v>64159</v>
      </c>
      <c r="N286">
        <v>0.01</v>
      </c>
      <c r="O286" s="7">
        <v>19131</v>
      </c>
      <c r="P286">
        <v>10</v>
      </c>
      <c r="Q286" t="s">
        <v>58</v>
      </c>
      <c r="R286" t="s">
        <v>59</v>
      </c>
      <c r="S286">
        <f t="shared" si="20"/>
        <v>2021</v>
      </c>
      <c r="T286" t="str">
        <f t="shared" si="21"/>
        <v>Oct</v>
      </c>
      <c r="U286">
        <f t="shared" si="22"/>
        <v>6</v>
      </c>
      <c r="V286">
        <f t="shared" si="23"/>
        <v>11</v>
      </c>
      <c r="W286" s="9">
        <f t="shared" si="24"/>
        <v>0.29818108137595661</v>
      </c>
    </row>
    <row r="287" spans="1:23">
      <c r="A287">
        <v>10286</v>
      </c>
      <c r="B287" s="5">
        <v>44482</v>
      </c>
      <c r="C287" s="5">
        <v>44488</v>
      </c>
      <c r="D287" s="5">
        <v>44492</v>
      </c>
      <c r="E287" t="s">
        <v>20</v>
      </c>
      <c r="F287" t="s">
        <v>22</v>
      </c>
      <c r="G287" t="s">
        <v>25</v>
      </c>
      <c r="H287" t="s">
        <v>25</v>
      </c>
      <c r="I287" t="s">
        <v>36</v>
      </c>
      <c r="J287" t="s">
        <v>43</v>
      </c>
      <c r="K287" t="s">
        <v>45</v>
      </c>
      <c r="L287" t="s">
        <v>53</v>
      </c>
      <c r="M287" s="7">
        <v>45446</v>
      </c>
      <c r="N287">
        <v>0.02</v>
      </c>
      <c r="O287" s="7">
        <v>16719</v>
      </c>
      <c r="P287">
        <v>15</v>
      </c>
      <c r="Q287" t="s">
        <v>55</v>
      </c>
      <c r="R287" t="s">
        <v>62</v>
      </c>
      <c r="S287">
        <f t="shared" si="20"/>
        <v>2021</v>
      </c>
      <c r="T287" t="str">
        <f t="shared" si="21"/>
        <v>Oct</v>
      </c>
      <c r="U287">
        <f t="shared" si="22"/>
        <v>6</v>
      </c>
      <c r="V287">
        <f t="shared" si="23"/>
        <v>10</v>
      </c>
      <c r="W287" s="9">
        <f t="shared" si="24"/>
        <v>0.36788716278660388</v>
      </c>
    </row>
    <row r="288" spans="1:23">
      <c r="A288">
        <v>10287</v>
      </c>
      <c r="B288" s="5">
        <v>44483</v>
      </c>
      <c r="C288" s="5">
        <v>44487</v>
      </c>
      <c r="D288" s="5">
        <v>44491</v>
      </c>
      <c r="E288" t="s">
        <v>19</v>
      </c>
      <c r="F288" t="s">
        <v>22</v>
      </c>
      <c r="G288" t="s">
        <v>27</v>
      </c>
      <c r="H288" t="s">
        <v>33</v>
      </c>
      <c r="I288" t="s">
        <v>34</v>
      </c>
      <c r="J288" t="s">
        <v>40</v>
      </c>
      <c r="K288" t="s">
        <v>50</v>
      </c>
      <c r="L288" t="s">
        <v>53</v>
      </c>
      <c r="M288" s="7">
        <v>43334</v>
      </c>
      <c r="N288">
        <v>0.11</v>
      </c>
      <c r="O288" s="7">
        <v>5971</v>
      </c>
      <c r="P288">
        <v>20</v>
      </c>
      <c r="Q288" t="s">
        <v>56</v>
      </c>
      <c r="R288" t="s">
        <v>62</v>
      </c>
      <c r="S288">
        <f t="shared" si="20"/>
        <v>2021</v>
      </c>
      <c r="T288" t="str">
        <f t="shared" si="21"/>
        <v>Oct</v>
      </c>
      <c r="U288">
        <f t="shared" si="22"/>
        <v>4</v>
      </c>
      <c r="V288">
        <f t="shared" si="23"/>
        <v>8</v>
      </c>
      <c r="W288" s="9">
        <f t="shared" si="24"/>
        <v>0.13779018784326394</v>
      </c>
    </row>
    <row r="289" spans="1:23">
      <c r="A289">
        <v>10288</v>
      </c>
      <c r="B289" s="5">
        <v>44484</v>
      </c>
      <c r="C289" s="5">
        <v>44486</v>
      </c>
      <c r="D289" s="5">
        <v>44487</v>
      </c>
      <c r="E289" t="s">
        <v>21</v>
      </c>
      <c r="F289" t="s">
        <v>22</v>
      </c>
      <c r="G289" t="s">
        <v>24</v>
      </c>
      <c r="H289" t="s">
        <v>33</v>
      </c>
      <c r="I289" t="s">
        <v>35</v>
      </c>
      <c r="J289" t="s">
        <v>41</v>
      </c>
      <c r="K289" t="s">
        <v>49</v>
      </c>
      <c r="L289" t="s">
        <v>51</v>
      </c>
      <c r="M289" s="7">
        <v>56357</v>
      </c>
      <c r="N289">
        <v>0.21</v>
      </c>
      <c r="O289" s="7">
        <v>7613</v>
      </c>
      <c r="P289">
        <v>2</v>
      </c>
      <c r="Q289" t="s">
        <v>57</v>
      </c>
      <c r="R289" t="s">
        <v>60</v>
      </c>
      <c r="S289">
        <f t="shared" si="20"/>
        <v>2021</v>
      </c>
      <c r="T289" t="str">
        <f t="shared" si="21"/>
        <v>Oct</v>
      </c>
      <c r="U289">
        <f t="shared" si="22"/>
        <v>2</v>
      </c>
      <c r="V289">
        <f t="shared" si="23"/>
        <v>3</v>
      </c>
      <c r="W289" s="9">
        <f t="shared" si="24"/>
        <v>0.13508526003868199</v>
      </c>
    </row>
    <row r="290" spans="1:23">
      <c r="A290">
        <v>10289</v>
      </c>
      <c r="B290" s="5">
        <v>44485</v>
      </c>
      <c r="C290" s="5">
        <v>44487</v>
      </c>
      <c r="D290" s="5">
        <v>44491</v>
      </c>
      <c r="E290" t="s">
        <v>18</v>
      </c>
      <c r="F290" t="s">
        <v>22</v>
      </c>
      <c r="G290" t="s">
        <v>26</v>
      </c>
      <c r="H290" t="s">
        <v>33</v>
      </c>
      <c r="I290" t="s">
        <v>35</v>
      </c>
      <c r="J290" t="s">
        <v>38</v>
      </c>
      <c r="K290" t="s">
        <v>50</v>
      </c>
      <c r="L290" t="s">
        <v>51</v>
      </c>
      <c r="M290" s="7">
        <v>19190</v>
      </c>
      <c r="N290">
        <v>0.02</v>
      </c>
      <c r="O290" s="7">
        <v>10718</v>
      </c>
      <c r="P290">
        <v>18</v>
      </c>
      <c r="Q290" t="s">
        <v>56</v>
      </c>
      <c r="R290" t="s">
        <v>62</v>
      </c>
      <c r="S290">
        <f t="shared" si="20"/>
        <v>2021</v>
      </c>
      <c r="T290" t="str">
        <f t="shared" si="21"/>
        <v>Oct</v>
      </c>
      <c r="U290">
        <f t="shared" si="22"/>
        <v>2</v>
      </c>
      <c r="V290">
        <f t="shared" si="23"/>
        <v>6</v>
      </c>
      <c r="W290" s="9">
        <f t="shared" si="24"/>
        <v>0.55852006253256903</v>
      </c>
    </row>
    <row r="291" spans="1:23">
      <c r="A291">
        <v>10290</v>
      </c>
      <c r="B291" s="5">
        <v>44486</v>
      </c>
      <c r="C291" s="5">
        <v>44491</v>
      </c>
      <c r="D291" s="5">
        <v>44496</v>
      </c>
      <c r="E291" t="s">
        <v>21</v>
      </c>
      <c r="F291" t="s">
        <v>22</v>
      </c>
      <c r="G291" t="s">
        <v>28</v>
      </c>
      <c r="H291" t="s">
        <v>31</v>
      </c>
      <c r="I291" t="s">
        <v>35</v>
      </c>
      <c r="J291" t="s">
        <v>42</v>
      </c>
      <c r="K291" t="s">
        <v>48</v>
      </c>
      <c r="L291" t="s">
        <v>53</v>
      </c>
      <c r="M291" s="7">
        <v>6877</v>
      </c>
      <c r="N291">
        <v>0.4</v>
      </c>
      <c r="O291" s="7">
        <v>-1493</v>
      </c>
      <c r="P291">
        <v>3</v>
      </c>
      <c r="Q291" t="s">
        <v>54</v>
      </c>
      <c r="R291" t="s">
        <v>60</v>
      </c>
      <c r="S291">
        <f t="shared" si="20"/>
        <v>2021</v>
      </c>
      <c r="T291" t="str">
        <f t="shared" si="21"/>
        <v>Oct</v>
      </c>
      <c r="U291">
        <f t="shared" si="22"/>
        <v>5</v>
      </c>
      <c r="V291">
        <f t="shared" si="23"/>
        <v>10</v>
      </c>
      <c r="W291" s="9">
        <f t="shared" si="24"/>
        <v>-0.21710047986040423</v>
      </c>
    </row>
    <row r="292" spans="1:23">
      <c r="A292">
        <v>10291</v>
      </c>
      <c r="B292" s="5">
        <v>44487</v>
      </c>
      <c r="C292" s="5">
        <v>44489</v>
      </c>
      <c r="D292" s="5">
        <v>44490</v>
      </c>
      <c r="E292" t="s">
        <v>21</v>
      </c>
      <c r="F292" t="s">
        <v>22</v>
      </c>
      <c r="G292" t="s">
        <v>24</v>
      </c>
      <c r="H292" t="s">
        <v>31</v>
      </c>
      <c r="I292" t="s">
        <v>34</v>
      </c>
      <c r="J292" t="s">
        <v>40</v>
      </c>
      <c r="K292" t="s">
        <v>45</v>
      </c>
      <c r="L292" t="s">
        <v>51</v>
      </c>
      <c r="M292" s="7">
        <v>67015</v>
      </c>
      <c r="N292">
        <v>0.24</v>
      </c>
      <c r="O292" s="7">
        <v>12739</v>
      </c>
      <c r="P292">
        <v>13</v>
      </c>
      <c r="Q292" t="s">
        <v>57</v>
      </c>
      <c r="R292" t="s">
        <v>62</v>
      </c>
      <c r="S292">
        <f t="shared" si="20"/>
        <v>2021</v>
      </c>
      <c r="T292" t="str">
        <f t="shared" si="21"/>
        <v>Oct</v>
      </c>
      <c r="U292">
        <f t="shared" si="22"/>
        <v>2</v>
      </c>
      <c r="V292">
        <f t="shared" si="23"/>
        <v>3</v>
      </c>
      <c r="W292" s="9">
        <f t="shared" si="24"/>
        <v>0.19009177049914197</v>
      </c>
    </row>
    <row r="293" spans="1:23">
      <c r="A293">
        <v>10292</v>
      </c>
      <c r="B293" s="5">
        <v>44488</v>
      </c>
      <c r="C293" s="5">
        <v>44493</v>
      </c>
      <c r="D293" s="5">
        <v>44494</v>
      </c>
      <c r="E293" t="s">
        <v>19</v>
      </c>
      <c r="F293" t="s">
        <v>22</v>
      </c>
      <c r="G293" t="s">
        <v>25</v>
      </c>
      <c r="H293" t="s">
        <v>29</v>
      </c>
      <c r="I293" t="s">
        <v>34</v>
      </c>
      <c r="J293" t="s">
        <v>39</v>
      </c>
      <c r="K293" t="s">
        <v>45</v>
      </c>
      <c r="L293" t="s">
        <v>53</v>
      </c>
      <c r="M293" s="7">
        <v>24906</v>
      </c>
      <c r="N293">
        <v>7.0000000000000007E-2</v>
      </c>
      <c r="O293" s="7">
        <v>299</v>
      </c>
      <c r="P293">
        <v>22</v>
      </c>
      <c r="Q293" t="s">
        <v>54</v>
      </c>
      <c r="R293" t="s">
        <v>62</v>
      </c>
      <c r="S293">
        <f t="shared" si="20"/>
        <v>2021</v>
      </c>
      <c r="T293" t="str">
        <f t="shared" si="21"/>
        <v>Oct</v>
      </c>
      <c r="U293">
        <f t="shared" si="22"/>
        <v>5</v>
      </c>
      <c r="V293">
        <f t="shared" si="23"/>
        <v>6</v>
      </c>
      <c r="W293" s="9">
        <f t="shared" si="24"/>
        <v>1.2005139323857704E-2</v>
      </c>
    </row>
    <row r="294" spans="1:23">
      <c r="A294">
        <v>10293</v>
      </c>
      <c r="B294" s="5">
        <v>44489</v>
      </c>
      <c r="C294" s="5">
        <v>44494</v>
      </c>
      <c r="D294" s="5">
        <v>44499</v>
      </c>
      <c r="E294" t="s">
        <v>18</v>
      </c>
      <c r="F294" t="s">
        <v>22</v>
      </c>
      <c r="G294" t="s">
        <v>25</v>
      </c>
      <c r="H294" t="s">
        <v>25</v>
      </c>
      <c r="I294" t="s">
        <v>36</v>
      </c>
      <c r="J294" t="s">
        <v>43</v>
      </c>
      <c r="K294" t="s">
        <v>48</v>
      </c>
      <c r="L294" t="s">
        <v>52</v>
      </c>
      <c r="M294" s="7">
        <v>34553</v>
      </c>
      <c r="N294">
        <v>0.03</v>
      </c>
      <c r="O294" s="7">
        <v>11255</v>
      </c>
      <c r="P294">
        <v>9</v>
      </c>
      <c r="Q294" t="s">
        <v>58</v>
      </c>
      <c r="R294" t="s">
        <v>60</v>
      </c>
      <c r="S294">
        <f t="shared" si="20"/>
        <v>2021</v>
      </c>
      <c r="T294" t="str">
        <f t="shared" si="21"/>
        <v>Oct</v>
      </c>
      <c r="U294">
        <f t="shared" si="22"/>
        <v>5</v>
      </c>
      <c r="V294">
        <f t="shared" si="23"/>
        <v>10</v>
      </c>
      <c r="W294" s="9">
        <f t="shared" si="24"/>
        <v>0.32573148496512605</v>
      </c>
    </row>
    <row r="295" spans="1:23">
      <c r="A295">
        <v>10294</v>
      </c>
      <c r="B295" s="5">
        <v>44490</v>
      </c>
      <c r="C295" s="5">
        <v>44497</v>
      </c>
      <c r="D295" s="5">
        <v>44500</v>
      </c>
      <c r="E295" t="s">
        <v>20</v>
      </c>
      <c r="F295" t="s">
        <v>22</v>
      </c>
      <c r="G295" t="s">
        <v>26</v>
      </c>
      <c r="H295" t="s">
        <v>30</v>
      </c>
      <c r="I295" t="s">
        <v>35</v>
      </c>
      <c r="J295" t="s">
        <v>42</v>
      </c>
      <c r="K295" t="s">
        <v>46</v>
      </c>
      <c r="L295" t="s">
        <v>52</v>
      </c>
      <c r="M295" s="7">
        <v>45624</v>
      </c>
      <c r="N295">
        <v>0.14000000000000001</v>
      </c>
      <c r="O295" s="7">
        <v>14990</v>
      </c>
      <c r="P295">
        <v>12</v>
      </c>
      <c r="Q295" t="s">
        <v>58</v>
      </c>
      <c r="R295" t="s">
        <v>60</v>
      </c>
      <c r="S295">
        <f t="shared" si="20"/>
        <v>2021</v>
      </c>
      <c r="T295" t="str">
        <f t="shared" si="21"/>
        <v>Oct</v>
      </c>
      <c r="U295">
        <f t="shared" si="22"/>
        <v>7</v>
      </c>
      <c r="V295">
        <f t="shared" si="23"/>
        <v>10</v>
      </c>
      <c r="W295" s="9">
        <f t="shared" si="24"/>
        <v>0.328555146414168</v>
      </c>
    </row>
    <row r="296" spans="1:23">
      <c r="A296">
        <v>10295</v>
      </c>
      <c r="B296" s="5">
        <v>44491</v>
      </c>
      <c r="C296" s="5">
        <v>44497</v>
      </c>
      <c r="D296" s="5">
        <v>44499</v>
      </c>
      <c r="E296" t="s">
        <v>18</v>
      </c>
      <c r="F296" t="s">
        <v>22</v>
      </c>
      <c r="G296" t="s">
        <v>23</v>
      </c>
      <c r="H296" t="s">
        <v>32</v>
      </c>
      <c r="I296" t="s">
        <v>36</v>
      </c>
      <c r="J296" t="s">
        <v>37</v>
      </c>
      <c r="K296" t="s">
        <v>45</v>
      </c>
      <c r="L296" t="s">
        <v>52</v>
      </c>
      <c r="M296" s="7">
        <v>23529</v>
      </c>
      <c r="N296">
        <v>0.31</v>
      </c>
      <c r="O296" s="7">
        <v>-61</v>
      </c>
      <c r="P296">
        <v>4</v>
      </c>
      <c r="Q296" t="s">
        <v>58</v>
      </c>
      <c r="R296" t="s">
        <v>59</v>
      </c>
      <c r="S296">
        <f t="shared" si="20"/>
        <v>2021</v>
      </c>
      <c r="T296" t="str">
        <f t="shared" si="21"/>
        <v>Oct</v>
      </c>
      <c r="U296">
        <f t="shared" si="22"/>
        <v>6</v>
      </c>
      <c r="V296">
        <f t="shared" si="23"/>
        <v>8</v>
      </c>
      <c r="W296" s="9">
        <f t="shared" si="24"/>
        <v>-2.592545369543967E-3</v>
      </c>
    </row>
    <row r="297" spans="1:23">
      <c r="A297">
        <v>10296</v>
      </c>
      <c r="B297" s="5">
        <v>44492</v>
      </c>
      <c r="C297" s="5">
        <v>44495</v>
      </c>
      <c r="D297" s="5">
        <v>44499</v>
      </c>
      <c r="E297" t="s">
        <v>19</v>
      </c>
      <c r="F297" t="s">
        <v>22</v>
      </c>
      <c r="G297" t="s">
        <v>25</v>
      </c>
      <c r="H297" t="s">
        <v>25</v>
      </c>
      <c r="I297" t="s">
        <v>34</v>
      </c>
      <c r="J297" t="s">
        <v>41</v>
      </c>
      <c r="K297" t="s">
        <v>46</v>
      </c>
      <c r="L297" t="s">
        <v>53</v>
      </c>
      <c r="M297" s="7">
        <v>41782</v>
      </c>
      <c r="N297">
        <v>0.27</v>
      </c>
      <c r="O297" s="7">
        <v>19575</v>
      </c>
      <c r="P297">
        <v>21</v>
      </c>
      <c r="Q297" t="s">
        <v>55</v>
      </c>
      <c r="R297" t="s">
        <v>62</v>
      </c>
      <c r="S297">
        <f t="shared" si="20"/>
        <v>2021</v>
      </c>
      <c r="T297" t="str">
        <f t="shared" si="21"/>
        <v>Oct</v>
      </c>
      <c r="U297">
        <f t="shared" si="22"/>
        <v>3</v>
      </c>
      <c r="V297">
        <f t="shared" si="23"/>
        <v>7</v>
      </c>
      <c r="W297" s="9">
        <f t="shared" si="24"/>
        <v>0.46850318318893303</v>
      </c>
    </row>
    <row r="298" spans="1:23">
      <c r="A298">
        <v>10297</v>
      </c>
      <c r="B298" s="5">
        <v>44493</v>
      </c>
      <c r="C298" s="5">
        <v>44495</v>
      </c>
      <c r="D298" s="5">
        <v>44498</v>
      </c>
      <c r="E298" t="s">
        <v>21</v>
      </c>
      <c r="F298" t="s">
        <v>22</v>
      </c>
      <c r="G298" t="s">
        <v>27</v>
      </c>
      <c r="H298" t="s">
        <v>25</v>
      </c>
      <c r="I298" t="s">
        <v>35</v>
      </c>
      <c r="J298" t="s">
        <v>37</v>
      </c>
      <c r="K298" t="s">
        <v>47</v>
      </c>
      <c r="L298" t="s">
        <v>53</v>
      </c>
      <c r="M298" s="7">
        <v>13493</v>
      </c>
      <c r="N298">
        <v>0.02</v>
      </c>
      <c r="O298" s="7">
        <v>-242</v>
      </c>
      <c r="P298">
        <v>1</v>
      </c>
      <c r="Q298" t="s">
        <v>58</v>
      </c>
      <c r="R298" t="s">
        <v>62</v>
      </c>
      <c r="S298">
        <f t="shared" si="20"/>
        <v>2021</v>
      </c>
      <c r="T298" t="str">
        <f t="shared" si="21"/>
        <v>Oct</v>
      </c>
      <c r="U298">
        <f t="shared" si="22"/>
        <v>2</v>
      </c>
      <c r="V298">
        <f t="shared" si="23"/>
        <v>5</v>
      </c>
      <c r="W298" s="9">
        <f t="shared" si="24"/>
        <v>-1.7935225672570963E-2</v>
      </c>
    </row>
    <row r="299" spans="1:23">
      <c r="A299">
        <v>10298</v>
      </c>
      <c r="B299" s="5">
        <v>44494</v>
      </c>
      <c r="C299" s="5">
        <v>44498</v>
      </c>
      <c r="D299" s="5">
        <v>44500</v>
      </c>
      <c r="E299" t="s">
        <v>18</v>
      </c>
      <c r="F299" t="s">
        <v>22</v>
      </c>
      <c r="G299" t="s">
        <v>28</v>
      </c>
      <c r="H299" t="s">
        <v>29</v>
      </c>
      <c r="I299" t="s">
        <v>36</v>
      </c>
      <c r="J299" t="s">
        <v>37</v>
      </c>
      <c r="K299" t="s">
        <v>47</v>
      </c>
      <c r="L299" t="s">
        <v>52</v>
      </c>
      <c r="M299" s="7">
        <v>32287</v>
      </c>
      <c r="N299">
        <v>7.0000000000000007E-2</v>
      </c>
      <c r="O299" s="7">
        <v>5578</v>
      </c>
      <c r="P299">
        <v>9</v>
      </c>
      <c r="Q299" t="s">
        <v>54</v>
      </c>
      <c r="R299" t="s">
        <v>59</v>
      </c>
      <c r="S299">
        <f t="shared" si="20"/>
        <v>2021</v>
      </c>
      <c r="T299" t="str">
        <f t="shared" si="21"/>
        <v>Oct</v>
      </c>
      <c r="U299">
        <f t="shared" si="22"/>
        <v>4</v>
      </c>
      <c r="V299">
        <f t="shared" si="23"/>
        <v>6</v>
      </c>
      <c r="W299" s="9">
        <f t="shared" si="24"/>
        <v>0.17276303156069006</v>
      </c>
    </row>
    <row r="300" spans="1:23">
      <c r="A300">
        <v>10299</v>
      </c>
      <c r="B300" s="5">
        <v>44495</v>
      </c>
      <c r="C300" s="5">
        <v>44501</v>
      </c>
      <c r="D300" s="5">
        <v>44502</v>
      </c>
      <c r="E300" t="s">
        <v>19</v>
      </c>
      <c r="F300" t="s">
        <v>22</v>
      </c>
      <c r="G300" t="s">
        <v>23</v>
      </c>
      <c r="H300" t="s">
        <v>30</v>
      </c>
      <c r="I300" t="s">
        <v>36</v>
      </c>
      <c r="J300" t="s">
        <v>43</v>
      </c>
      <c r="K300" t="s">
        <v>46</v>
      </c>
      <c r="L300" t="s">
        <v>53</v>
      </c>
      <c r="M300" s="7">
        <v>66152</v>
      </c>
      <c r="N300">
        <v>0.39</v>
      </c>
      <c r="O300" s="7">
        <v>2087</v>
      </c>
      <c r="P300">
        <v>10</v>
      </c>
      <c r="Q300" t="s">
        <v>54</v>
      </c>
      <c r="R300" t="s">
        <v>59</v>
      </c>
      <c r="S300">
        <f t="shared" si="20"/>
        <v>2021</v>
      </c>
      <c r="T300" t="str">
        <f t="shared" si="21"/>
        <v>Oct</v>
      </c>
      <c r="U300">
        <f t="shared" si="22"/>
        <v>6</v>
      </c>
      <c r="V300">
        <f t="shared" si="23"/>
        <v>7</v>
      </c>
      <c r="W300" s="9">
        <f t="shared" si="24"/>
        <v>3.1548554843390982E-2</v>
      </c>
    </row>
    <row r="301" spans="1:23">
      <c r="A301">
        <v>10300</v>
      </c>
      <c r="B301" s="5">
        <v>44496</v>
      </c>
      <c r="C301" s="5">
        <v>44503</v>
      </c>
      <c r="D301" s="5">
        <v>44508</v>
      </c>
      <c r="E301" t="s">
        <v>19</v>
      </c>
      <c r="F301" t="s">
        <v>22</v>
      </c>
      <c r="G301" t="s">
        <v>24</v>
      </c>
      <c r="H301" t="s">
        <v>25</v>
      </c>
      <c r="I301" t="s">
        <v>34</v>
      </c>
      <c r="J301" t="s">
        <v>42</v>
      </c>
      <c r="K301" t="s">
        <v>49</v>
      </c>
      <c r="L301" t="s">
        <v>51</v>
      </c>
      <c r="M301" s="7">
        <v>19186</v>
      </c>
      <c r="N301">
        <v>0.31</v>
      </c>
      <c r="O301" s="7">
        <v>17773</v>
      </c>
      <c r="P301">
        <v>1</v>
      </c>
      <c r="Q301" t="s">
        <v>54</v>
      </c>
      <c r="R301" t="s">
        <v>62</v>
      </c>
      <c r="S301">
        <f t="shared" si="20"/>
        <v>2021</v>
      </c>
      <c r="T301" t="str">
        <f t="shared" si="21"/>
        <v>Oct</v>
      </c>
      <c r="U301">
        <f t="shared" si="22"/>
        <v>7</v>
      </c>
      <c r="V301">
        <f t="shared" si="23"/>
        <v>12</v>
      </c>
      <c r="W301" s="9">
        <f t="shared" si="24"/>
        <v>0.92635254873345152</v>
      </c>
    </row>
    <row r="302" spans="1:23">
      <c r="A302">
        <v>10301</v>
      </c>
      <c r="B302" s="5">
        <v>44497</v>
      </c>
      <c r="C302" s="5">
        <v>44500</v>
      </c>
      <c r="D302" s="5">
        <v>44503</v>
      </c>
      <c r="E302" t="s">
        <v>19</v>
      </c>
      <c r="F302" t="s">
        <v>22</v>
      </c>
      <c r="G302" t="s">
        <v>25</v>
      </c>
      <c r="H302" t="s">
        <v>33</v>
      </c>
      <c r="I302" t="s">
        <v>34</v>
      </c>
      <c r="J302" t="s">
        <v>41</v>
      </c>
      <c r="K302" t="s">
        <v>46</v>
      </c>
      <c r="L302" t="s">
        <v>51</v>
      </c>
      <c r="M302" s="7">
        <v>50662</v>
      </c>
      <c r="N302">
        <v>0.15</v>
      </c>
      <c r="O302" s="7">
        <v>3483</v>
      </c>
      <c r="P302">
        <v>14</v>
      </c>
      <c r="Q302" t="s">
        <v>54</v>
      </c>
      <c r="R302" t="s">
        <v>59</v>
      </c>
      <c r="S302">
        <f t="shared" si="20"/>
        <v>2021</v>
      </c>
      <c r="T302" t="str">
        <f t="shared" si="21"/>
        <v>Oct</v>
      </c>
      <c r="U302">
        <f t="shared" si="22"/>
        <v>3</v>
      </c>
      <c r="V302">
        <f t="shared" si="23"/>
        <v>6</v>
      </c>
      <c r="W302" s="9">
        <f t="shared" si="24"/>
        <v>6.8749753266748259E-2</v>
      </c>
    </row>
    <row r="303" spans="1:23">
      <c r="A303">
        <v>10302</v>
      </c>
      <c r="B303" s="5">
        <v>44498</v>
      </c>
      <c r="C303" s="5">
        <v>44504</v>
      </c>
      <c r="D303" s="5">
        <v>44509</v>
      </c>
      <c r="E303" t="s">
        <v>19</v>
      </c>
      <c r="F303" t="s">
        <v>22</v>
      </c>
      <c r="G303" t="s">
        <v>25</v>
      </c>
      <c r="H303" t="s">
        <v>32</v>
      </c>
      <c r="I303" t="s">
        <v>36</v>
      </c>
      <c r="J303" t="s">
        <v>42</v>
      </c>
      <c r="K303" t="s">
        <v>46</v>
      </c>
      <c r="L303" t="s">
        <v>53</v>
      </c>
      <c r="M303" s="7">
        <v>10356</v>
      </c>
      <c r="N303">
        <v>0.27</v>
      </c>
      <c r="O303" s="7">
        <v>7485</v>
      </c>
      <c r="P303">
        <v>16</v>
      </c>
      <c r="Q303" t="s">
        <v>55</v>
      </c>
      <c r="R303" t="s">
        <v>61</v>
      </c>
      <c r="S303">
        <f t="shared" si="20"/>
        <v>2021</v>
      </c>
      <c r="T303" t="str">
        <f t="shared" si="21"/>
        <v>Oct</v>
      </c>
      <c r="U303">
        <f t="shared" si="22"/>
        <v>6</v>
      </c>
      <c r="V303">
        <f t="shared" si="23"/>
        <v>11</v>
      </c>
      <c r="W303" s="9">
        <f t="shared" si="24"/>
        <v>0.72276940903823872</v>
      </c>
    </row>
    <row r="304" spans="1:23">
      <c r="A304">
        <v>10303</v>
      </c>
      <c r="B304" s="5">
        <v>44499</v>
      </c>
      <c r="C304" s="5">
        <v>44502</v>
      </c>
      <c r="D304" s="5">
        <v>44506</v>
      </c>
      <c r="E304" t="s">
        <v>20</v>
      </c>
      <c r="F304" t="s">
        <v>22</v>
      </c>
      <c r="G304" t="s">
        <v>27</v>
      </c>
      <c r="H304" t="s">
        <v>31</v>
      </c>
      <c r="I304" t="s">
        <v>36</v>
      </c>
      <c r="J304" t="s">
        <v>38</v>
      </c>
      <c r="K304" t="s">
        <v>50</v>
      </c>
      <c r="L304" t="s">
        <v>52</v>
      </c>
      <c r="M304" s="7">
        <v>26977</v>
      </c>
      <c r="N304">
        <v>0.21</v>
      </c>
      <c r="O304" s="7">
        <v>9877</v>
      </c>
      <c r="P304">
        <v>16</v>
      </c>
      <c r="Q304" t="s">
        <v>58</v>
      </c>
      <c r="R304" t="s">
        <v>62</v>
      </c>
      <c r="S304">
        <f t="shared" si="20"/>
        <v>2021</v>
      </c>
      <c r="T304" t="str">
        <f t="shared" si="21"/>
        <v>Oct</v>
      </c>
      <c r="U304">
        <f t="shared" si="22"/>
        <v>3</v>
      </c>
      <c r="V304">
        <f t="shared" si="23"/>
        <v>7</v>
      </c>
      <c r="W304" s="9">
        <f t="shared" si="24"/>
        <v>0.36612670052266744</v>
      </c>
    </row>
    <row r="305" spans="1:23">
      <c r="A305">
        <v>10304</v>
      </c>
      <c r="B305" s="5">
        <v>44500</v>
      </c>
      <c r="C305" s="5">
        <v>44502</v>
      </c>
      <c r="D305" s="5">
        <v>44505</v>
      </c>
      <c r="E305" t="s">
        <v>21</v>
      </c>
      <c r="F305" t="s">
        <v>22</v>
      </c>
      <c r="G305" t="s">
        <v>28</v>
      </c>
      <c r="H305" t="s">
        <v>30</v>
      </c>
      <c r="I305" t="s">
        <v>36</v>
      </c>
      <c r="J305" t="s">
        <v>39</v>
      </c>
      <c r="K305" t="s">
        <v>47</v>
      </c>
      <c r="L305" t="s">
        <v>52</v>
      </c>
      <c r="M305" s="7">
        <v>54071</v>
      </c>
      <c r="N305">
        <v>0.03</v>
      </c>
      <c r="O305" s="7">
        <v>7753</v>
      </c>
      <c r="P305">
        <v>15</v>
      </c>
      <c r="Q305" t="s">
        <v>58</v>
      </c>
      <c r="R305" t="s">
        <v>60</v>
      </c>
      <c r="S305">
        <f t="shared" si="20"/>
        <v>2021</v>
      </c>
      <c r="T305" t="str">
        <f t="shared" si="21"/>
        <v>Oct</v>
      </c>
      <c r="U305">
        <f t="shared" si="22"/>
        <v>2</v>
      </c>
      <c r="V305">
        <f t="shared" si="23"/>
        <v>5</v>
      </c>
      <c r="W305" s="9">
        <f t="shared" si="24"/>
        <v>0.14338554863050434</v>
      </c>
    </row>
    <row r="306" spans="1:23">
      <c r="A306">
        <v>10305</v>
      </c>
      <c r="B306" s="5">
        <v>44501</v>
      </c>
      <c r="C306" s="5">
        <v>44507</v>
      </c>
      <c r="D306" s="5">
        <v>44509</v>
      </c>
      <c r="E306" t="s">
        <v>19</v>
      </c>
      <c r="F306" t="s">
        <v>22</v>
      </c>
      <c r="G306" t="s">
        <v>25</v>
      </c>
      <c r="H306" t="s">
        <v>30</v>
      </c>
      <c r="I306" t="s">
        <v>34</v>
      </c>
      <c r="J306" t="s">
        <v>41</v>
      </c>
      <c r="K306" t="s">
        <v>49</v>
      </c>
      <c r="L306" t="s">
        <v>53</v>
      </c>
      <c r="M306" s="7">
        <v>48018</v>
      </c>
      <c r="N306">
        <v>0.24</v>
      </c>
      <c r="O306" s="7">
        <v>11878</v>
      </c>
      <c r="P306">
        <v>4</v>
      </c>
      <c r="Q306" t="s">
        <v>56</v>
      </c>
      <c r="R306" t="s">
        <v>62</v>
      </c>
      <c r="S306">
        <f t="shared" si="20"/>
        <v>2021</v>
      </c>
      <c r="T306" t="str">
        <f t="shared" si="21"/>
        <v>Nov</v>
      </c>
      <c r="U306">
        <f t="shared" si="22"/>
        <v>6</v>
      </c>
      <c r="V306">
        <f t="shared" si="23"/>
        <v>8</v>
      </c>
      <c r="W306" s="9">
        <f t="shared" si="24"/>
        <v>0.24736557124411679</v>
      </c>
    </row>
    <row r="307" spans="1:23">
      <c r="A307">
        <v>10306</v>
      </c>
      <c r="B307" s="5">
        <v>44502</v>
      </c>
      <c r="C307" s="5">
        <v>44506</v>
      </c>
      <c r="D307" s="5">
        <v>44510</v>
      </c>
      <c r="E307" t="s">
        <v>21</v>
      </c>
      <c r="F307" t="s">
        <v>22</v>
      </c>
      <c r="G307" t="s">
        <v>28</v>
      </c>
      <c r="H307" t="s">
        <v>29</v>
      </c>
      <c r="I307" t="s">
        <v>34</v>
      </c>
      <c r="J307" t="s">
        <v>40</v>
      </c>
      <c r="K307" t="s">
        <v>47</v>
      </c>
      <c r="L307" t="s">
        <v>53</v>
      </c>
      <c r="M307" s="7">
        <v>67876</v>
      </c>
      <c r="N307">
        <v>0.19</v>
      </c>
      <c r="O307" s="7">
        <v>19020</v>
      </c>
      <c r="P307">
        <v>15</v>
      </c>
      <c r="Q307" t="s">
        <v>57</v>
      </c>
      <c r="R307" t="s">
        <v>61</v>
      </c>
      <c r="S307">
        <f t="shared" si="20"/>
        <v>2021</v>
      </c>
      <c r="T307" t="str">
        <f t="shared" si="21"/>
        <v>Nov</v>
      </c>
      <c r="U307">
        <f t="shared" si="22"/>
        <v>4</v>
      </c>
      <c r="V307">
        <f t="shared" si="23"/>
        <v>8</v>
      </c>
      <c r="W307" s="9">
        <f t="shared" si="24"/>
        <v>0.28021686604985563</v>
      </c>
    </row>
    <row r="308" spans="1:23">
      <c r="A308">
        <v>10307</v>
      </c>
      <c r="B308" s="5">
        <v>44503</v>
      </c>
      <c r="C308" s="5">
        <v>44508</v>
      </c>
      <c r="D308" s="5">
        <v>44510</v>
      </c>
      <c r="E308" t="s">
        <v>19</v>
      </c>
      <c r="F308" t="s">
        <v>22</v>
      </c>
      <c r="G308" t="s">
        <v>28</v>
      </c>
      <c r="H308" t="s">
        <v>33</v>
      </c>
      <c r="I308" t="s">
        <v>34</v>
      </c>
      <c r="J308" t="s">
        <v>37</v>
      </c>
      <c r="K308" t="s">
        <v>45</v>
      </c>
      <c r="L308" t="s">
        <v>51</v>
      </c>
      <c r="M308" s="7">
        <v>52746</v>
      </c>
      <c r="N308">
        <v>0.25</v>
      </c>
      <c r="O308" s="7">
        <v>19520</v>
      </c>
      <c r="P308">
        <v>8</v>
      </c>
      <c r="Q308" t="s">
        <v>58</v>
      </c>
      <c r="R308" t="s">
        <v>60</v>
      </c>
      <c r="S308">
        <f t="shared" si="20"/>
        <v>2021</v>
      </c>
      <c r="T308" t="str">
        <f t="shared" si="21"/>
        <v>Nov</v>
      </c>
      <c r="U308">
        <f t="shared" si="22"/>
        <v>5</v>
      </c>
      <c r="V308">
        <f t="shared" si="23"/>
        <v>7</v>
      </c>
      <c r="W308" s="9">
        <f t="shared" si="24"/>
        <v>0.37007545595874569</v>
      </c>
    </row>
    <row r="309" spans="1:23">
      <c r="A309">
        <v>10308</v>
      </c>
      <c r="B309" s="5">
        <v>44504</v>
      </c>
      <c r="C309" s="5">
        <v>44508</v>
      </c>
      <c r="D309" s="5">
        <v>44509</v>
      </c>
      <c r="E309" t="s">
        <v>18</v>
      </c>
      <c r="F309" t="s">
        <v>22</v>
      </c>
      <c r="G309" t="s">
        <v>24</v>
      </c>
      <c r="H309" t="s">
        <v>25</v>
      </c>
      <c r="I309" t="s">
        <v>35</v>
      </c>
      <c r="J309" t="s">
        <v>43</v>
      </c>
      <c r="K309" t="s">
        <v>48</v>
      </c>
      <c r="L309" t="s">
        <v>53</v>
      </c>
      <c r="M309" s="7">
        <v>70577</v>
      </c>
      <c r="N309">
        <v>0.38</v>
      </c>
      <c r="O309" s="7">
        <v>4842</v>
      </c>
      <c r="P309">
        <v>18</v>
      </c>
      <c r="Q309" t="s">
        <v>54</v>
      </c>
      <c r="R309" t="s">
        <v>59</v>
      </c>
      <c r="S309">
        <f t="shared" si="20"/>
        <v>2021</v>
      </c>
      <c r="T309" t="str">
        <f t="shared" si="21"/>
        <v>Nov</v>
      </c>
      <c r="U309">
        <f t="shared" si="22"/>
        <v>4</v>
      </c>
      <c r="V309">
        <f t="shared" si="23"/>
        <v>5</v>
      </c>
      <c r="W309" s="9">
        <f t="shared" si="24"/>
        <v>6.8605919775564281E-2</v>
      </c>
    </row>
    <row r="310" spans="1:23">
      <c r="A310">
        <v>10309</v>
      </c>
      <c r="B310" s="5">
        <v>44505</v>
      </c>
      <c r="C310" s="5">
        <v>44512</v>
      </c>
      <c r="D310" s="5">
        <v>44514</v>
      </c>
      <c r="E310" t="s">
        <v>18</v>
      </c>
      <c r="F310" t="s">
        <v>22</v>
      </c>
      <c r="G310" t="s">
        <v>28</v>
      </c>
      <c r="H310" t="s">
        <v>29</v>
      </c>
      <c r="I310" t="s">
        <v>35</v>
      </c>
      <c r="J310" t="s">
        <v>38</v>
      </c>
      <c r="K310" t="s">
        <v>47</v>
      </c>
      <c r="L310" t="s">
        <v>51</v>
      </c>
      <c r="M310" s="7">
        <v>59839</v>
      </c>
      <c r="N310">
        <v>0.01</v>
      </c>
      <c r="O310" s="7">
        <v>-249</v>
      </c>
      <c r="P310">
        <v>18</v>
      </c>
      <c r="Q310" t="s">
        <v>54</v>
      </c>
      <c r="R310" t="s">
        <v>62</v>
      </c>
      <c r="S310">
        <f t="shared" si="20"/>
        <v>2021</v>
      </c>
      <c r="T310" t="str">
        <f t="shared" si="21"/>
        <v>Nov</v>
      </c>
      <c r="U310">
        <f t="shared" si="22"/>
        <v>7</v>
      </c>
      <c r="V310">
        <f t="shared" si="23"/>
        <v>9</v>
      </c>
      <c r="W310" s="9">
        <f t="shared" si="24"/>
        <v>-4.161165794882936E-3</v>
      </c>
    </row>
    <row r="311" spans="1:23">
      <c r="A311">
        <v>10310</v>
      </c>
      <c r="B311" s="5">
        <v>44506</v>
      </c>
      <c r="C311" s="5">
        <v>44510</v>
      </c>
      <c r="D311" s="5">
        <v>44513</v>
      </c>
      <c r="E311" t="s">
        <v>20</v>
      </c>
      <c r="F311" t="s">
        <v>22</v>
      </c>
      <c r="G311" t="s">
        <v>26</v>
      </c>
      <c r="H311" t="s">
        <v>25</v>
      </c>
      <c r="I311" t="s">
        <v>35</v>
      </c>
      <c r="J311" t="s">
        <v>42</v>
      </c>
      <c r="K311" t="s">
        <v>49</v>
      </c>
      <c r="L311" t="s">
        <v>52</v>
      </c>
      <c r="M311" s="7">
        <v>44795</v>
      </c>
      <c r="N311">
        <v>0.08</v>
      </c>
      <c r="O311" s="7">
        <v>8909</v>
      </c>
      <c r="P311">
        <v>18</v>
      </c>
      <c r="Q311" t="s">
        <v>55</v>
      </c>
      <c r="R311" t="s">
        <v>62</v>
      </c>
      <c r="S311">
        <f t="shared" si="20"/>
        <v>2021</v>
      </c>
      <c r="T311" t="str">
        <f t="shared" si="21"/>
        <v>Nov</v>
      </c>
      <c r="U311">
        <f t="shared" si="22"/>
        <v>4</v>
      </c>
      <c r="V311">
        <f t="shared" si="23"/>
        <v>7</v>
      </c>
      <c r="W311" s="9">
        <f t="shared" si="24"/>
        <v>0.19888380399598168</v>
      </c>
    </row>
    <row r="312" spans="1:23">
      <c r="A312">
        <v>10311</v>
      </c>
      <c r="B312" s="5">
        <v>44507</v>
      </c>
      <c r="C312" s="5">
        <v>44513</v>
      </c>
      <c r="D312" s="5">
        <v>44517</v>
      </c>
      <c r="E312" t="s">
        <v>20</v>
      </c>
      <c r="F312" t="s">
        <v>22</v>
      </c>
      <c r="G312" t="s">
        <v>26</v>
      </c>
      <c r="H312" t="s">
        <v>30</v>
      </c>
      <c r="I312" t="s">
        <v>34</v>
      </c>
      <c r="J312" t="s">
        <v>40</v>
      </c>
      <c r="K312" t="s">
        <v>50</v>
      </c>
      <c r="L312" t="s">
        <v>51</v>
      </c>
      <c r="M312" s="7">
        <v>59085</v>
      </c>
      <c r="N312">
        <v>7.0000000000000007E-2</v>
      </c>
      <c r="O312" s="7">
        <v>11837</v>
      </c>
      <c r="P312">
        <v>3</v>
      </c>
      <c r="Q312" t="s">
        <v>56</v>
      </c>
      <c r="R312" t="s">
        <v>60</v>
      </c>
      <c r="S312">
        <f t="shared" si="20"/>
        <v>2021</v>
      </c>
      <c r="T312" t="str">
        <f t="shared" si="21"/>
        <v>Nov</v>
      </c>
      <c r="U312">
        <f t="shared" si="22"/>
        <v>6</v>
      </c>
      <c r="V312">
        <f t="shared" si="23"/>
        <v>10</v>
      </c>
      <c r="W312" s="9">
        <f t="shared" si="24"/>
        <v>0.20033849538800033</v>
      </c>
    </row>
    <row r="313" spans="1:23">
      <c r="A313">
        <v>10312</v>
      </c>
      <c r="B313" s="5">
        <v>44508</v>
      </c>
      <c r="C313" s="5">
        <v>44512</v>
      </c>
      <c r="D313" s="5">
        <v>44514</v>
      </c>
      <c r="E313" t="s">
        <v>19</v>
      </c>
      <c r="F313" t="s">
        <v>22</v>
      </c>
      <c r="G313" t="s">
        <v>23</v>
      </c>
      <c r="H313" t="s">
        <v>30</v>
      </c>
      <c r="I313" t="s">
        <v>36</v>
      </c>
      <c r="J313" t="s">
        <v>41</v>
      </c>
      <c r="K313" t="s">
        <v>50</v>
      </c>
      <c r="L313" t="s">
        <v>52</v>
      </c>
      <c r="M313" s="7">
        <v>10295</v>
      </c>
      <c r="N313">
        <v>0.38</v>
      </c>
      <c r="O313" s="7">
        <v>16420</v>
      </c>
      <c r="P313">
        <v>2</v>
      </c>
      <c r="Q313" t="s">
        <v>57</v>
      </c>
      <c r="R313" t="s">
        <v>59</v>
      </c>
      <c r="S313">
        <f t="shared" si="20"/>
        <v>2021</v>
      </c>
      <c r="T313" t="str">
        <f t="shared" si="21"/>
        <v>Nov</v>
      </c>
      <c r="U313">
        <f t="shared" si="22"/>
        <v>4</v>
      </c>
      <c r="V313">
        <f t="shared" si="23"/>
        <v>6</v>
      </c>
      <c r="W313" s="9">
        <f t="shared" si="24"/>
        <v>1.5949490043710539</v>
      </c>
    </row>
    <row r="314" spans="1:23">
      <c r="A314">
        <v>10313</v>
      </c>
      <c r="B314" s="5">
        <v>44509</v>
      </c>
      <c r="C314" s="5">
        <v>44516</v>
      </c>
      <c r="D314" s="5">
        <v>44521</v>
      </c>
      <c r="E314" t="s">
        <v>20</v>
      </c>
      <c r="F314" t="s">
        <v>22</v>
      </c>
      <c r="G314" t="s">
        <v>23</v>
      </c>
      <c r="H314" t="s">
        <v>30</v>
      </c>
      <c r="I314" t="s">
        <v>35</v>
      </c>
      <c r="J314" t="s">
        <v>38</v>
      </c>
      <c r="K314" t="s">
        <v>48</v>
      </c>
      <c r="L314" t="s">
        <v>52</v>
      </c>
      <c r="M314" s="7">
        <v>12656</v>
      </c>
      <c r="N314">
        <v>0.35</v>
      </c>
      <c r="O314" s="7">
        <v>2220</v>
      </c>
      <c r="P314">
        <v>10</v>
      </c>
      <c r="Q314" t="s">
        <v>54</v>
      </c>
      <c r="R314" t="s">
        <v>59</v>
      </c>
      <c r="S314">
        <f t="shared" si="20"/>
        <v>2021</v>
      </c>
      <c r="T314" t="str">
        <f t="shared" si="21"/>
        <v>Nov</v>
      </c>
      <c r="U314">
        <f t="shared" si="22"/>
        <v>7</v>
      </c>
      <c r="V314">
        <f t="shared" si="23"/>
        <v>12</v>
      </c>
      <c r="W314" s="9">
        <f t="shared" si="24"/>
        <v>0.17541087231352717</v>
      </c>
    </row>
    <row r="315" spans="1:23">
      <c r="A315">
        <v>10314</v>
      </c>
      <c r="B315" s="5">
        <v>44510</v>
      </c>
      <c r="C315" s="5">
        <v>44513</v>
      </c>
      <c r="D315" s="5">
        <v>44516</v>
      </c>
      <c r="E315" t="s">
        <v>18</v>
      </c>
      <c r="F315" t="s">
        <v>22</v>
      </c>
      <c r="G315" t="s">
        <v>27</v>
      </c>
      <c r="H315" t="s">
        <v>31</v>
      </c>
      <c r="I315" t="s">
        <v>34</v>
      </c>
      <c r="J315" t="s">
        <v>40</v>
      </c>
      <c r="K315" t="s">
        <v>46</v>
      </c>
      <c r="L315" t="s">
        <v>52</v>
      </c>
      <c r="M315" s="7">
        <v>48556</v>
      </c>
      <c r="N315">
        <v>0.25</v>
      </c>
      <c r="O315" s="7">
        <v>10624</v>
      </c>
      <c r="P315">
        <v>24</v>
      </c>
      <c r="Q315" t="s">
        <v>55</v>
      </c>
      <c r="R315" t="s">
        <v>60</v>
      </c>
      <c r="S315">
        <f t="shared" si="20"/>
        <v>2021</v>
      </c>
      <c r="T315" t="str">
        <f t="shared" si="21"/>
        <v>Nov</v>
      </c>
      <c r="U315">
        <f t="shared" si="22"/>
        <v>3</v>
      </c>
      <c r="V315">
        <f t="shared" si="23"/>
        <v>6</v>
      </c>
      <c r="W315" s="9">
        <f t="shared" si="24"/>
        <v>0.21879891259576573</v>
      </c>
    </row>
    <row r="316" spans="1:23">
      <c r="A316">
        <v>10315</v>
      </c>
      <c r="B316" s="5">
        <v>44511</v>
      </c>
      <c r="C316" s="5">
        <v>44515</v>
      </c>
      <c r="D316" s="5">
        <v>44517</v>
      </c>
      <c r="E316" t="s">
        <v>21</v>
      </c>
      <c r="F316" t="s">
        <v>22</v>
      </c>
      <c r="G316" t="s">
        <v>25</v>
      </c>
      <c r="H316" t="s">
        <v>30</v>
      </c>
      <c r="I316" t="s">
        <v>36</v>
      </c>
      <c r="J316" t="s">
        <v>41</v>
      </c>
      <c r="K316" t="s">
        <v>50</v>
      </c>
      <c r="L316" t="s">
        <v>52</v>
      </c>
      <c r="M316" s="7">
        <v>16147</v>
      </c>
      <c r="N316">
        <v>0.26</v>
      </c>
      <c r="O316" s="7">
        <v>9386</v>
      </c>
      <c r="P316">
        <v>11</v>
      </c>
      <c r="Q316" t="s">
        <v>58</v>
      </c>
      <c r="R316" t="s">
        <v>59</v>
      </c>
      <c r="S316">
        <f t="shared" si="20"/>
        <v>2021</v>
      </c>
      <c r="T316" t="str">
        <f t="shared" si="21"/>
        <v>Nov</v>
      </c>
      <c r="U316">
        <f t="shared" si="22"/>
        <v>4</v>
      </c>
      <c r="V316">
        <f t="shared" si="23"/>
        <v>6</v>
      </c>
      <c r="W316" s="9">
        <f t="shared" si="24"/>
        <v>0.58128444912367627</v>
      </c>
    </row>
    <row r="317" spans="1:23">
      <c r="A317">
        <v>10316</v>
      </c>
      <c r="B317" s="5">
        <v>44512</v>
      </c>
      <c r="C317" s="5">
        <v>44516</v>
      </c>
      <c r="D317" s="5">
        <v>44521</v>
      </c>
      <c r="E317" t="s">
        <v>19</v>
      </c>
      <c r="F317" t="s">
        <v>22</v>
      </c>
      <c r="G317" t="s">
        <v>26</v>
      </c>
      <c r="H317" t="s">
        <v>29</v>
      </c>
      <c r="I317" t="s">
        <v>34</v>
      </c>
      <c r="J317" t="s">
        <v>43</v>
      </c>
      <c r="K317" t="s">
        <v>44</v>
      </c>
      <c r="L317" t="s">
        <v>51</v>
      </c>
      <c r="M317" s="7">
        <v>6554</v>
      </c>
      <c r="N317">
        <v>0.12</v>
      </c>
      <c r="O317" s="7">
        <v>13570</v>
      </c>
      <c r="P317">
        <v>22</v>
      </c>
      <c r="Q317" t="s">
        <v>58</v>
      </c>
      <c r="R317" t="s">
        <v>61</v>
      </c>
      <c r="S317">
        <f t="shared" si="20"/>
        <v>2021</v>
      </c>
      <c r="T317" t="str">
        <f t="shared" si="21"/>
        <v>Nov</v>
      </c>
      <c r="U317">
        <f t="shared" si="22"/>
        <v>4</v>
      </c>
      <c r="V317">
        <f t="shared" si="23"/>
        <v>9</v>
      </c>
      <c r="W317" s="9">
        <f t="shared" si="24"/>
        <v>2.0704913030210559</v>
      </c>
    </row>
    <row r="318" spans="1:23">
      <c r="A318">
        <v>10317</v>
      </c>
      <c r="B318" s="5">
        <v>44513</v>
      </c>
      <c r="C318" s="5">
        <v>44518</v>
      </c>
      <c r="D318" s="5">
        <v>44520</v>
      </c>
      <c r="E318" t="s">
        <v>19</v>
      </c>
      <c r="F318" t="s">
        <v>22</v>
      </c>
      <c r="G318" t="s">
        <v>26</v>
      </c>
      <c r="H318" t="s">
        <v>29</v>
      </c>
      <c r="I318" t="s">
        <v>34</v>
      </c>
      <c r="J318" t="s">
        <v>41</v>
      </c>
      <c r="K318" t="s">
        <v>50</v>
      </c>
      <c r="L318" t="s">
        <v>51</v>
      </c>
      <c r="M318" s="7">
        <v>32206</v>
      </c>
      <c r="N318">
        <v>0.28000000000000003</v>
      </c>
      <c r="O318" s="7">
        <v>15497</v>
      </c>
      <c r="P318">
        <v>10</v>
      </c>
      <c r="Q318" t="s">
        <v>56</v>
      </c>
      <c r="R318" t="s">
        <v>62</v>
      </c>
      <c r="S318">
        <f t="shared" si="20"/>
        <v>2021</v>
      </c>
      <c r="T318" t="str">
        <f t="shared" si="21"/>
        <v>Nov</v>
      </c>
      <c r="U318">
        <f t="shared" si="22"/>
        <v>5</v>
      </c>
      <c r="V318">
        <f t="shared" si="23"/>
        <v>7</v>
      </c>
      <c r="W318" s="9">
        <f t="shared" si="24"/>
        <v>0.4811836303794324</v>
      </c>
    </row>
    <row r="319" spans="1:23">
      <c r="A319">
        <v>10318</v>
      </c>
      <c r="B319" s="5">
        <v>44514</v>
      </c>
      <c r="C319" s="5">
        <v>44520</v>
      </c>
      <c r="D319" s="5">
        <v>44522</v>
      </c>
      <c r="E319" t="s">
        <v>19</v>
      </c>
      <c r="F319" t="s">
        <v>22</v>
      </c>
      <c r="G319" t="s">
        <v>23</v>
      </c>
      <c r="H319" t="s">
        <v>33</v>
      </c>
      <c r="I319" t="s">
        <v>36</v>
      </c>
      <c r="J319" t="s">
        <v>37</v>
      </c>
      <c r="K319" t="s">
        <v>46</v>
      </c>
      <c r="L319" t="s">
        <v>53</v>
      </c>
      <c r="M319" s="7">
        <v>30533</v>
      </c>
      <c r="N319">
        <v>0.31</v>
      </c>
      <c r="O319" s="7">
        <v>13122</v>
      </c>
      <c r="P319">
        <v>18</v>
      </c>
      <c r="Q319" t="s">
        <v>54</v>
      </c>
      <c r="R319" t="s">
        <v>60</v>
      </c>
      <c r="S319">
        <f t="shared" si="20"/>
        <v>2021</v>
      </c>
      <c r="T319" t="str">
        <f t="shared" si="21"/>
        <v>Nov</v>
      </c>
      <c r="U319">
        <f t="shared" si="22"/>
        <v>6</v>
      </c>
      <c r="V319">
        <f t="shared" si="23"/>
        <v>8</v>
      </c>
      <c r="W319" s="9">
        <f t="shared" si="24"/>
        <v>0.42976451707988078</v>
      </c>
    </row>
    <row r="320" spans="1:23">
      <c r="A320">
        <v>10319</v>
      </c>
      <c r="B320" s="5">
        <v>44515</v>
      </c>
      <c r="C320" s="5">
        <v>44518</v>
      </c>
      <c r="D320" s="5">
        <v>44523</v>
      </c>
      <c r="E320" t="s">
        <v>20</v>
      </c>
      <c r="F320" t="s">
        <v>22</v>
      </c>
      <c r="G320" t="s">
        <v>25</v>
      </c>
      <c r="H320" t="s">
        <v>33</v>
      </c>
      <c r="I320" t="s">
        <v>35</v>
      </c>
      <c r="J320" t="s">
        <v>42</v>
      </c>
      <c r="K320" t="s">
        <v>49</v>
      </c>
      <c r="L320" t="s">
        <v>53</v>
      </c>
      <c r="M320" s="7">
        <v>23293</v>
      </c>
      <c r="N320">
        <v>0.17</v>
      </c>
      <c r="O320" s="7">
        <v>9738</v>
      </c>
      <c r="P320">
        <v>22</v>
      </c>
      <c r="Q320" t="s">
        <v>57</v>
      </c>
      <c r="R320" t="s">
        <v>60</v>
      </c>
      <c r="S320">
        <f t="shared" si="20"/>
        <v>2021</v>
      </c>
      <c r="T320" t="str">
        <f t="shared" si="21"/>
        <v>Nov</v>
      </c>
      <c r="U320">
        <f t="shared" si="22"/>
        <v>3</v>
      </c>
      <c r="V320">
        <f t="shared" si="23"/>
        <v>8</v>
      </c>
      <c r="W320" s="9">
        <f t="shared" si="24"/>
        <v>0.41806551324432234</v>
      </c>
    </row>
    <row r="321" spans="1:23">
      <c r="A321">
        <v>10320</v>
      </c>
      <c r="B321" s="5">
        <v>44516</v>
      </c>
      <c r="C321" s="5">
        <v>44523</v>
      </c>
      <c r="D321" s="5">
        <v>44525</v>
      </c>
      <c r="E321" t="s">
        <v>19</v>
      </c>
      <c r="F321" t="s">
        <v>22</v>
      </c>
      <c r="G321" t="s">
        <v>26</v>
      </c>
      <c r="H321" t="s">
        <v>30</v>
      </c>
      <c r="I321" t="s">
        <v>34</v>
      </c>
      <c r="J321" t="s">
        <v>43</v>
      </c>
      <c r="K321" t="s">
        <v>45</v>
      </c>
      <c r="L321" t="s">
        <v>53</v>
      </c>
      <c r="M321" s="7">
        <v>71969</v>
      </c>
      <c r="N321">
        <v>0.02</v>
      </c>
      <c r="O321" s="7">
        <v>-671</v>
      </c>
      <c r="P321">
        <v>23</v>
      </c>
      <c r="Q321" t="s">
        <v>58</v>
      </c>
      <c r="R321" t="s">
        <v>61</v>
      </c>
      <c r="S321">
        <f t="shared" si="20"/>
        <v>2021</v>
      </c>
      <c r="T321" t="str">
        <f t="shared" si="21"/>
        <v>Nov</v>
      </c>
      <c r="U321">
        <f t="shared" si="22"/>
        <v>7</v>
      </c>
      <c r="V321">
        <f t="shared" si="23"/>
        <v>9</v>
      </c>
      <c r="W321" s="9">
        <f t="shared" si="24"/>
        <v>-9.3234587113896258E-3</v>
      </c>
    </row>
    <row r="322" spans="1:23">
      <c r="A322">
        <v>10321</v>
      </c>
      <c r="B322" s="5">
        <v>44517</v>
      </c>
      <c r="C322" s="5">
        <v>44522</v>
      </c>
      <c r="D322" s="5">
        <v>44524</v>
      </c>
      <c r="E322" t="s">
        <v>18</v>
      </c>
      <c r="F322" t="s">
        <v>22</v>
      </c>
      <c r="G322" t="s">
        <v>25</v>
      </c>
      <c r="H322" t="s">
        <v>29</v>
      </c>
      <c r="I322" t="s">
        <v>36</v>
      </c>
      <c r="J322" t="s">
        <v>38</v>
      </c>
      <c r="K322" t="s">
        <v>50</v>
      </c>
      <c r="L322" t="s">
        <v>51</v>
      </c>
      <c r="M322" s="7">
        <v>61172</v>
      </c>
      <c r="N322">
        <v>0.19</v>
      </c>
      <c r="O322" s="7">
        <v>8840</v>
      </c>
      <c r="P322">
        <v>13</v>
      </c>
      <c r="Q322" t="s">
        <v>57</v>
      </c>
      <c r="R322" t="s">
        <v>61</v>
      </c>
      <c r="S322">
        <f t="shared" si="20"/>
        <v>2021</v>
      </c>
      <c r="T322" t="str">
        <f t="shared" si="21"/>
        <v>Nov</v>
      </c>
      <c r="U322">
        <f t="shared" si="22"/>
        <v>5</v>
      </c>
      <c r="V322">
        <f t="shared" si="23"/>
        <v>7</v>
      </c>
      <c r="W322" s="9">
        <f t="shared" si="24"/>
        <v>0.14451056038710522</v>
      </c>
    </row>
    <row r="323" spans="1:23">
      <c r="A323">
        <v>10322</v>
      </c>
      <c r="B323" s="5">
        <v>44518</v>
      </c>
      <c r="C323" s="5">
        <v>44522</v>
      </c>
      <c r="D323" s="5">
        <v>44525</v>
      </c>
      <c r="E323" t="s">
        <v>20</v>
      </c>
      <c r="F323" t="s">
        <v>22</v>
      </c>
      <c r="G323" t="s">
        <v>25</v>
      </c>
      <c r="H323" t="s">
        <v>29</v>
      </c>
      <c r="I323" t="s">
        <v>35</v>
      </c>
      <c r="J323" t="s">
        <v>43</v>
      </c>
      <c r="K323" t="s">
        <v>48</v>
      </c>
      <c r="L323" t="s">
        <v>52</v>
      </c>
      <c r="M323" s="7">
        <v>21259</v>
      </c>
      <c r="N323">
        <v>0.36</v>
      </c>
      <c r="O323" s="7">
        <v>19836</v>
      </c>
      <c r="P323">
        <v>17</v>
      </c>
      <c r="Q323" t="s">
        <v>57</v>
      </c>
      <c r="R323" t="s">
        <v>60</v>
      </c>
      <c r="S323">
        <f t="shared" ref="S323:S386" si="25">YEAR(B323)</f>
        <v>2021</v>
      </c>
      <c r="T323" t="str">
        <f t="shared" ref="T323:T386" si="26">TEXT(B323,"mmm")</f>
        <v>Nov</v>
      </c>
      <c r="U323">
        <f t="shared" ref="U323:U386" si="27">C323-B323</f>
        <v>4</v>
      </c>
      <c r="V323">
        <f t="shared" ref="V323:V386" si="28">D323-B323</f>
        <v>7</v>
      </c>
      <c r="W323" s="9">
        <f t="shared" ref="W323:W386" si="29">IFERROR(O323/M323,0)</f>
        <v>0.93306364363328476</v>
      </c>
    </row>
    <row r="324" spans="1:23">
      <c r="A324">
        <v>10323</v>
      </c>
      <c r="B324" s="5">
        <v>44519</v>
      </c>
      <c r="C324" s="5">
        <v>44523</v>
      </c>
      <c r="D324" s="5">
        <v>44527</v>
      </c>
      <c r="E324" t="s">
        <v>20</v>
      </c>
      <c r="F324" t="s">
        <v>22</v>
      </c>
      <c r="G324" t="s">
        <v>25</v>
      </c>
      <c r="H324" t="s">
        <v>25</v>
      </c>
      <c r="I324" t="s">
        <v>36</v>
      </c>
      <c r="J324" t="s">
        <v>38</v>
      </c>
      <c r="K324" t="s">
        <v>47</v>
      </c>
      <c r="L324" t="s">
        <v>53</v>
      </c>
      <c r="M324" s="7">
        <v>18284</v>
      </c>
      <c r="N324">
        <v>0.33</v>
      </c>
      <c r="O324" s="7">
        <v>12085</v>
      </c>
      <c r="P324">
        <v>10</v>
      </c>
      <c r="Q324" t="s">
        <v>58</v>
      </c>
      <c r="R324" t="s">
        <v>60</v>
      </c>
      <c r="S324">
        <f t="shared" si="25"/>
        <v>2021</v>
      </c>
      <c r="T324" t="str">
        <f t="shared" si="26"/>
        <v>Nov</v>
      </c>
      <c r="U324">
        <f t="shared" si="27"/>
        <v>4</v>
      </c>
      <c r="V324">
        <f t="shared" si="28"/>
        <v>8</v>
      </c>
      <c r="W324" s="9">
        <f t="shared" si="29"/>
        <v>0.66096040253773791</v>
      </c>
    </row>
    <row r="325" spans="1:23">
      <c r="A325">
        <v>10324</v>
      </c>
      <c r="B325" s="5">
        <v>44520</v>
      </c>
      <c r="C325" s="5">
        <v>44522</v>
      </c>
      <c r="D325" s="5">
        <v>44523</v>
      </c>
      <c r="E325" t="s">
        <v>20</v>
      </c>
      <c r="F325" t="s">
        <v>22</v>
      </c>
      <c r="G325" t="s">
        <v>27</v>
      </c>
      <c r="H325" t="s">
        <v>30</v>
      </c>
      <c r="I325" t="s">
        <v>35</v>
      </c>
      <c r="J325" t="s">
        <v>41</v>
      </c>
      <c r="K325" t="s">
        <v>50</v>
      </c>
      <c r="L325" t="s">
        <v>51</v>
      </c>
      <c r="M325" s="7">
        <v>34933</v>
      </c>
      <c r="N325">
        <v>0.28999999999999998</v>
      </c>
      <c r="O325" s="7">
        <v>11608</v>
      </c>
      <c r="P325">
        <v>19</v>
      </c>
      <c r="Q325" t="s">
        <v>58</v>
      </c>
      <c r="R325" t="s">
        <v>61</v>
      </c>
      <c r="S325">
        <f t="shared" si="25"/>
        <v>2021</v>
      </c>
      <c r="T325" t="str">
        <f t="shared" si="26"/>
        <v>Nov</v>
      </c>
      <c r="U325">
        <f t="shared" si="27"/>
        <v>2</v>
      </c>
      <c r="V325">
        <f t="shared" si="28"/>
        <v>3</v>
      </c>
      <c r="W325" s="9">
        <f t="shared" si="29"/>
        <v>0.33229324707296826</v>
      </c>
    </row>
    <row r="326" spans="1:23">
      <c r="A326">
        <v>10325</v>
      </c>
      <c r="B326" s="5">
        <v>44521</v>
      </c>
      <c r="C326" s="5">
        <v>44527</v>
      </c>
      <c r="D326" s="5">
        <v>44528</v>
      </c>
      <c r="E326" t="s">
        <v>21</v>
      </c>
      <c r="F326" t="s">
        <v>22</v>
      </c>
      <c r="G326" t="s">
        <v>25</v>
      </c>
      <c r="H326" t="s">
        <v>30</v>
      </c>
      <c r="I326" t="s">
        <v>34</v>
      </c>
      <c r="J326" t="s">
        <v>42</v>
      </c>
      <c r="K326" t="s">
        <v>46</v>
      </c>
      <c r="L326" t="s">
        <v>51</v>
      </c>
      <c r="M326" s="7">
        <v>3951</v>
      </c>
      <c r="N326">
        <v>0.06</v>
      </c>
      <c r="O326" s="7">
        <v>1015</v>
      </c>
      <c r="P326">
        <v>15</v>
      </c>
      <c r="Q326" t="s">
        <v>56</v>
      </c>
      <c r="R326" t="s">
        <v>61</v>
      </c>
      <c r="S326">
        <f t="shared" si="25"/>
        <v>2021</v>
      </c>
      <c r="T326" t="str">
        <f t="shared" si="26"/>
        <v>Nov</v>
      </c>
      <c r="U326">
        <f t="shared" si="27"/>
        <v>6</v>
      </c>
      <c r="V326">
        <f t="shared" si="28"/>
        <v>7</v>
      </c>
      <c r="W326" s="9">
        <f t="shared" si="29"/>
        <v>0.25689698810427741</v>
      </c>
    </row>
    <row r="327" spans="1:23">
      <c r="A327">
        <v>10326</v>
      </c>
      <c r="B327" s="5">
        <v>44522</v>
      </c>
      <c r="C327" s="5">
        <v>44526</v>
      </c>
      <c r="D327" s="5">
        <v>44530</v>
      </c>
      <c r="E327" t="s">
        <v>21</v>
      </c>
      <c r="F327" t="s">
        <v>22</v>
      </c>
      <c r="G327" t="s">
        <v>27</v>
      </c>
      <c r="H327" t="s">
        <v>30</v>
      </c>
      <c r="I327" t="s">
        <v>35</v>
      </c>
      <c r="J327" t="s">
        <v>40</v>
      </c>
      <c r="K327" t="s">
        <v>47</v>
      </c>
      <c r="L327" t="s">
        <v>52</v>
      </c>
      <c r="M327" s="7">
        <v>19873</v>
      </c>
      <c r="N327">
        <v>0.28000000000000003</v>
      </c>
      <c r="O327" s="7">
        <v>-158</v>
      </c>
      <c r="P327">
        <v>20</v>
      </c>
      <c r="Q327" t="s">
        <v>57</v>
      </c>
      <c r="R327" t="s">
        <v>60</v>
      </c>
      <c r="S327">
        <f t="shared" si="25"/>
        <v>2021</v>
      </c>
      <c r="T327" t="str">
        <f t="shared" si="26"/>
        <v>Nov</v>
      </c>
      <c r="U327">
        <f t="shared" si="27"/>
        <v>4</v>
      </c>
      <c r="V327">
        <f t="shared" si="28"/>
        <v>8</v>
      </c>
      <c r="W327" s="9">
        <f t="shared" si="29"/>
        <v>-7.9504855834549391E-3</v>
      </c>
    </row>
    <row r="328" spans="1:23">
      <c r="A328">
        <v>10327</v>
      </c>
      <c r="B328" s="5">
        <v>44523</v>
      </c>
      <c r="C328" s="5">
        <v>44527</v>
      </c>
      <c r="D328" s="5">
        <v>44532</v>
      </c>
      <c r="E328" t="s">
        <v>19</v>
      </c>
      <c r="F328" t="s">
        <v>22</v>
      </c>
      <c r="G328" t="s">
        <v>26</v>
      </c>
      <c r="H328" t="s">
        <v>31</v>
      </c>
      <c r="I328" t="s">
        <v>36</v>
      </c>
      <c r="J328" t="s">
        <v>40</v>
      </c>
      <c r="K328" t="s">
        <v>49</v>
      </c>
      <c r="L328" t="s">
        <v>53</v>
      </c>
      <c r="M328" s="7">
        <v>68060</v>
      </c>
      <c r="N328">
        <v>0.12</v>
      </c>
      <c r="O328" s="7">
        <v>9933</v>
      </c>
      <c r="P328">
        <v>19</v>
      </c>
      <c r="Q328" t="s">
        <v>56</v>
      </c>
      <c r="R328" t="s">
        <v>61</v>
      </c>
      <c r="S328">
        <f t="shared" si="25"/>
        <v>2021</v>
      </c>
      <c r="T328" t="str">
        <f t="shared" si="26"/>
        <v>Nov</v>
      </c>
      <c r="U328">
        <f t="shared" si="27"/>
        <v>4</v>
      </c>
      <c r="V328">
        <f t="shared" si="28"/>
        <v>9</v>
      </c>
      <c r="W328" s="9">
        <f t="shared" si="29"/>
        <v>0.14594475462826917</v>
      </c>
    </row>
    <row r="329" spans="1:23">
      <c r="A329">
        <v>10328</v>
      </c>
      <c r="B329" s="5">
        <v>44524</v>
      </c>
      <c r="C329" s="5">
        <v>44528</v>
      </c>
      <c r="D329" s="5">
        <v>44529</v>
      </c>
      <c r="E329" t="s">
        <v>19</v>
      </c>
      <c r="F329" t="s">
        <v>22</v>
      </c>
      <c r="G329" t="s">
        <v>25</v>
      </c>
      <c r="H329" t="s">
        <v>25</v>
      </c>
      <c r="I329" t="s">
        <v>35</v>
      </c>
      <c r="J329" t="s">
        <v>38</v>
      </c>
      <c r="K329" t="s">
        <v>48</v>
      </c>
      <c r="L329" t="s">
        <v>52</v>
      </c>
      <c r="M329" s="7">
        <v>29888</v>
      </c>
      <c r="N329">
        <v>0.2</v>
      </c>
      <c r="O329" s="7">
        <v>457</v>
      </c>
      <c r="P329">
        <v>5</v>
      </c>
      <c r="Q329" t="s">
        <v>57</v>
      </c>
      <c r="R329" t="s">
        <v>59</v>
      </c>
      <c r="S329">
        <f t="shared" si="25"/>
        <v>2021</v>
      </c>
      <c r="T329" t="str">
        <f t="shared" si="26"/>
        <v>Nov</v>
      </c>
      <c r="U329">
        <f t="shared" si="27"/>
        <v>4</v>
      </c>
      <c r="V329">
        <f t="shared" si="28"/>
        <v>5</v>
      </c>
      <c r="W329" s="9">
        <f t="shared" si="29"/>
        <v>1.5290417558886509E-2</v>
      </c>
    </row>
    <row r="330" spans="1:23">
      <c r="A330">
        <v>10329</v>
      </c>
      <c r="B330" s="5">
        <v>44525</v>
      </c>
      <c r="C330" s="5">
        <v>44530</v>
      </c>
      <c r="D330" s="5">
        <v>44535</v>
      </c>
      <c r="E330" t="s">
        <v>18</v>
      </c>
      <c r="F330" t="s">
        <v>22</v>
      </c>
      <c r="G330" t="s">
        <v>28</v>
      </c>
      <c r="H330" t="s">
        <v>30</v>
      </c>
      <c r="I330" t="s">
        <v>35</v>
      </c>
      <c r="J330" t="s">
        <v>41</v>
      </c>
      <c r="K330" t="s">
        <v>45</v>
      </c>
      <c r="L330" t="s">
        <v>51</v>
      </c>
      <c r="M330" s="7">
        <v>43368</v>
      </c>
      <c r="N330">
        <v>0.03</v>
      </c>
      <c r="O330" s="7">
        <v>16314</v>
      </c>
      <c r="P330">
        <v>12</v>
      </c>
      <c r="Q330" t="s">
        <v>58</v>
      </c>
      <c r="R330" t="s">
        <v>62</v>
      </c>
      <c r="S330">
        <f t="shared" si="25"/>
        <v>2021</v>
      </c>
      <c r="T330" t="str">
        <f t="shared" si="26"/>
        <v>Nov</v>
      </c>
      <c r="U330">
        <f t="shared" si="27"/>
        <v>5</v>
      </c>
      <c r="V330">
        <f t="shared" si="28"/>
        <v>10</v>
      </c>
      <c r="W330" s="9">
        <f t="shared" si="29"/>
        <v>0.37617598229109023</v>
      </c>
    </row>
    <row r="331" spans="1:23">
      <c r="A331">
        <v>10330</v>
      </c>
      <c r="B331" s="5">
        <v>44526</v>
      </c>
      <c r="C331" s="5">
        <v>44532</v>
      </c>
      <c r="D331" s="5">
        <v>44533</v>
      </c>
      <c r="E331" t="s">
        <v>18</v>
      </c>
      <c r="F331" t="s">
        <v>22</v>
      </c>
      <c r="G331" t="s">
        <v>25</v>
      </c>
      <c r="H331" t="s">
        <v>31</v>
      </c>
      <c r="I331" t="s">
        <v>34</v>
      </c>
      <c r="J331" t="s">
        <v>40</v>
      </c>
      <c r="K331" t="s">
        <v>47</v>
      </c>
      <c r="L331" t="s">
        <v>53</v>
      </c>
      <c r="M331" s="7">
        <v>56659</v>
      </c>
      <c r="N331">
        <v>0.06</v>
      </c>
      <c r="O331" s="7">
        <v>10850</v>
      </c>
      <c r="P331">
        <v>18</v>
      </c>
      <c r="Q331" t="s">
        <v>57</v>
      </c>
      <c r="R331" t="s">
        <v>62</v>
      </c>
      <c r="S331">
        <f t="shared" si="25"/>
        <v>2021</v>
      </c>
      <c r="T331" t="str">
        <f t="shared" si="26"/>
        <v>Nov</v>
      </c>
      <c r="U331">
        <f t="shared" si="27"/>
        <v>6</v>
      </c>
      <c r="V331">
        <f t="shared" si="28"/>
        <v>7</v>
      </c>
      <c r="W331" s="9">
        <f t="shared" si="29"/>
        <v>0.19149649658483206</v>
      </c>
    </row>
    <row r="332" spans="1:23">
      <c r="A332">
        <v>10331</v>
      </c>
      <c r="B332" s="5">
        <v>44527</v>
      </c>
      <c r="C332" s="5">
        <v>44532</v>
      </c>
      <c r="D332" s="5">
        <v>44533</v>
      </c>
      <c r="E332" t="s">
        <v>19</v>
      </c>
      <c r="F332" t="s">
        <v>22</v>
      </c>
      <c r="G332" t="s">
        <v>26</v>
      </c>
      <c r="H332" t="s">
        <v>31</v>
      </c>
      <c r="I332" t="s">
        <v>35</v>
      </c>
      <c r="J332" t="s">
        <v>42</v>
      </c>
      <c r="K332" t="s">
        <v>45</v>
      </c>
      <c r="L332" t="s">
        <v>53</v>
      </c>
      <c r="M332" s="7">
        <v>7912</v>
      </c>
      <c r="N332">
        <v>0.01</v>
      </c>
      <c r="O332" s="7">
        <v>-1030</v>
      </c>
      <c r="P332">
        <v>6</v>
      </c>
      <c r="Q332" t="s">
        <v>58</v>
      </c>
      <c r="R332" t="s">
        <v>62</v>
      </c>
      <c r="S332">
        <f t="shared" si="25"/>
        <v>2021</v>
      </c>
      <c r="T332" t="str">
        <f t="shared" si="26"/>
        <v>Nov</v>
      </c>
      <c r="U332">
        <f t="shared" si="27"/>
        <v>5</v>
      </c>
      <c r="V332">
        <f t="shared" si="28"/>
        <v>6</v>
      </c>
      <c r="W332" s="9">
        <f t="shared" si="29"/>
        <v>-0.1301820020222447</v>
      </c>
    </row>
    <row r="333" spans="1:23">
      <c r="A333">
        <v>10332</v>
      </c>
      <c r="B333" s="5">
        <v>44528</v>
      </c>
      <c r="C333" s="5">
        <v>44530</v>
      </c>
      <c r="D333" s="5">
        <v>44534</v>
      </c>
      <c r="E333" t="s">
        <v>18</v>
      </c>
      <c r="F333" t="s">
        <v>22</v>
      </c>
      <c r="G333" t="s">
        <v>27</v>
      </c>
      <c r="H333" t="s">
        <v>30</v>
      </c>
      <c r="I333" t="s">
        <v>36</v>
      </c>
      <c r="J333" t="s">
        <v>40</v>
      </c>
      <c r="K333" t="s">
        <v>50</v>
      </c>
      <c r="L333" t="s">
        <v>52</v>
      </c>
      <c r="M333" s="7">
        <v>40782</v>
      </c>
      <c r="N333">
        <v>0.1</v>
      </c>
      <c r="O333" s="7">
        <v>4213</v>
      </c>
      <c r="P333">
        <v>16</v>
      </c>
      <c r="Q333" t="s">
        <v>55</v>
      </c>
      <c r="R333" t="s">
        <v>59</v>
      </c>
      <c r="S333">
        <f t="shared" si="25"/>
        <v>2021</v>
      </c>
      <c r="T333" t="str">
        <f t="shared" si="26"/>
        <v>Nov</v>
      </c>
      <c r="U333">
        <f t="shared" si="27"/>
        <v>2</v>
      </c>
      <c r="V333">
        <f t="shared" si="28"/>
        <v>6</v>
      </c>
      <c r="W333" s="9">
        <f t="shared" si="29"/>
        <v>0.10330537982443234</v>
      </c>
    </row>
    <row r="334" spans="1:23">
      <c r="A334">
        <v>10333</v>
      </c>
      <c r="B334" s="5">
        <v>44529</v>
      </c>
      <c r="C334" s="5">
        <v>44536</v>
      </c>
      <c r="D334" s="5">
        <v>44538</v>
      </c>
      <c r="E334" t="s">
        <v>21</v>
      </c>
      <c r="F334" t="s">
        <v>22</v>
      </c>
      <c r="G334" t="s">
        <v>25</v>
      </c>
      <c r="H334" t="s">
        <v>29</v>
      </c>
      <c r="I334" t="s">
        <v>35</v>
      </c>
      <c r="J334" t="s">
        <v>41</v>
      </c>
      <c r="K334" t="s">
        <v>46</v>
      </c>
      <c r="L334" t="s">
        <v>53</v>
      </c>
      <c r="M334" s="7">
        <v>62413</v>
      </c>
      <c r="N334">
        <v>0.17</v>
      </c>
      <c r="O334" s="7">
        <v>-32</v>
      </c>
      <c r="P334">
        <v>17</v>
      </c>
      <c r="Q334" t="s">
        <v>55</v>
      </c>
      <c r="R334" t="s">
        <v>62</v>
      </c>
      <c r="S334">
        <f t="shared" si="25"/>
        <v>2021</v>
      </c>
      <c r="T334" t="str">
        <f t="shared" si="26"/>
        <v>Nov</v>
      </c>
      <c r="U334">
        <f t="shared" si="27"/>
        <v>7</v>
      </c>
      <c r="V334">
        <f t="shared" si="28"/>
        <v>9</v>
      </c>
      <c r="W334" s="9">
        <f t="shared" si="29"/>
        <v>-5.127136974668739E-4</v>
      </c>
    </row>
    <row r="335" spans="1:23">
      <c r="A335">
        <v>10334</v>
      </c>
      <c r="B335" s="5">
        <v>44530</v>
      </c>
      <c r="C335" s="5">
        <v>44533</v>
      </c>
      <c r="D335" s="5">
        <v>44538</v>
      </c>
      <c r="E335" t="s">
        <v>21</v>
      </c>
      <c r="F335" t="s">
        <v>22</v>
      </c>
      <c r="G335" t="s">
        <v>25</v>
      </c>
      <c r="H335" t="s">
        <v>25</v>
      </c>
      <c r="I335" t="s">
        <v>34</v>
      </c>
      <c r="J335" t="s">
        <v>41</v>
      </c>
      <c r="K335" t="s">
        <v>45</v>
      </c>
      <c r="L335" t="s">
        <v>51</v>
      </c>
      <c r="M335" s="7">
        <v>38224</v>
      </c>
      <c r="N335">
        <v>0.02</v>
      </c>
      <c r="O335" s="7">
        <v>11053</v>
      </c>
      <c r="P335">
        <v>19</v>
      </c>
      <c r="Q335" t="s">
        <v>58</v>
      </c>
      <c r="R335" t="s">
        <v>60</v>
      </c>
      <c r="S335">
        <f t="shared" si="25"/>
        <v>2021</v>
      </c>
      <c r="T335" t="str">
        <f t="shared" si="26"/>
        <v>Nov</v>
      </c>
      <c r="U335">
        <f t="shared" si="27"/>
        <v>3</v>
      </c>
      <c r="V335">
        <f t="shared" si="28"/>
        <v>8</v>
      </c>
      <c r="W335" s="9">
        <f t="shared" si="29"/>
        <v>0.28916387609878608</v>
      </c>
    </row>
    <row r="336" spans="1:23">
      <c r="A336">
        <v>10335</v>
      </c>
      <c r="B336" s="5">
        <v>44531</v>
      </c>
      <c r="C336" s="5">
        <v>44535</v>
      </c>
      <c r="D336" s="5">
        <v>44538</v>
      </c>
      <c r="E336" t="s">
        <v>19</v>
      </c>
      <c r="F336" t="s">
        <v>22</v>
      </c>
      <c r="G336" t="s">
        <v>27</v>
      </c>
      <c r="H336" t="s">
        <v>32</v>
      </c>
      <c r="I336" t="s">
        <v>34</v>
      </c>
      <c r="J336" t="s">
        <v>43</v>
      </c>
      <c r="K336" t="s">
        <v>50</v>
      </c>
      <c r="L336" t="s">
        <v>52</v>
      </c>
      <c r="M336" s="7">
        <v>63690</v>
      </c>
      <c r="N336">
        <v>0.35</v>
      </c>
      <c r="O336" s="7">
        <v>8962</v>
      </c>
      <c r="P336">
        <v>12</v>
      </c>
      <c r="Q336" t="s">
        <v>55</v>
      </c>
      <c r="R336" t="s">
        <v>61</v>
      </c>
      <c r="S336">
        <f t="shared" si="25"/>
        <v>2021</v>
      </c>
      <c r="T336" t="str">
        <f t="shared" si="26"/>
        <v>Dec</v>
      </c>
      <c r="U336">
        <f t="shared" si="27"/>
        <v>4</v>
      </c>
      <c r="V336">
        <f t="shared" si="28"/>
        <v>7</v>
      </c>
      <c r="W336" s="9">
        <f t="shared" si="29"/>
        <v>0.1407128277594599</v>
      </c>
    </row>
    <row r="337" spans="1:23">
      <c r="A337">
        <v>10336</v>
      </c>
      <c r="B337" s="5">
        <v>44532</v>
      </c>
      <c r="C337" s="5">
        <v>44534</v>
      </c>
      <c r="D337" s="5">
        <v>44539</v>
      </c>
      <c r="E337" t="s">
        <v>21</v>
      </c>
      <c r="F337" t="s">
        <v>22</v>
      </c>
      <c r="G337" t="s">
        <v>25</v>
      </c>
      <c r="H337" t="s">
        <v>31</v>
      </c>
      <c r="I337" t="s">
        <v>36</v>
      </c>
      <c r="J337" t="s">
        <v>38</v>
      </c>
      <c r="K337" t="s">
        <v>50</v>
      </c>
      <c r="L337" t="s">
        <v>51</v>
      </c>
      <c r="M337" s="7">
        <v>22432</v>
      </c>
      <c r="N337">
        <v>7.0000000000000007E-2</v>
      </c>
      <c r="O337" s="7">
        <v>11165</v>
      </c>
      <c r="P337">
        <v>13</v>
      </c>
      <c r="Q337" t="s">
        <v>55</v>
      </c>
      <c r="R337" t="s">
        <v>60</v>
      </c>
      <c r="S337">
        <f t="shared" si="25"/>
        <v>2021</v>
      </c>
      <c r="T337" t="str">
        <f t="shared" si="26"/>
        <v>Dec</v>
      </c>
      <c r="U337">
        <f t="shared" si="27"/>
        <v>2</v>
      </c>
      <c r="V337">
        <f t="shared" si="28"/>
        <v>7</v>
      </c>
      <c r="W337" s="9">
        <f t="shared" si="29"/>
        <v>0.49772646219686162</v>
      </c>
    </row>
    <row r="338" spans="1:23">
      <c r="A338">
        <v>10337</v>
      </c>
      <c r="B338" s="5">
        <v>44533</v>
      </c>
      <c r="C338" s="5">
        <v>44539</v>
      </c>
      <c r="D338" s="5">
        <v>44541</v>
      </c>
      <c r="E338" t="s">
        <v>18</v>
      </c>
      <c r="F338" t="s">
        <v>22</v>
      </c>
      <c r="G338" t="s">
        <v>26</v>
      </c>
      <c r="H338" t="s">
        <v>32</v>
      </c>
      <c r="I338" t="s">
        <v>35</v>
      </c>
      <c r="J338" t="s">
        <v>42</v>
      </c>
      <c r="K338" t="s">
        <v>50</v>
      </c>
      <c r="L338" t="s">
        <v>53</v>
      </c>
      <c r="M338" s="7">
        <v>42419</v>
      </c>
      <c r="N338">
        <v>0.26</v>
      </c>
      <c r="O338" s="7">
        <v>9457</v>
      </c>
      <c r="P338">
        <v>20</v>
      </c>
      <c r="Q338" t="s">
        <v>55</v>
      </c>
      <c r="R338" t="s">
        <v>59</v>
      </c>
      <c r="S338">
        <f t="shared" si="25"/>
        <v>2021</v>
      </c>
      <c r="T338" t="str">
        <f t="shared" si="26"/>
        <v>Dec</v>
      </c>
      <c r="U338">
        <f t="shared" si="27"/>
        <v>6</v>
      </c>
      <c r="V338">
        <f t="shared" si="28"/>
        <v>8</v>
      </c>
      <c r="W338" s="9">
        <f t="shared" si="29"/>
        <v>0.22294254932930999</v>
      </c>
    </row>
    <row r="339" spans="1:23">
      <c r="A339">
        <v>10338</v>
      </c>
      <c r="B339" s="5">
        <v>44534</v>
      </c>
      <c r="C339" s="5">
        <v>44539</v>
      </c>
      <c r="D339" s="5">
        <v>44541</v>
      </c>
      <c r="E339" t="s">
        <v>21</v>
      </c>
      <c r="F339" t="s">
        <v>22</v>
      </c>
      <c r="G339" t="s">
        <v>28</v>
      </c>
      <c r="H339" t="s">
        <v>31</v>
      </c>
      <c r="I339" t="s">
        <v>34</v>
      </c>
      <c r="J339" t="s">
        <v>40</v>
      </c>
      <c r="K339" t="s">
        <v>50</v>
      </c>
      <c r="L339" t="s">
        <v>53</v>
      </c>
      <c r="M339" s="7">
        <v>70422</v>
      </c>
      <c r="N339">
        <v>0.15</v>
      </c>
      <c r="O339" s="7">
        <v>-762</v>
      </c>
      <c r="P339">
        <v>11</v>
      </c>
      <c r="Q339" t="s">
        <v>58</v>
      </c>
      <c r="R339" t="s">
        <v>62</v>
      </c>
      <c r="S339">
        <f t="shared" si="25"/>
        <v>2021</v>
      </c>
      <c r="T339" t="str">
        <f t="shared" si="26"/>
        <v>Dec</v>
      </c>
      <c r="U339">
        <f t="shared" si="27"/>
        <v>5</v>
      </c>
      <c r="V339">
        <f t="shared" si="28"/>
        <v>7</v>
      </c>
      <c r="W339" s="9">
        <f t="shared" si="29"/>
        <v>-1.082048223566499E-2</v>
      </c>
    </row>
    <row r="340" spans="1:23">
      <c r="A340">
        <v>10339</v>
      </c>
      <c r="B340" s="5">
        <v>44535</v>
      </c>
      <c r="C340" s="5">
        <v>44538</v>
      </c>
      <c r="D340" s="5">
        <v>44542</v>
      </c>
      <c r="E340" t="s">
        <v>21</v>
      </c>
      <c r="F340" t="s">
        <v>22</v>
      </c>
      <c r="G340" t="s">
        <v>23</v>
      </c>
      <c r="H340" t="s">
        <v>31</v>
      </c>
      <c r="I340" t="s">
        <v>34</v>
      </c>
      <c r="J340" t="s">
        <v>37</v>
      </c>
      <c r="K340" t="s">
        <v>47</v>
      </c>
      <c r="L340" t="s">
        <v>53</v>
      </c>
      <c r="M340" s="7">
        <v>58263</v>
      </c>
      <c r="N340">
        <v>0.25</v>
      </c>
      <c r="O340" s="7">
        <v>-881</v>
      </c>
      <c r="P340">
        <v>12</v>
      </c>
      <c r="Q340" t="s">
        <v>58</v>
      </c>
      <c r="R340" t="s">
        <v>62</v>
      </c>
      <c r="S340">
        <f t="shared" si="25"/>
        <v>2021</v>
      </c>
      <c r="T340" t="str">
        <f t="shared" si="26"/>
        <v>Dec</v>
      </c>
      <c r="U340">
        <f t="shared" si="27"/>
        <v>3</v>
      </c>
      <c r="V340">
        <f t="shared" si="28"/>
        <v>7</v>
      </c>
      <c r="W340" s="9">
        <f t="shared" si="29"/>
        <v>-1.5121088855706023E-2</v>
      </c>
    </row>
    <row r="341" spans="1:23">
      <c r="A341">
        <v>10340</v>
      </c>
      <c r="B341" s="5">
        <v>44536</v>
      </c>
      <c r="C341" s="5">
        <v>44538</v>
      </c>
      <c r="D341" s="5">
        <v>44539</v>
      </c>
      <c r="E341" t="s">
        <v>20</v>
      </c>
      <c r="F341" t="s">
        <v>22</v>
      </c>
      <c r="G341" t="s">
        <v>23</v>
      </c>
      <c r="H341" t="s">
        <v>29</v>
      </c>
      <c r="I341" t="s">
        <v>35</v>
      </c>
      <c r="J341" t="s">
        <v>39</v>
      </c>
      <c r="K341" t="s">
        <v>50</v>
      </c>
      <c r="L341" t="s">
        <v>53</v>
      </c>
      <c r="M341" s="7">
        <v>11584</v>
      </c>
      <c r="N341">
        <v>0.01</v>
      </c>
      <c r="O341" s="7">
        <v>6242</v>
      </c>
      <c r="P341">
        <v>4</v>
      </c>
      <c r="Q341" t="s">
        <v>57</v>
      </c>
      <c r="R341" t="s">
        <v>59</v>
      </c>
      <c r="S341">
        <f t="shared" si="25"/>
        <v>2021</v>
      </c>
      <c r="T341" t="str">
        <f t="shared" si="26"/>
        <v>Dec</v>
      </c>
      <c r="U341">
        <f t="shared" si="27"/>
        <v>2</v>
      </c>
      <c r="V341">
        <f t="shared" si="28"/>
        <v>3</v>
      </c>
      <c r="W341" s="9">
        <f t="shared" si="29"/>
        <v>0.53884668508287292</v>
      </c>
    </row>
    <row r="342" spans="1:23">
      <c r="A342">
        <v>10341</v>
      </c>
      <c r="B342" s="5">
        <v>44537</v>
      </c>
      <c r="C342" s="5">
        <v>44540</v>
      </c>
      <c r="D342" s="5">
        <v>44541</v>
      </c>
      <c r="E342" t="s">
        <v>18</v>
      </c>
      <c r="F342" t="s">
        <v>22</v>
      </c>
      <c r="G342" t="s">
        <v>24</v>
      </c>
      <c r="H342" t="s">
        <v>33</v>
      </c>
      <c r="I342" t="s">
        <v>36</v>
      </c>
      <c r="J342" t="s">
        <v>40</v>
      </c>
      <c r="K342" t="s">
        <v>48</v>
      </c>
      <c r="L342" t="s">
        <v>51</v>
      </c>
      <c r="M342" s="7">
        <v>5664</v>
      </c>
      <c r="N342">
        <v>0.04</v>
      </c>
      <c r="O342" s="7">
        <v>12982</v>
      </c>
      <c r="P342">
        <v>2</v>
      </c>
      <c r="Q342" t="s">
        <v>54</v>
      </c>
      <c r="R342" t="s">
        <v>62</v>
      </c>
      <c r="S342">
        <f t="shared" si="25"/>
        <v>2021</v>
      </c>
      <c r="T342" t="str">
        <f t="shared" si="26"/>
        <v>Dec</v>
      </c>
      <c r="U342">
        <f t="shared" si="27"/>
        <v>3</v>
      </c>
      <c r="V342">
        <f t="shared" si="28"/>
        <v>4</v>
      </c>
      <c r="W342" s="9">
        <f t="shared" si="29"/>
        <v>2.2920197740112993</v>
      </c>
    </row>
    <row r="343" spans="1:23">
      <c r="A343">
        <v>10342</v>
      </c>
      <c r="B343" s="5">
        <v>44538</v>
      </c>
      <c r="C343" s="5">
        <v>44544</v>
      </c>
      <c r="D343" s="5">
        <v>44546</v>
      </c>
      <c r="E343" t="s">
        <v>20</v>
      </c>
      <c r="F343" t="s">
        <v>22</v>
      </c>
      <c r="G343" t="s">
        <v>25</v>
      </c>
      <c r="H343" t="s">
        <v>33</v>
      </c>
      <c r="I343" t="s">
        <v>35</v>
      </c>
      <c r="J343" t="s">
        <v>37</v>
      </c>
      <c r="K343" t="s">
        <v>45</v>
      </c>
      <c r="L343" t="s">
        <v>52</v>
      </c>
      <c r="M343" s="7">
        <v>31653</v>
      </c>
      <c r="N343">
        <v>0.3</v>
      </c>
      <c r="O343" s="7">
        <v>993</v>
      </c>
      <c r="P343">
        <v>22</v>
      </c>
      <c r="Q343" t="s">
        <v>57</v>
      </c>
      <c r="R343" t="s">
        <v>59</v>
      </c>
      <c r="S343">
        <f t="shared" si="25"/>
        <v>2021</v>
      </c>
      <c r="T343" t="str">
        <f t="shared" si="26"/>
        <v>Dec</v>
      </c>
      <c r="U343">
        <f t="shared" si="27"/>
        <v>6</v>
      </c>
      <c r="V343">
        <f t="shared" si="28"/>
        <v>8</v>
      </c>
      <c r="W343" s="9">
        <f t="shared" si="29"/>
        <v>3.1371433987299781E-2</v>
      </c>
    </row>
    <row r="344" spans="1:23">
      <c r="A344">
        <v>10343</v>
      </c>
      <c r="B344" s="5">
        <v>44539</v>
      </c>
      <c r="C344" s="5">
        <v>44545</v>
      </c>
      <c r="D344" s="5">
        <v>44547</v>
      </c>
      <c r="E344" t="s">
        <v>20</v>
      </c>
      <c r="F344" t="s">
        <v>22</v>
      </c>
      <c r="G344" t="s">
        <v>24</v>
      </c>
      <c r="H344" t="s">
        <v>25</v>
      </c>
      <c r="I344" t="s">
        <v>35</v>
      </c>
      <c r="J344" t="s">
        <v>39</v>
      </c>
      <c r="K344" t="s">
        <v>50</v>
      </c>
      <c r="L344" t="s">
        <v>53</v>
      </c>
      <c r="M344" s="7">
        <v>36230</v>
      </c>
      <c r="N344">
        <v>0.05</v>
      </c>
      <c r="O344" s="7">
        <v>2978</v>
      </c>
      <c r="P344">
        <v>8</v>
      </c>
      <c r="Q344" t="s">
        <v>57</v>
      </c>
      <c r="R344" t="s">
        <v>62</v>
      </c>
      <c r="S344">
        <f t="shared" si="25"/>
        <v>2021</v>
      </c>
      <c r="T344" t="str">
        <f t="shared" si="26"/>
        <v>Dec</v>
      </c>
      <c r="U344">
        <f t="shared" si="27"/>
        <v>6</v>
      </c>
      <c r="V344">
        <f t="shared" si="28"/>
        <v>8</v>
      </c>
      <c r="W344" s="9">
        <f t="shared" si="29"/>
        <v>8.2197074247860893E-2</v>
      </c>
    </row>
    <row r="345" spans="1:23">
      <c r="A345">
        <v>10344</v>
      </c>
      <c r="B345" s="5">
        <v>44540</v>
      </c>
      <c r="C345" s="5">
        <v>44544</v>
      </c>
      <c r="D345" s="5">
        <v>44545</v>
      </c>
      <c r="E345" t="s">
        <v>19</v>
      </c>
      <c r="F345" t="s">
        <v>22</v>
      </c>
      <c r="G345" t="s">
        <v>28</v>
      </c>
      <c r="H345" t="s">
        <v>33</v>
      </c>
      <c r="I345" t="s">
        <v>36</v>
      </c>
      <c r="J345" t="s">
        <v>39</v>
      </c>
      <c r="K345" t="s">
        <v>47</v>
      </c>
      <c r="L345" t="s">
        <v>51</v>
      </c>
      <c r="M345" s="7">
        <v>74511</v>
      </c>
      <c r="N345">
        <v>0.18</v>
      </c>
      <c r="O345" s="7">
        <v>13476</v>
      </c>
      <c r="P345">
        <v>3</v>
      </c>
      <c r="Q345" t="s">
        <v>57</v>
      </c>
      <c r="R345" t="s">
        <v>60</v>
      </c>
      <c r="S345">
        <f t="shared" si="25"/>
        <v>2021</v>
      </c>
      <c r="T345" t="str">
        <f t="shared" si="26"/>
        <v>Dec</v>
      </c>
      <c r="U345">
        <f t="shared" si="27"/>
        <v>4</v>
      </c>
      <c r="V345">
        <f t="shared" si="28"/>
        <v>5</v>
      </c>
      <c r="W345" s="9">
        <f t="shared" si="29"/>
        <v>0.18085920199702057</v>
      </c>
    </row>
    <row r="346" spans="1:23">
      <c r="A346">
        <v>10345</v>
      </c>
      <c r="B346" s="5">
        <v>44541</v>
      </c>
      <c r="C346" s="5">
        <v>44546</v>
      </c>
      <c r="D346" s="5">
        <v>44551</v>
      </c>
      <c r="E346" t="s">
        <v>18</v>
      </c>
      <c r="F346" t="s">
        <v>22</v>
      </c>
      <c r="G346" t="s">
        <v>24</v>
      </c>
      <c r="H346" t="s">
        <v>31</v>
      </c>
      <c r="I346" t="s">
        <v>35</v>
      </c>
      <c r="J346" t="s">
        <v>43</v>
      </c>
      <c r="K346" t="s">
        <v>48</v>
      </c>
      <c r="L346" t="s">
        <v>51</v>
      </c>
      <c r="M346" s="7">
        <v>68731</v>
      </c>
      <c r="N346">
        <v>0.18</v>
      </c>
      <c r="O346" s="7">
        <v>17930</v>
      </c>
      <c r="P346">
        <v>8</v>
      </c>
      <c r="Q346" t="s">
        <v>56</v>
      </c>
      <c r="R346" t="s">
        <v>62</v>
      </c>
      <c r="S346">
        <f t="shared" si="25"/>
        <v>2021</v>
      </c>
      <c r="T346" t="str">
        <f t="shared" si="26"/>
        <v>Dec</v>
      </c>
      <c r="U346">
        <f t="shared" si="27"/>
        <v>5</v>
      </c>
      <c r="V346">
        <f t="shared" si="28"/>
        <v>10</v>
      </c>
      <c r="W346" s="9">
        <f t="shared" si="29"/>
        <v>0.26087209556095503</v>
      </c>
    </row>
    <row r="347" spans="1:23">
      <c r="A347">
        <v>10346</v>
      </c>
      <c r="B347" s="5">
        <v>44542</v>
      </c>
      <c r="C347" s="5">
        <v>44548</v>
      </c>
      <c r="D347" s="5">
        <v>44549</v>
      </c>
      <c r="E347" t="s">
        <v>18</v>
      </c>
      <c r="F347" t="s">
        <v>22</v>
      </c>
      <c r="G347" t="s">
        <v>26</v>
      </c>
      <c r="H347" t="s">
        <v>29</v>
      </c>
      <c r="I347" t="s">
        <v>34</v>
      </c>
      <c r="J347" t="s">
        <v>41</v>
      </c>
      <c r="K347" t="s">
        <v>46</v>
      </c>
      <c r="L347" t="s">
        <v>53</v>
      </c>
      <c r="M347" s="7">
        <v>25410</v>
      </c>
      <c r="N347">
        <v>0.32</v>
      </c>
      <c r="O347" s="7">
        <v>13203</v>
      </c>
      <c r="P347">
        <v>1</v>
      </c>
      <c r="Q347" t="s">
        <v>57</v>
      </c>
      <c r="R347" t="s">
        <v>59</v>
      </c>
      <c r="S347">
        <f t="shared" si="25"/>
        <v>2021</v>
      </c>
      <c r="T347" t="str">
        <f t="shared" si="26"/>
        <v>Dec</v>
      </c>
      <c r="U347">
        <f t="shared" si="27"/>
        <v>6</v>
      </c>
      <c r="V347">
        <f t="shared" si="28"/>
        <v>7</v>
      </c>
      <c r="W347" s="9">
        <f t="shared" si="29"/>
        <v>0.5195985832349469</v>
      </c>
    </row>
    <row r="348" spans="1:23">
      <c r="A348">
        <v>10347</v>
      </c>
      <c r="B348" s="5">
        <v>44543</v>
      </c>
      <c r="C348" s="5">
        <v>44546</v>
      </c>
      <c r="D348" s="5">
        <v>44551</v>
      </c>
      <c r="E348" t="s">
        <v>20</v>
      </c>
      <c r="F348" t="s">
        <v>22</v>
      </c>
      <c r="G348" t="s">
        <v>25</v>
      </c>
      <c r="H348" t="s">
        <v>30</v>
      </c>
      <c r="I348" t="s">
        <v>35</v>
      </c>
      <c r="J348" t="s">
        <v>41</v>
      </c>
      <c r="K348" t="s">
        <v>50</v>
      </c>
      <c r="L348" t="s">
        <v>52</v>
      </c>
      <c r="M348" s="7">
        <v>51542</v>
      </c>
      <c r="N348">
        <v>0.05</v>
      </c>
      <c r="O348" s="7">
        <v>4371</v>
      </c>
      <c r="P348">
        <v>2</v>
      </c>
      <c r="Q348" t="s">
        <v>55</v>
      </c>
      <c r="R348" t="s">
        <v>61</v>
      </c>
      <c r="S348">
        <f t="shared" si="25"/>
        <v>2021</v>
      </c>
      <c r="T348" t="str">
        <f t="shared" si="26"/>
        <v>Dec</v>
      </c>
      <c r="U348">
        <f t="shared" si="27"/>
        <v>3</v>
      </c>
      <c r="V348">
        <f t="shared" si="28"/>
        <v>8</v>
      </c>
      <c r="W348" s="9">
        <f t="shared" si="29"/>
        <v>8.4804625354080163E-2</v>
      </c>
    </row>
    <row r="349" spans="1:23">
      <c r="A349">
        <v>10348</v>
      </c>
      <c r="B349" s="5">
        <v>44544</v>
      </c>
      <c r="C349" s="5">
        <v>44551</v>
      </c>
      <c r="D349" s="5">
        <v>44552</v>
      </c>
      <c r="E349" t="s">
        <v>21</v>
      </c>
      <c r="F349" t="s">
        <v>22</v>
      </c>
      <c r="G349" t="s">
        <v>26</v>
      </c>
      <c r="H349" t="s">
        <v>31</v>
      </c>
      <c r="I349" t="s">
        <v>35</v>
      </c>
      <c r="J349" t="s">
        <v>39</v>
      </c>
      <c r="K349" t="s">
        <v>47</v>
      </c>
      <c r="L349" t="s">
        <v>51</v>
      </c>
      <c r="M349" s="7">
        <v>45231</v>
      </c>
      <c r="N349">
        <v>0.18</v>
      </c>
      <c r="O349" s="7">
        <v>7124</v>
      </c>
      <c r="P349">
        <v>8</v>
      </c>
      <c r="Q349" t="s">
        <v>55</v>
      </c>
      <c r="R349" t="s">
        <v>61</v>
      </c>
      <c r="S349">
        <f t="shared" si="25"/>
        <v>2021</v>
      </c>
      <c r="T349" t="str">
        <f t="shared" si="26"/>
        <v>Dec</v>
      </c>
      <c r="U349">
        <f t="shared" si="27"/>
        <v>7</v>
      </c>
      <c r="V349">
        <f t="shared" si="28"/>
        <v>8</v>
      </c>
      <c r="W349" s="9">
        <f t="shared" si="29"/>
        <v>0.15750259777586167</v>
      </c>
    </row>
    <row r="350" spans="1:23">
      <c r="A350">
        <v>10349</v>
      </c>
      <c r="B350" s="5">
        <v>44545</v>
      </c>
      <c r="C350" s="5">
        <v>44549</v>
      </c>
      <c r="D350" s="5">
        <v>44550</v>
      </c>
      <c r="E350" t="s">
        <v>19</v>
      </c>
      <c r="F350" t="s">
        <v>22</v>
      </c>
      <c r="G350" t="s">
        <v>23</v>
      </c>
      <c r="H350" t="s">
        <v>30</v>
      </c>
      <c r="I350" t="s">
        <v>36</v>
      </c>
      <c r="J350" t="s">
        <v>39</v>
      </c>
      <c r="K350" t="s">
        <v>46</v>
      </c>
      <c r="L350" t="s">
        <v>53</v>
      </c>
      <c r="M350" s="7">
        <v>1253</v>
      </c>
      <c r="N350">
        <v>0.03</v>
      </c>
      <c r="O350" s="7">
        <v>7818</v>
      </c>
      <c r="P350">
        <v>10</v>
      </c>
      <c r="Q350" t="s">
        <v>56</v>
      </c>
      <c r="R350" t="s">
        <v>60</v>
      </c>
      <c r="S350">
        <f t="shared" si="25"/>
        <v>2021</v>
      </c>
      <c r="T350" t="str">
        <f t="shared" si="26"/>
        <v>Dec</v>
      </c>
      <c r="U350">
        <f t="shared" si="27"/>
        <v>4</v>
      </c>
      <c r="V350">
        <f t="shared" si="28"/>
        <v>5</v>
      </c>
      <c r="W350" s="9">
        <f t="shared" si="29"/>
        <v>6.2394253790901839</v>
      </c>
    </row>
    <row r="351" spans="1:23">
      <c r="A351">
        <v>10350</v>
      </c>
      <c r="B351" s="5">
        <v>44546</v>
      </c>
      <c r="C351" s="5">
        <v>44553</v>
      </c>
      <c r="D351" s="5">
        <v>44556</v>
      </c>
      <c r="E351" t="s">
        <v>20</v>
      </c>
      <c r="F351" t="s">
        <v>22</v>
      </c>
      <c r="G351" t="s">
        <v>24</v>
      </c>
      <c r="H351" t="s">
        <v>29</v>
      </c>
      <c r="I351" t="s">
        <v>35</v>
      </c>
      <c r="J351" t="s">
        <v>40</v>
      </c>
      <c r="K351" t="s">
        <v>50</v>
      </c>
      <c r="L351" t="s">
        <v>51</v>
      </c>
      <c r="M351" s="7">
        <v>47543</v>
      </c>
      <c r="N351">
        <v>7.0000000000000007E-2</v>
      </c>
      <c r="O351" s="7">
        <v>4118</v>
      </c>
      <c r="P351">
        <v>1</v>
      </c>
      <c r="Q351" t="s">
        <v>56</v>
      </c>
      <c r="R351" t="s">
        <v>59</v>
      </c>
      <c r="S351">
        <f t="shared" si="25"/>
        <v>2021</v>
      </c>
      <c r="T351" t="str">
        <f t="shared" si="26"/>
        <v>Dec</v>
      </c>
      <c r="U351">
        <f t="shared" si="27"/>
        <v>7</v>
      </c>
      <c r="V351">
        <f t="shared" si="28"/>
        <v>10</v>
      </c>
      <c r="W351" s="9">
        <f t="shared" si="29"/>
        <v>8.661632627305807E-2</v>
      </c>
    </row>
    <row r="352" spans="1:23">
      <c r="A352">
        <v>10351</v>
      </c>
      <c r="B352" s="5">
        <v>44547</v>
      </c>
      <c r="C352" s="5">
        <v>44550</v>
      </c>
      <c r="D352" s="5">
        <v>44553</v>
      </c>
      <c r="E352" t="s">
        <v>18</v>
      </c>
      <c r="F352" t="s">
        <v>22</v>
      </c>
      <c r="G352" t="s">
        <v>27</v>
      </c>
      <c r="H352" t="s">
        <v>33</v>
      </c>
      <c r="I352" t="s">
        <v>35</v>
      </c>
      <c r="J352" t="s">
        <v>43</v>
      </c>
      <c r="K352" t="s">
        <v>50</v>
      </c>
      <c r="L352" t="s">
        <v>53</v>
      </c>
      <c r="M352" s="7">
        <v>20799</v>
      </c>
      <c r="N352">
        <v>0.25</v>
      </c>
      <c r="O352" s="7">
        <v>7801</v>
      </c>
      <c r="P352">
        <v>4</v>
      </c>
      <c r="Q352" t="s">
        <v>54</v>
      </c>
      <c r="R352" t="s">
        <v>62</v>
      </c>
      <c r="S352">
        <f t="shared" si="25"/>
        <v>2021</v>
      </c>
      <c r="T352" t="str">
        <f t="shared" si="26"/>
        <v>Dec</v>
      </c>
      <c r="U352">
        <f t="shared" si="27"/>
        <v>3</v>
      </c>
      <c r="V352">
        <f t="shared" si="28"/>
        <v>6</v>
      </c>
      <c r="W352" s="9">
        <f t="shared" si="29"/>
        <v>0.37506610894754555</v>
      </c>
    </row>
    <row r="353" spans="1:23">
      <c r="A353">
        <v>10352</v>
      </c>
      <c r="B353" s="5">
        <v>44548</v>
      </c>
      <c r="C353" s="5">
        <v>44555</v>
      </c>
      <c r="D353" s="5">
        <v>44556</v>
      </c>
      <c r="E353" t="s">
        <v>18</v>
      </c>
      <c r="F353" t="s">
        <v>22</v>
      </c>
      <c r="G353" t="s">
        <v>26</v>
      </c>
      <c r="H353" t="s">
        <v>31</v>
      </c>
      <c r="I353" t="s">
        <v>35</v>
      </c>
      <c r="J353" t="s">
        <v>41</v>
      </c>
      <c r="K353" t="s">
        <v>50</v>
      </c>
      <c r="L353" t="s">
        <v>51</v>
      </c>
      <c r="M353" s="7">
        <v>54575</v>
      </c>
      <c r="N353">
        <v>0.28999999999999998</v>
      </c>
      <c r="O353" s="7">
        <v>7059</v>
      </c>
      <c r="P353">
        <v>4</v>
      </c>
      <c r="Q353" t="s">
        <v>54</v>
      </c>
      <c r="R353" t="s">
        <v>62</v>
      </c>
      <c r="S353">
        <f t="shared" si="25"/>
        <v>2021</v>
      </c>
      <c r="T353" t="str">
        <f t="shared" si="26"/>
        <v>Dec</v>
      </c>
      <c r="U353">
        <f t="shared" si="27"/>
        <v>7</v>
      </c>
      <c r="V353">
        <f t="shared" si="28"/>
        <v>8</v>
      </c>
      <c r="W353" s="9">
        <f t="shared" si="29"/>
        <v>0.12934493815849749</v>
      </c>
    </row>
    <row r="354" spans="1:23">
      <c r="A354">
        <v>10353</v>
      </c>
      <c r="B354" s="5">
        <v>44549</v>
      </c>
      <c r="C354" s="5">
        <v>44552</v>
      </c>
      <c r="D354" s="5">
        <v>44557</v>
      </c>
      <c r="E354" t="s">
        <v>19</v>
      </c>
      <c r="F354" t="s">
        <v>22</v>
      </c>
      <c r="G354" t="s">
        <v>27</v>
      </c>
      <c r="H354" t="s">
        <v>30</v>
      </c>
      <c r="I354" t="s">
        <v>36</v>
      </c>
      <c r="J354" t="s">
        <v>39</v>
      </c>
      <c r="K354" t="s">
        <v>45</v>
      </c>
      <c r="L354" t="s">
        <v>51</v>
      </c>
      <c r="M354" s="7">
        <v>69057</v>
      </c>
      <c r="N354">
        <v>0.34</v>
      </c>
      <c r="O354" s="7">
        <v>13239</v>
      </c>
      <c r="P354">
        <v>3</v>
      </c>
      <c r="Q354" t="s">
        <v>58</v>
      </c>
      <c r="R354" t="s">
        <v>59</v>
      </c>
      <c r="S354">
        <f t="shared" si="25"/>
        <v>2021</v>
      </c>
      <c r="T354" t="str">
        <f t="shared" si="26"/>
        <v>Dec</v>
      </c>
      <c r="U354">
        <f t="shared" si="27"/>
        <v>3</v>
      </c>
      <c r="V354">
        <f t="shared" si="28"/>
        <v>8</v>
      </c>
      <c r="W354" s="9">
        <f t="shared" si="29"/>
        <v>0.19171119509970025</v>
      </c>
    </row>
    <row r="355" spans="1:23">
      <c r="A355">
        <v>10354</v>
      </c>
      <c r="B355" s="5">
        <v>44550</v>
      </c>
      <c r="C355" s="5">
        <v>44552</v>
      </c>
      <c r="D355" s="5">
        <v>44555</v>
      </c>
      <c r="E355" t="s">
        <v>21</v>
      </c>
      <c r="F355" t="s">
        <v>22</v>
      </c>
      <c r="G355" t="s">
        <v>24</v>
      </c>
      <c r="H355" t="s">
        <v>31</v>
      </c>
      <c r="I355" t="s">
        <v>36</v>
      </c>
      <c r="J355" t="s">
        <v>40</v>
      </c>
      <c r="K355" t="s">
        <v>49</v>
      </c>
      <c r="L355" t="s">
        <v>53</v>
      </c>
      <c r="M355" s="7">
        <v>63697</v>
      </c>
      <c r="N355">
        <v>0.09</v>
      </c>
      <c r="O355" s="7">
        <v>6152</v>
      </c>
      <c r="P355">
        <v>7</v>
      </c>
      <c r="Q355" t="s">
        <v>54</v>
      </c>
      <c r="R355" t="s">
        <v>62</v>
      </c>
      <c r="S355">
        <f t="shared" si="25"/>
        <v>2021</v>
      </c>
      <c r="T355" t="str">
        <f t="shared" si="26"/>
        <v>Dec</v>
      </c>
      <c r="U355">
        <f t="shared" si="27"/>
        <v>2</v>
      </c>
      <c r="V355">
        <f t="shared" si="28"/>
        <v>5</v>
      </c>
      <c r="W355" s="9">
        <f t="shared" si="29"/>
        <v>9.6582256621190951E-2</v>
      </c>
    </row>
    <row r="356" spans="1:23">
      <c r="A356">
        <v>10355</v>
      </c>
      <c r="B356" s="5">
        <v>44551</v>
      </c>
      <c r="C356" s="5">
        <v>44554</v>
      </c>
      <c r="D356" s="5">
        <v>44558</v>
      </c>
      <c r="E356" t="s">
        <v>18</v>
      </c>
      <c r="F356" t="s">
        <v>22</v>
      </c>
      <c r="G356" t="s">
        <v>27</v>
      </c>
      <c r="H356" t="s">
        <v>31</v>
      </c>
      <c r="I356" t="s">
        <v>34</v>
      </c>
      <c r="J356" t="s">
        <v>38</v>
      </c>
      <c r="K356" t="s">
        <v>49</v>
      </c>
      <c r="L356" t="s">
        <v>52</v>
      </c>
      <c r="M356" s="7">
        <v>976</v>
      </c>
      <c r="N356">
        <v>0.01</v>
      </c>
      <c r="O356" s="7">
        <v>-920</v>
      </c>
      <c r="P356">
        <v>15</v>
      </c>
      <c r="Q356" t="s">
        <v>56</v>
      </c>
      <c r="R356" t="s">
        <v>59</v>
      </c>
      <c r="S356">
        <f t="shared" si="25"/>
        <v>2021</v>
      </c>
      <c r="T356" t="str">
        <f t="shared" si="26"/>
        <v>Dec</v>
      </c>
      <c r="U356">
        <f t="shared" si="27"/>
        <v>3</v>
      </c>
      <c r="V356">
        <f t="shared" si="28"/>
        <v>7</v>
      </c>
      <c r="W356" s="9">
        <f t="shared" si="29"/>
        <v>-0.94262295081967218</v>
      </c>
    </row>
    <row r="357" spans="1:23">
      <c r="A357">
        <v>10356</v>
      </c>
      <c r="B357" s="5">
        <v>44552</v>
      </c>
      <c r="C357" s="5">
        <v>44558</v>
      </c>
      <c r="D357" s="5">
        <v>44560</v>
      </c>
      <c r="E357" t="s">
        <v>20</v>
      </c>
      <c r="F357" t="s">
        <v>22</v>
      </c>
      <c r="G357" t="s">
        <v>23</v>
      </c>
      <c r="H357" t="s">
        <v>25</v>
      </c>
      <c r="I357" t="s">
        <v>36</v>
      </c>
      <c r="J357" t="s">
        <v>37</v>
      </c>
      <c r="K357" t="s">
        <v>44</v>
      </c>
      <c r="L357" t="s">
        <v>51</v>
      </c>
      <c r="M357" s="7">
        <v>39754</v>
      </c>
      <c r="N357">
        <v>0.21</v>
      </c>
      <c r="O357" s="7">
        <v>4866</v>
      </c>
      <c r="P357">
        <v>5</v>
      </c>
      <c r="Q357" t="s">
        <v>54</v>
      </c>
      <c r="R357" t="s">
        <v>60</v>
      </c>
      <c r="S357">
        <f t="shared" si="25"/>
        <v>2021</v>
      </c>
      <c r="T357" t="str">
        <f t="shared" si="26"/>
        <v>Dec</v>
      </c>
      <c r="U357">
        <f t="shared" si="27"/>
        <v>6</v>
      </c>
      <c r="V357">
        <f t="shared" si="28"/>
        <v>8</v>
      </c>
      <c r="W357" s="9">
        <f t="shared" si="29"/>
        <v>0.12240277707903607</v>
      </c>
    </row>
    <row r="358" spans="1:23">
      <c r="A358">
        <v>10357</v>
      </c>
      <c r="B358" s="5">
        <v>44553</v>
      </c>
      <c r="C358" s="5">
        <v>44559</v>
      </c>
      <c r="D358" s="5">
        <v>44563</v>
      </c>
      <c r="E358" t="s">
        <v>18</v>
      </c>
      <c r="F358" t="s">
        <v>22</v>
      </c>
      <c r="G358" t="s">
        <v>28</v>
      </c>
      <c r="H358" t="s">
        <v>32</v>
      </c>
      <c r="I358" t="s">
        <v>34</v>
      </c>
      <c r="J358" t="s">
        <v>39</v>
      </c>
      <c r="K358" t="s">
        <v>45</v>
      </c>
      <c r="L358" t="s">
        <v>53</v>
      </c>
      <c r="M358" s="7">
        <v>19852</v>
      </c>
      <c r="N358">
        <v>0.33</v>
      </c>
      <c r="O358" s="7">
        <v>6997</v>
      </c>
      <c r="P358">
        <v>19</v>
      </c>
      <c r="Q358" t="s">
        <v>55</v>
      </c>
      <c r="R358" t="s">
        <v>59</v>
      </c>
      <c r="S358">
        <f t="shared" si="25"/>
        <v>2021</v>
      </c>
      <c r="T358" t="str">
        <f t="shared" si="26"/>
        <v>Dec</v>
      </c>
      <c r="U358">
        <f t="shared" si="27"/>
        <v>6</v>
      </c>
      <c r="V358">
        <f t="shared" si="28"/>
        <v>10</v>
      </c>
      <c r="W358" s="9">
        <f t="shared" si="29"/>
        <v>0.35245819061051781</v>
      </c>
    </row>
    <row r="359" spans="1:23">
      <c r="A359">
        <v>10358</v>
      </c>
      <c r="B359" s="5">
        <v>44554</v>
      </c>
      <c r="C359" s="5">
        <v>44558</v>
      </c>
      <c r="D359" s="5">
        <v>44559</v>
      </c>
      <c r="E359" t="s">
        <v>20</v>
      </c>
      <c r="F359" t="s">
        <v>22</v>
      </c>
      <c r="G359" t="s">
        <v>28</v>
      </c>
      <c r="H359" t="s">
        <v>25</v>
      </c>
      <c r="I359" t="s">
        <v>34</v>
      </c>
      <c r="J359" t="s">
        <v>40</v>
      </c>
      <c r="K359" t="s">
        <v>49</v>
      </c>
      <c r="L359" t="s">
        <v>53</v>
      </c>
      <c r="M359" s="7">
        <v>73529</v>
      </c>
      <c r="N359">
        <v>0.19</v>
      </c>
      <c r="O359" s="7">
        <v>16319</v>
      </c>
      <c r="P359">
        <v>2</v>
      </c>
      <c r="Q359" t="s">
        <v>56</v>
      </c>
      <c r="R359" t="s">
        <v>60</v>
      </c>
      <c r="S359">
        <f t="shared" si="25"/>
        <v>2021</v>
      </c>
      <c r="T359" t="str">
        <f t="shared" si="26"/>
        <v>Dec</v>
      </c>
      <c r="U359">
        <f t="shared" si="27"/>
        <v>4</v>
      </c>
      <c r="V359">
        <f t="shared" si="28"/>
        <v>5</v>
      </c>
      <c r="W359" s="9">
        <f t="shared" si="29"/>
        <v>0.22193964286200002</v>
      </c>
    </row>
    <row r="360" spans="1:23">
      <c r="A360">
        <v>10359</v>
      </c>
      <c r="B360" s="5">
        <v>44555</v>
      </c>
      <c r="C360" s="5">
        <v>44561</v>
      </c>
      <c r="D360" s="5">
        <v>44562</v>
      </c>
      <c r="E360" t="s">
        <v>20</v>
      </c>
      <c r="F360" t="s">
        <v>22</v>
      </c>
      <c r="G360" t="s">
        <v>25</v>
      </c>
      <c r="H360" t="s">
        <v>30</v>
      </c>
      <c r="I360" t="s">
        <v>36</v>
      </c>
      <c r="J360" t="s">
        <v>37</v>
      </c>
      <c r="K360" t="s">
        <v>46</v>
      </c>
      <c r="L360" t="s">
        <v>51</v>
      </c>
      <c r="M360" s="7">
        <v>31007</v>
      </c>
      <c r="N360">
        <v>0.01</v>
      </c>
      <c r="O360" s="7">
        <v>9778</v>
      </c>
      <c r="P360">
        <v>5</v>
      </c>
      <c r="Q360" t="s">
        <v>55</v>
      </c>
      <c r="R360" t="s">
        <v>60</v>
      </c>
      <c r="S360">
        <f t="shared" si="25"/>
        <v>2021</v>
      </c>
      <c r="T360" t="str">
        <f t="shared" si="26"/>
        <v>Dec</v>
      </c>
      <c r="U360">
        <f t="shared" si="27"/>
        <v>6</v>
      </c>
      <c r="V360">
        <f t="shared" si="28"/>
        <v>7</v>
      </c>
      <c r="W360" s="9">
        <f t="shared" si="29"/>
        <v>0.31534814719256943</v>
      </c>
    </row>
    <row r="361" spans="1:23">
      <c r="A361">
        <v>10360</v>
      </c>
      <c r="B361" s="5">
        <v>44556</v>
      </c>
      <c r="C361" s="5">
        <v>44560</v>
      </c>
      <c r="D361" s="5">
        <v>44562</v>
      </c>
      <c r="E361" t="s">
        <v>21</v>
      </c>
      <c r="F361" t="s">
        <v>22</v>
      </c>
      <c r="G361" t="s">
        <v>25</v>
      </c>
      <c r="H361" t="s">
        <v>33</v>
      </c>
      <c r="I361" t="s">
        <v>36</v>
      </c>
      <c r="J361" t="s">
        <v>37</v>
      </c>
      <c r="K361" t="s">
        <v>48</v>
      </c>
      <c r="L361" t="s">
        <v>52</v>
      </c>
      <c r="M361" s="7">
        <v>19591</v>
      </c>
      <c r="N361">
        <v>0.3</v>
      </c>
      <c r="O361" s="7">
        <v>-646</v>
      </c>
      <c r="P361">
        <v>22</v>
      </c>
      <c r="Q361" t="s">
        <v>57</v>
      </c>
      <c r="R361" t="s">
        <v>60</v>
      </c>
      <c r="S361">
        <f t="shared" si="25"/>
        <v>2021</v>
      </c>
      <c r="T361" t="str">
        <f t="shared" si="26"/>
        <v>Dec</v>
      </c>
      <c r="U361">
        <f t="shared" si="27"/>
        <v>4</v>
      </c>
      <c r="V361">
        <f t="shared" si="28"/>
        <v>6</v>
      </c>
      <c r="W361" s="9">
        <f t="shared" si="29"/>
        <v>-3.2974324945127864E-2</v>
      </c>
    </row>
    <row r="362" spans="1:23">
      <c r="A362">
        <v>10361</v>
      </c>
      <c r="B362" s="5">
        <v>44557</v>
      </c>
      <c r="C362" s="5">
        <v>44561</v>
      </c>
      <c r="D362" s="5">
        <v>44564</v>
      </c>
      <c r="E362" t="s">
        <v>21</v>
      </c>
      <c r="F362" t="s">
        <v>22</v>
      </c>
      <c r="G362" t="s">
        <v>26</v>
      </c>
      <c r="H362" t="s">
        <v>33</v>
      </c>
      <c r="I362" t="s">
        <v>35</v>
      </c>
      <c r="J362" t="s">
        <v>37</v>
      </c>
      <c r="K362" t="s">
        <v>49</v>
      </c>
      <c r="L362" t="s">
        <v>52</v>
      </c>
      <c r="M362" s="7">
        <v>33659</v>
      </c>
      <c r="N362">
        <v>0.33</v>
      </c>
      <c r="O362" s="7">
        <v>18077</v>
      </c>
      <c r="P362">
        <v>9</v>
      </c>
      <c r="Q362" t="s">
        <v>54</v>
      </c>
      <c r="R362" t="s">
        <v>61</v>
      </c>
      <c r="S362">
        <f t="shared" si="25"/>
        <v>2021</v>
      </c>
      <c r="T362" t="str">
        <f t="shared" si="26"/>
        <v>Dec</v>
      </c>
      <c r="U362">
        <f t="shared" si="27"/>
        <v>4</v>
      </c>
      <c r="V362">
        <f t="shared" si="28"/>
        <v>7</v>
      </c>
      <c r="W362" s="9">
        <f t="shared" si="29"/>
        <v>0.53706289551085895</v>
      </c>
    </row>
    <row r="363" spans="1:23">
      <c r="A363">
        <v>10362</v>
      </c>
      <c r="B363" s="5">
        <v>44558</v>
      </c>
      <c r="C363" s="5">
        <v>44560</v>
      </c>
      <c r="D363" s="5">
        <v>44562</v>
      </c>
      <c r="E363" t="s">
        <v>19</v>
      </c>
      <c r="F363" t="s">
        <v>22</v>
      </c>
      <c r="G363" t="s">
        <v>26</v>
      </c>
      <c r="H363" t="s">
        <v>29</v>
      </c>
      <c r="I363" t="s">
        <v>36</v>
      </c>
      <c r="J363" t="s">
        <v>43</v>
      </c>
      <c r="K363" t="s">
        <v>47</v>
      </c>
      <c r="L363" t="s">
        <v>53</v>
      </c>
      <c r="M363" s="7">
        <v>20362</v>
      </c>
      <c r="N363">
        <v>0.23</v>
      </c>
      <c r="O363" s="7">
        <v>2601</v>
      </c>
      <c r="P363">
        <v>23</v>
      </c>
      <c r="Q363" t="s">
        <v>56</v>
      </c>
      <c r="R363" t="s">
        <v>62</v>
      </c>
      <c r="S363">
        <f t="shared" si="25"/>
        <v>2021</v>
      </c>
      <c r="T363" t="str">
        <f t="shared" si="26"/>
        <v>Dec</v>
      </c>
      <c r="U363">
        <f t="shared" si="27"/>
        <v>2</v>
      </c>
      <c r="V363">
        <f t="shared" si="28"/>
        <v>4</v>
      </c>
      <c r="W363" s="9">
        <f t="shared" si="29"/>
        <v>0.12773794322758078</v>
      </c>
    </row>
    <row r="364" spans="1:23">
      <c r="A364">
        <v>10363</v>
      </c>
      <c r="B364" s="5">
        <v>44559</v>
      </c>
      <c r="C364" s="5">
        <v>44565</v>
      </c>
      <c r="D364" s="5">
        <v>44570</v>
      </c>
      <c r="E364" t="s">
        <v>18</v>
      </c>
      <c r="F364" t="s">
        <v>22</v>
      </c>
      <c r="G364" t="s">
        <v>24</v>
      </c>
      <c r="H364" t="s">
        <v>31</v>
      </c>
      <c r="I364" t="s">
        <v>36</v>
      </c>
      <c r="J364" t="s">
        <v>37</v>
      </c>
      <c r="K364" t="s">
        <v>47</v>
      </c>
      <c r="L364" t="s">
        <v>53</v>
      </c>
      <c r="M364" s="7">
        <v>59353</v>
      </c>
      <c r="N364">
        <v>7.0000000000000007E-2</v>
      </c>
      <c r="O364" s="7">
        <v>3442</v>
      </c>
      <c r="P364">
        <v>10</v>
      </c>
      <c r="Q364" t="s">
        <v>55</v>
      </c>
      <c r="R364" t="s">
        <v>59</v>
      </c>
      <c r="S364">
        <f t="shared" si="25"/>
        <v>2021</v>
      </c>
      <c r="T364" t="str">
        <f t="shared" si="26"/>
        <v>Dec</v>
      </c>
      <c r="U364">
        <f t="shared" si="27"/>
        <v>6</v>
      </c>
      <c r="V364">
        <f t="shared" si="28"/>
        <v>11</v>
      </c>
      <c r="W364" s="9">
        <f t="shared" si="29"/>
        <v>5.7992013883038769E-2</v>
      </c>
    </row>
    <row r="365" spans="1:23">
      <c r="A365">
        <v>10364</v>
      </c>
      <c r="B365" s="5">
        <v>44560</v>
      </c>
      <c r="C365" s="5">
        <v>44567</v>
      </c>
      <c r="D365" s="5">
        <v>44571</v>
      </c>
      <c r="E365" t="s">
        <v>19</v>
      </c>
      <c r="F365" t="s">
        <v>22</v>
      </c>
      <c r="G365" t="s">
        <v>26</v>
      </c>
      <c r="H365" t="s">
        <v>29</v>
      </c>
      <c r="I365" t="s">
        <v>36</v>
      </c>
      <c r="J365" t="s">
        <v>39</v>
      </c>
      <c r="K365" t="s">
        <v>45</v>
      </c>
      <c r="L365" t="s">
        <v>53</v>
      </c>
      <c r="M365" s="7">
        <v>69519</v>
      </c>
      <c r="N365">
        <v>0.3</v>
      </c>
      <c r="O365" s="7">
        <v>14522</v>
      </c>
      <c r="P365">
        <v>15</v>
      </c>
      <c r="Q365" t="s">
        <v>55</v>
      </c>
      <c r="R365" t="s">
        <v>61</v>
      </c>
      <c r="S365">
        <f t="shared" si="25"/>
        <v>2021</v>
      </c>
      <c r="T365" t="str">
        <f t="shared" si="26"/>
        <v>Dec</v>
      </c>
      <c r="U365">
        <f t="shared" si="27"/>
        <v>7</v>
      </c>
      <c r="V365">
        <f t="shared" si="28"/>
        <v>11</v>
      </c>
      <c r="W365" s="9">
        <f t="shared" si="29"/>
        <v>0.20889253297659632</v>
      </c>
    </row>
    <row r="366" spans="1:23">
      <c r="A366">
        <v>10365</v>
      </c>
      <c r="B366" s="5">
        <v>44561</v>
      </c>
      <c r="C366" s="5">
        <v>44564</v>
      </c>
      <c r="D366" s="5">
        <v>44568</v>
      </c>
      <c r="E366" t="s">
        <v>19</v>
      </c>
      <c r="F366" t="s">
        <v>22</v>
      </c>
      <c r="G366" t="s">
        <v>26</v>
      </c>
      <c r="H366" t="s">
        <v>31</v>
      </c>
      <c r="I366" t="s">
        <v>36</v>
      </c>
      <c r="J366" t="s">
        <v>37</v>
      </c>
      <c r="K366" t="s">
        <v>45</v>
      </c>
      <c r="L366" t="s">
        <v>53</v>
      </c>
      <c r="M366" s="7">
        <v>54165</v>
      </c>
      <c r="N366">
        <v>0.06</v>
      </c>
      <c r="O366" s="7">
        <v>10368</v>
      </c>
      <c r="P366">
        <v>7</v>
      </c>
      <c r="Q366" t="s">
        <v>56</v>
      </c>
      <c r="R366" t="s">
        <v>59</v>
      </c>
      <c r="S366">
        <f t="shared" si="25"/>
        <v>2021</v>
      </c>
      <c r="T366" t="str">
        <f t="shared" si="26"/>
        <v>Dec</v>
      </c>
      <c r="U366">
        <f t="shared" si="27"/>
        <v>3</v>
      </c>
      <c r="V366">
        <f t="shared" si="28"/>
        <v>7</v>
      </c>
      <c r="W366" s="9">
        <f t="shared" si="29"/>
        <v>0.19141512046524509</v>
      </c>
    </row>
    <row r="367" spans="1:23">
      <c r="A367">
        <v>10366</v>
      </c>
      <c r="B367" s="5">
        <v>44562</v>
      </c>
      <c r="C367" s="5">
        <v>44569</v>
      </c>
      <c r="D367" s="5">
        <v>44571</v>
      </c>
      <c r="E367" t="s">
        <v>20</v>
      </c>
      <c r="F367" t="s">
        <v>22</v>
      </c>
      <c r="G367" t="s">
        <v>25</v>
      </c>
      <c r="H367" t="s">
        <v>33</v>
      </c>
      <c r="I367" t="s">
        <v>34</v>
      </c>
      <c r="J367" t="s">
        <v>37</v>
      </c>
      <c r="K367" t="s">
        <v>46</v>
      </c>
      <c r="L367" t="s">
        <v>53</v>
      </c>
      <c r="M367" s="7">
        <v>52547</v>
      </c>
      <c r="N367">
        <v>0.17</v>
      </c>
      <c r="O367" s="7">
        <v>5024</v>
      </c>
      <c r="P367">
        <v>6</v>
      </c>
      <c r="Q367" t="s">
        <v>57</v>
      </c>
      <c r="R367" t="s">
        <v>60</v>
      </c>
      <c r="S367">
        <f t="shared" si="25"/>
        <v>2022</v>
      </c>
      <c r="T367" t="str">
        <f t="shared" si="26"/>
        <v>Jan</v>
      </c>
      <c r="U367">
        <f t="shared" si="27"/>
        <v>7</v>
      </c>
      <c r="V367">
        <f t="shared" si="28"/>
        <v>9</v>
      </c>
      <c r="W367" s="9">
        <f t="shared" si="29"/>
        <v>9.560964469903134E-2</v>
      </c>
    </row>
    <row r="368" spans="1:23">
      <c r="A368">
        <v>10367</v>
      </c>
      <c r="B368" s="5">
        <v>44563</v>
      </c>
      <c r="C368" s="5">
        <v>44566</v>
      </c>
      <c r="D368" s="5">
        <v>44570</v>
      </c>
      <c r="E368" t="s">
        <v>21</v>
      </c>
      <c r="F368" t="s">
        <v>22</v>
      </c>
      <c r="G368" t="s">
        <v>26</v>
      </c>
      <c r="H368" t="s">
        <v>33</v>
      </c>
      <c r="I368" t="s">
        <v>34</v>
      </c>
      <c r="J368" t="s">
        <v>38</v>
      </c>
      <c r="K368" t="s">
        <v>46</v>
      </c>
      <c r="L368" t="s">
        <v>52</v>
      </c>
      <c r="M368" s="7">
        <v>46812</v>
      </c>
      <c r="N368">
        <v>7.0000000000000007E-2</v>
      </c>
      <c r="O368" s="7">
        <v>11246</v>
      </c>
      <c r="P368">
        <v>16</v>
      </c>
      <c r="Q368" t="s">
        <v>58</v>
      </c>
      <c r="R368" t="s">
        <v>62</v>
      </c>
      <c r="S368">
        <f t="shared" si="25"/>
        <v>2022</v>
      </c>
      <c r="T368" t="str">
        <f t="shared" si="26"/>
        <v>Jan</v>
      </c>
      <c r="U368">
        <f t="shared" si="27"/>
        <v>3</v>
      </c>
      <c r="V368">
        <f t="shared" si="28"/>
        <v>7</v>
      </c>
      <c r="W368" s="9">
        <f t="shared" si="29"/>
        <v>0.24023754592839444</v>
      </c>
    </row>
    <row r="369" spans="1:23">
      <c r="A369">
        <v>10368</v>
      </c>
      <c r="B369" s="5">
        <v>44564</v>
      </c>
      <c r="C369" s="5">
        <v>44566</v>
      </c>
      <c r="D369" s="5">
        <v>44567</v>
      </c>
      <c r="E369" t="s">
        <v>21</v>
      </c>
      <c r="F369" t="s">
        <v>22</v>
      </c>
      <c r="G369" t="s">
        <v>25</v>
      </c>
      <c r="H369" t="s">
        <v>33</v>
      </c>
      <c r="I369" t="s">
        <v>35</v>
      </c>
      <c r="J369" t="s">
        <v>43</v>
      </c>
      <c r="K369" t="s">
        <v>46</v>
      </c>
      <c r="L369" t="s">
        <v>53</v>
      </c>
      <c r="M369" s="7">
        <v>63152</v>
      </c>
      <c r="N369">
        <v>0.19</v>
      </c>
      <c r="O369" s="7">
        <v>13021</v>
      </c>
      <c r="P369">
        <v>20</v>
      </c>
      <c r="Q369" t="s">
        <v>57</v>
      </c>
      <c r="R369" t="s">
        <v>60</v>
      </c>
      <c r="S369">
        <f t="shared" si="25"/>
        <v>2022</v>
      </c>
      <c r="T369" t="str">
        <f t="shared" si="26"/>
        <v>Jan</v>
      </c>
      <c r="U369">
        <f t="shared" si="27"/>
        <v>2</v>
      </c>
      <c r="V369">
        <f t="shared" si="28"/>
        <v>3</v>
      </c>
      <c r="W369" s="9">
        <f t="shared" si="29"/>
        <v>0.20618507727387889</v>
      </c>
    </row>
    <row r="370" spans="1:23">
      <c r="A370">
        <v>10369</v>
      </c>
      <c r="B370" s="5">
        <v>44565</v>
      </c>
      <c r="C370" s="5">
        <v>44570</v>
      </c>
      <c r="D370" s="5">
        <v>44571</v>
      </c>
      <c r="E370" t="s">
        <v>19</v>
      </c>
      <c r="F370" t="s">
        <v>22</v>
      </c>
      <c r="G370" t="s">
        <v>26</v>
      </c>
      <c r="H370" t="s">
        <v>30</v>
      </c>
      <c r="I370" t="s">
        <v>36</v>
      </c>
      <c r="J370" t="s">
        <v>43</v>
      </c>
      <c r="K370" t="s">
        <v>47</v>
      </c>
      <c r="L370" t="s">
        <v>53</v>
      </c>
      <c r="M370" s="7">
        <v>33881</v>
      </c>
      <c r="N370">
        <v>0.19</v>
      </c>
      <c r="O370" s="7">
        <v>4168</v>
      </c>
      <c r="P370">
        <v>2</v>
      </c>
      <c r="Q370" t="s">
        <v>54</v>
      </c>
      <c r="R370" t="s">
        <v>60</v>
      </c>
      <c r="S370">
        <f t="shared" si="25"/>
        <v>2022</v>
      </c>
      <c r="T370" t="str">
        <f t="shared" si="26"/>
        <v>Jan</v>
      </c>
      <c r="U370">
        <f t="shared" si="27"/>
        <v>5</v>
      </c>
      <c r="V370">
        <f t="shared" si="28"/>
        <v>6</v>
      </c>
      <c r="W370" s="9">
        <f t="shared" si="29"/>
        <v>0.12301880109796051</v>
      </c>
    </row>
    <row r="371" spans="1:23">
      <c r="A371">
        <v>10370</v>
      </c>
      <c r="B371" s="5">
        <v>44566</v>
      </c>
      <c r="C371" s="5">
        <v>44573</v>
      </c>
      <c r="D371" s="5">
        <v>44576</v>
      </c>
      <c r="E371" t="s">
        <v>19</v>
      </c>
      <c r="F371" t="s">
        <v>22</v>
      </c>
      <c r="G371" t="s">
        <v>23</v>
      </c>
      <c r="H371" t="s">
        <v>31</v>
      </c>
      <c r="I371" t="s">
        <v>34</v>
      </c>
      <c r="J371" t="s">
        <v>38</v>
      </c>
      <c r="K371" t="s">
        <v>49</v>
      </c>
      <c r="L371" t="s">
        <v>53</v>
      </c>
      <c r="M371" s="7">
        <v>45060</v>
      </c>
      <c r="N371">
        <v>0.05</v>
      </c>
      <c r="O371" s="7">
        <v>14282</v>
      </c>
      <c r="P371">
        <v>9</v>
      </c>
      <c r="Q371" t="s">
        <v>57</v>
      </c>
      <c r="R371" t="s">
        <v>60</v>
      </c>
      <c r="S371">
        <f t="shared" si="25"/>
        <v>2022</v>
      </c>
      <c r="T371" t="str">
        <f t="shared" si="26"/>
        <v>Jan</v>
      </c>
      <c r="U371">
        <f t="shared" si="27"/>
        <v>7</v>
      </c>
      <c r="V371">
        <f t="shared" si="28"/>
        <v>10</v>
      </c>
      <c r="W371" s="9">
        <f t="shared" si="29"/>
        <v>0.31695517088326675</v>
      </c>
    </row>
    <row r="372" spans="1:23">
      <c r="A372">
        <v>10371</v>
      </c>
      <c r="B372" s="5">
        <v>44567</v>
      </c>
      <c r="C372" s="5">
        <v>44573</v>
      </c>
      <c r="D372" s="5">
        <v>44575</v>
      </c>
      <c r="E372" t="s">
        <v>18</v>
      </c>
      <c r="F372" t="s">
        <v>22</v>
      </c>
      <c r="G372" t="s">
        <v>26</v>
      </c>
      <c r="H372" t="s">
        <v>30</v>
      </c>
      <c r="I372" t="s">
        <v>35</v>
      </c>
      <c r="J372" t="s">
        <v>39</v>
      </c>
      <c r="K372" t="s">
        <v>48</v>
      </c>
      <c r="L372" t="s">
        <v>53</v>
      </c>
      <c r="M372" s="7">
        <v>36655</v>
      </c>
      <c r="N372">
        <v>0.14000000000000001</v>
      </c>
      <c r="O372" s="7">
        <v>10038</v>
      </c>
      <c r="P372">
        <v>21</v>
      </c>
      <c r="Q372" t="s">
        <v>58</v>
      </c>
      <c r="R372" t="s">
        <v>60</v>
      </c>
      <c r="S372">
        <f t="shared" si="25"/>
        <v>2022</v>
      </c>
      <c r="T372" t="str">
        <f t="shared" si="26"/>
        <v>Jan</v>
      </c>
      <c r="U372">
        <f t="shared" si="27"/>
        <v>6</v>
      </c>
      <c r="V372">
        <f t="shared" si="28"/>
        <v>8</v>
      </c>
      <c r="W372" s="9">
        <f t="shared" si="29"/>
        <v>0.2738507706997681</v>
      </c>
    </row>
    <row r="373" spans="1:23">
      <c r="A373">
        <v>10372</v>
      </c>
      <c r="B373" s="5">
        <v>44568</v>
      </c>
      <c r="C373" s="5">
        <v>44573</v>
      </c>
      <c r="D373" s="5">
        <v>44574</v>
      </c>
      <c r="E373" t="s">
        <v>20</v>
      </c>
      <c r="F373" t="s">
        <v>22</v>
      </c>
      <c r="G373" t="s">
        <v>26</v>
      </c>
      <c r="H373" t="s">
        <v>30</v>
      </c>
      <c r="I373" t="s">
        <v>35</v>
      </c>
      <c r="J373" t="s">
        <v>41</v>
      </c>
      <c r="K373" t="s">
        <v>49</v>
      </c>
      <c r="L373" t="s">
        <v>52</v>
      </c>
      <c r="M373" s="7">
        <v>54476</v>
      </c>
      <c r="N373">
        <v>0.27</v>
      </c>
      <c r="O373" s="7">
        <v>3215</v>
      </c>
      <c r="P373">
        <v>21</v>
      </c>
      <c r="Q373" t="s">
        <v>56</v>
      </c>
      <c r="R373" t="s">
        <v>61</v>
      </c>
      <c r="S373">
        <f t="shared" si="25"/>
        <v>2022</v>
      </c>
      <c r="T373" t="str">
        <f t="shared" si="26"/>
        <v>Jan</v>
      </c>
      <c r="U373">
        <f t="shared" si="27"/>
        <v>5</v>
      </c>
      <c r="V373">
        <f t="shared" si="28"/>
        <v>6</v>
      </c>
      <c r="W373" s="9">
        <f t="shared" si="29"/>
        <v>5.9016814744107499E-2</v>
      </c>
    </row>
    <row r="374" spans="1:23">
      <c r="A374">
        <v>10373</v>
      </c>
      <c r="B374" s="5">
        <v>44569</v>
      </c>
      <c r="C374" s="5">
        <v>44573</v>
      </c>
      <c r="D374" s="5">
        <v>44578</v>
      </c>
      <c r="E374" t="s">
        <v>19</v>
      </c>
      <c r="F374" t="s">
        <v>22</v>
      </c>
      <c r="G374" t="s">
        <v>25</v>
      </c>
      <c r="H374" t="s">
        <v>32</v>
      </c>
      <c r="I374" t="s">
        <v>34</v>
      </c>
      <c r="J374" t="s">
        <v>39</v>
      </c>
      <c r="K374" t="s">
        <v>44</v>
      </c>
      <c r="L374" t="s">
        <v>53</v>
      </c>
      <c r="M374" s="7">
        <v>62418</v>
      </c>
      <c r="N374">
        <v>0.2</v>
      </c>
      <c r="O374" s="7">
        <v>12350</v>
      </c>
      <c r="P374">
        <v>16</v>
      </c>
      <c r="Q374" t="s">
        <v>57</v>
      </c>
      <c r="R374" t="s">
        <v>61</v>
      </c>
      <c r="S374">
        <f t="shared" si="25"/>
        <v>2022</v>
      </c>
      <c r="T374" t="str">
        <f t="shared" si="26"/>
        <v>Jan</v>
      </c>
      <c r="U374">
        <f t="shared" si="27"/>
        <v>4</v>
      </c>
      <c r="V374">
        <f t="shared" si="28"/>
        <v>9</v>
      </c>
      <c r="W374" s="9">
        <f t="shared" si="29"/>
        <v>0.19785959178442117</v>
      </c>
    </row>
    <row r="375" spans="1:23">
      <c r="A375">
        <v>10374</v>
      </c>
      <c r="B375" s="5">
        <v>44570</v>
      </c>
      <c r="C375" s="5">
        <v>44576</v>
      </c>
      <c r="D375" s="5">
        <v>44578</v>
      </c>
      <c r="E375" t="s">
        <v>19</v>
      </c>
      <c r="F375" t="s">
        <v>22</v>
      </c>
      <c r="G375" t="s">
        <v>24</v>
      </c>
      <c r="H375" t="s">
        <v>33</v>
      </c>
      <c r="I375" t="s">
        <v>34</v>
      </c>
      <c r="J375" t="s">
        <v>40</v>
      </c>
      <c r="K375" t="s">
        <v>47</v>
      </c>
      <c r="L375" t="s">
        <v>53</v>
      </c>
      <c r="M375" s="7">
        <v>14573</v>
      </c>
      <c r="N375">
        <v>0.39</v>
      </c>
      <c r="O375" s="7">
        <v>5026</v>
      </c>
      <c r="P375">
        <v>17</v>
      </c>
      <c r="Q375" t="s">
        <v>54</v>
      </c>
      <c r="R375" t="s">
        <v>60</v>
      </c>
      <c r="S375">
        <f t="shared" si="25"/>
        <v>2022</v>
      </c>
      <c r="T375" t="str">
        <f t="shared" si="26"/>
        <v>Jan</v>
      </c>
      <c r="U375">
        <f t="shared" si="27"/>
        <v>6</v>
      </c>
      <c r="V375">
        <f t="shared" si="28"/>
        <v>8</v>
      </c>
      <c r="W375" s="9">
        <f t="shared" si="29"/>
        <v>0.34488437521443766</v>
      </c>
    </row>
    <row r="376" spans="1:23">
      <c r="A376">
        <v>10375</v>
      </c>
      <c r="B376" s="5">
        <v>44571</v>
      </c>
      <c r="C376" s="5">
        <v>44576</v>
      </c>
      <c r="D376" s="5">
        <v>44577</v>
      </c>
      <c r="E376" t="s">
        <v>21</v>
      </c>
      <c r="F376" t="s">
        <v>22</v>
      </c>
      <c r="G376" t="s">
        <v>25</v>
      </c>
      <c r="H376" t="s">
        <v>31</v>
      </c>
      <c r="I376" t="s">
        <v>35</v>
      </c>
      <c r="J376" t="s">
        <v>42</v>
      </c>
      <c r="K376" t="s">
        <v>44</v>
      </c>
      <c r="L376" t="s">
        <v>53</v>
      </c>
      <c r="M376" s="7">
        <v>17254</v>
      </c>
      <c r="N376">
        <v>0.06</v>
      </c>
      <c r="O376" s="7">
        <v>19756</v>
      </c>
      <c r="P376">
        <v>18</v>
      </c>
      <c r="Q376" t="s">
        <v>56</v>
      </c>
      <c r="R376" t="s">
        <v>59</v>
      </c>
      <c r="S376">
        <f t="shared" si="25"/>
        <v>2022</v>
      </c>
      <c r="T376" t="str">
        <f t="shared" si="26"/>
        <v>Jan</v>
      </c>
      <c r="U376">
        <f t="shared" si="27"/>
        <v>5</v>
      </c>
      <c r="V376">
        <f t="shared" si="28"/>
        <v>6</v>
      </c>
      <c r="W376" s="9">
        <f t="shared" si="29"/>
        <v>1.1450098527877595</v>
      </c>
    </row>
    <row r="377" spans="1:23">
      <c r="A377">
        <v>10376</v>
      </c>
      <c r="B377" s="5">
        <v>44572</v>
      </c>
      <c r="C377" s="5">
        <v>44579</v>
      </c>
      <c r="D377" s="5">
        <v>44583</v>
      </c>
      <c r="E377" t="s">
        <v>20</v>
      </c>
      <c r="F377" t="s">
        <v>22</v>
      </c>
      <c r="G377" t="s">
        <v>25</v>
      </c>
      <c r="H377" t="s">
        <v>31</v>
      </c>
      <c r="I377" t="s">
        <v>35</v>
      </c>
      <c r="J377" t="s">
        <v>37</v>
      </c>
      <c r="K377" t="s">
        <v>48</v>
      </c>
      <c r="L377" t="s">
        <v>53</v>
      </c>
      <c r="M377" s="7">
        <v>16589</v>
      </c>
      <c r="N377">
        <v>0.35</v>
      </c>
      <c r="O377" s="7">
        <v>4301</v>
      </c>
      <c r="P377">
        <v>6</v>
      </c>
      <c r="Q377" t="s">
        <v>54</v>
      </c>
      <c r="R377" t="s">
        <v>62</v>
      </c>
      <c r="S377">
        <f t="shared" si="25"/>
        <v>2022</v>
      </c>
      <c r="T377" t="str">
        <f t="shared" si="26"/>
        <v>Jan</v>
      </c>
      <c r="U377">
        <f t="shared" si="27"/>
        <v>7</v>
      </c>
      <c r="V377">
        <f t="shared" si="28"/>
        <v>11</v>
      </c>
      <c r="W377" s="9">
        <f t="shared" si="29"/>
        <v>0.25926818976430166</v>
      </c>
    </row>
    <row r="378" spans="1:23">
      <c r="A378">
        <v>10377</v>
      </c>
      <c r="B378" s="5">
        <v>44573</v>
      </c>
      <c r="C378" s="5">
        <v>44575</v>
      </c>
      <c r="D378" s="5">
        <v>44576</v>
      </c>
      <c r="E378" t="s">
        <v>18</v>
      </c>
      <c r="F378" t="s">
        <v>22</v>
      </c>
      <c r="G378" t="s">
        <v>27</v>
      </c>
      <c r="H378" t="s">
        <v>30</v>
      </c>
      <c r="I378" t="s">
        <v>35</v>
      </c>
      <c r="J378" t="s">
        <v>38</v>
      </c>
      <c r="K378" t="s">
        <v>49</v>
      </c>
      <c r="L378" t="s">
        <v>52</v>
      </c>
      <c r="M378" s="7">
        <v>23893</v>
      </c>
      <c r="N378">
        <v>0.31</v>
      </c>
      <c r="O378" s="7">
        <v>4014</v>
      </c>
      <c r="P378">
        <v>12</v>
      </c>
      <c r="Q378" t="s">
        <v>58</v>
      </c>
      <c r="R378" t="s">
        <v>61</v>
      </c>
      <c r="S378">
        <f t="shared" si="25"/>
        <v>2022</v>
      </c>
      <c r="T378" t="str">
        <f t="shared" si="26"/>
        <v>Jan</v>
      </c>
      <c r="U378">
        <f t="shared" si="27"/>
        <v>2</v>
      </c>
      <c r="V378">
        <f t="shared" si="28"/>
        <v>3</v>
      </c>
      <c r="W378" s="9">
        <f t="shared" si="29"/>
        <v>0.16799899552170092</v>
      </c>
    </row>
    <row r="379" spans="1:23">
      <c r="A379">
        <v>10378</v>
      </c>
      <c r="B379" s="5">
        <v>44574</v>
      </c>
      <c r="C379" s="5">
        <v>44581</v>
      </c>
      <c r="D379" s="5">
        <v>44583</v>
      </c>
      <c r="E379" t="s">
        <v>21</v>
      </c>
      <c r="F379" t="s">
        <v>22</v>
      </c>
      <c r="G379" t="s">
        <v>28</v>
      </c>
      <c r="H379" t="s">
        <v>30</v>
      </c>
      <c r="I379" t="s">
        <v>36</v>
      </c>
      <c r="J379" t="s">
        <v>43</v>
      </c>
      <c r="K379" t="s">
        <v>49</v>
      </c>
      <c r="L379" t="s">
        <v>53</v>
      </c>
      <c r="M379" s="7">
        <v>40054</v>
      </c>
      <c r="N379">
        <v>0.37</v>
      </c>
      <c r="O379" s="7">
        <v>19670</v>
      </c>
      <c r="P379">
        <v>15</v>
      </c>
      <c r="Q379" t="s">
        <v>58</v>
      </c>
      <c r="R379" t="s">
        <v>59</v>
      </c>
      <c r="S379">
        <f t="shared" si="25"/>
        <v>2022</v>
      </c>
      <c r="T379" t="str">
        <f t="shared" si="26"/>
        <v>Jan</v>
      </c>
      <c r="U379">
        <f t="shared" si="27"/>
        <v>7</v>
      </c>
      <c r="V379">
        <f t="shared" si="28"/>
        <v>9</v>
      </c>
      <c r="W379" s="9">
        <f t="shared" si="29"/>
        <v>0.49108703250611674</v>
      </c>
    </row>
    <row r="380" spans="1:23">
      <c r="A380">
        <v>10379</v>
      </c>
      <c r="B380" s="5">
        <v>44575</v>
      </c>
      <c r="C380" s="5">
        <v>44580</v>
      </c>
      <c r="D380" s="5">
        <v>44584</v>
      </c>
      <c r="E380" t="s">
        <v>19</v>
      </c>
      <c r="F380" t="s">
        <v>22</v>
      </c>
      <c r="G380" t="s">
        <v>25</v>
      </c>
      <c r="H380" t="s">
        <v>32</v>
      </c>
      <c r="I380" t="s">
        <v>35</v>
      </c>
      <c r="J380" t="s">
        <v>38</v>
      </c>
      <c r="K380" t="s">
        <v>44</v>
      </c>
      <c r="L380" t="s">
        <v>53</v>
      </c>
      <c r="M380" s="7">
        <v>70161</v>
      </c>
      <c r="N380">
        <v>0.31</v>
      </c>
      <c r="O380" s="7">
        <v>11266</v>
      </c>
      <c r="P380">
        <v>11</v>
      </c>
      <c r="Q380" t="s">
        <v>56</v>
      </c>
      <c r="R380" t="s">
        <v>59</v>
      </c>
      <c r="S380">
        <f t="shared" si="25"/>
        <v>2022</v>
      </c>
      <c r="T380" t="str">
        <f t="shared" si="26"/>
        <v>Jan</v>
      </c>
      <c r="U380">
        <f t="shared" si="27"/>
        <v>5</v>
      </c>
      <c r="V380">
        <f t="shared" si="28"/>
        <v>9</v>
      </c>
      <c r="W380" s="9">
        <f t="shared" si="29"/>
        <v>0.16057353800544463</v>
      </c>
    </row>
    <row r="381" spans="1:23">
      <c r="A381">
        <v>10380</v>
      </c>
      <c r="B381" s="5">
        <v>44576</v>
      </c>
      <c r="C381" s="5">
        <v>44581</v>
      </c>
      <c r="D381" s="5">
        <v>44585</v>
      </c>
      <c r="E381" t="s">
        <v>20</v>
      </c>
      <c r="F381" t="s">
        <v>22</v>
      </c>
      <c r="G381" t="s">
        <v>24</v>
      </c>
      <c r="H381" t="s">
        <v>32</v>
      </c>
      <c r="I381" t="s">
        <v>35</v>
      </c>
      <c r="J381" t="s">
        <v>41</v>
      </c>
      <c r="K381" t="s">
        <v>48</v>
      </c>
      <c r="L381" t="s">
        <v>53</v>
      </c>
      <c r="M381" s="7">
        <v>32240</v>
      </c>
      <c r="N381">
        <v>0.28000000000000003</v>
      </c>
      <c r="O381" s="7">
        <v>19138</v>
      </c>
      <c r="P381">
        <v>18</v>
      </c>
      <c r="Q381" t="s">
        <v>55</v>
      </c>
      <c r="R381" t="s">
        <v>61</v>
      </c>
      <c r="S381">
        <f t="shared" si="25"/>
        <v>2022</v>
      </c>
      <c r="T381" t="str">
        <f t="shared" si="26"/>
        <v>Jan</v>
      </c>
      <c r="U381">
        <f t="shared" si="27"/>
        <v>5</v>
      </c>
      <c r="V381">
        <f t="shared" si="28"/>
        <v>9</v>
      </c>
      <c r="W381" s="9">
        <f t="shared" si="29"/>
        <v>0.59361042183622825</v>
      </c>
    </row>
    <row r="382" spans="1:23">
      <c r="A382">
        <v>10381</v>
      </c>
      <c r="B382" s="5">
        <v>44577</v>
      </c>
      <c r="C382" s="5">
        <v>44581</v>
      </c>
      <c r="D382" s="5">
        <v>44582</v>
      </c>
      <c r="E382" t="s">
        <v>21</v>
      </c>
      <c r="F382" t="s">
        <v>22</v>
      </c>
      <c r="G382" t="s">
        <v>23</v>
      </c>
      <c r="H382" t="s">
        <v>33</v>
      </c>
      <c r="I382" t="s">
        <v>34</v>
      </c>
      <c r="J382" t="s">
        <v>41</v>
      </c>
      <c r="K382" t="s">
        <v>50</v>
      </c>
      <c r="L382" t="s">
        <v>52</v>
      </c>
      <c r="M382" s="7">
        <v>74469</v>
      </c>
      <c r="N382">
        <v>0.33</v>
      </c>
      <c r="O382" s="7">
        <v>17234</v>
      </c>
      <c r="P382">
        <v>8</v>
      </c>
      <c r="Q382" t="s">
        <v>56</v>
      </c>
      <c r="R382" t="s">
        <v>61</v>
      </c>
      <c r="S382">
        <f t="shared" si="25"/>
        <v>2022</v>
      </c>
      <c r="T382" t="str">
        <f t="shared" si="26"/>
        <v>Jan</v>
      </c>
      <c r="U382">
        <f t="shared" si="27"/>
        <v>4</v>
      </c>
      <c r="V382">
        <f t="shared" si="28"/>
        <v>5</v>
      </c>
      <c r="W382" s="9">
        <f t="shared" si="29"/>
        <v>0.23142515677664532</v>
      </c>
    </row>
    <row r="383" spans="1:23">
      <c r="A383">
        <v>10382</v>
      </c>
      <c r="B383" s="5">
        <v>44578</v>
      </c>
      <c r="C383" s="5">
        <v>44581</v>
      </c>
      <c r="D383" s="5">
        <v>44585</v>
      </c>
      <c r="E383" t="s">
        <v>19</v>
      </c>
      <c r="F383" t="s">
        <v>22</v>
      </c>
      <c r="G383" t="s">
        <v>26</v>
      </c>
      <c r="H383" t="s">
        <v>33</v>
      </c>
      <c r="I383" t="s">
        <v>35</v>
      </c>
      <c r="J383" t="s">
        <v>41</v>
      </c>
      <c r="K383" t="s">
        <v>45</v>
      </c>
      <c r="L383" t="s">
        <v>52</v>
      </c>
      <c r="M383" s="7">
        <v>43663</v>
      </c>
      <c r="N383">
        <v>0.34</v>
      </c>
      <c r="O383" s="7">
        <v>14510</v>
      </c>
      <c r="P383">
        <v>12</v>
      </c>
      <c r="Q383" t="s">
        <v>55</v>
      </c>
      <c r="R383" t="s">
        <v>61</v>
      </c>
      <c r="S383">
        <f t="shared" si="25"/>
        <v>2022</v>
      </c>
      <c r="T383" t="str">
        <f t="shared" si="26"/>
        <v>Jan</v>
      </c>
      <c r="U383">
        <f t="shared" si="27"/>
        <v>3</v>
      </c>
      <c r="V383">
        <f t="shared" si="28"/>
        <v>7</v>
      </c>
      <c r="W383" s="9">
        <f t="shared" si="29"/>
        <v>0.33231798089915948</v>
      </c>
    </row>
    <row r="384" spans="1:23">
      <c r="A384">
        <v>10383</v>
      </c>
      <c r="B384" s="5">
        <v>44579</v>
      </c>
      <c r="C384" s="5">
        <v>44584</v>
      </c>
      <c r="D384" s="5">
        <v>44585</v>
      </c>
      <c r="E384" t="s">
        <v>19</v>
      </c>
      <c r="F384" t="s">
        <v>22</v>
      </c>
      <c r="G384" t="s">
        <v>28</v>
      </c>
      <c r="H384" t="s">
        <v>25</v>
      </c>
      <c r="I384" t="s">
        <v>34</v>
      </c>
      <c r="J384" t="s">
        <v>38</v>
      </c>
      <c r="K384" t="s">
        <v>45</v>
      </c>
      <c r="L384" t="s">
        <v>53</v>
      </c>
      <c r="M384" s="7">
        <v>66977</v>
      </c>
      <c r="N384">
        <v>0.12</v>
      </c>
      <c r="O384" s="7">
        <v>6432</v>
      </c>
      <c r="P384">
        <v>4</v>
      </c>
      <c r="Q384" t="s">
        <v>58</v>
      </c>
      <c r="R384" t="s">
        <v>62</v>
      </c>
      <c r="S384">
        <f t="shared" si="25"/>
        <v>2022</v>
      </c>
      <c r="T384" t="str">
        <f t="shared" si="26"/>
        <v>Jan</v>
      </c>
      <c r="U384">
        <f t="shared" si="27"/>
        <v>5</v>
      </c>
      <c r="V384">
        <f t="shared" si="28"/>
        <v>6</v>
      </c>
      <c r="W384" s="9">
        <f t="shared" si="29"/>
        <v>9.6032966540752801E-2</v>
      </c>
    </row>
    <row r="385" spans="1:23">
      <c r="A385">
        <v>10384</v>
      </c>
      <c r="B385" s="5">
        <v>44580</v>
      </c>
      <c r="C385" s="5">
        <v>44583</v>
      </c>
      <c r="D385" s="5">
        <v>44585</v>
      </c>
      <c r="E385" t="s">
        <v>19</v>
      </c>
      <c r="F385" t="s">
        <v>22</v>
      </c>
      <c r="G385" t="s">
        <v>28</v>
      </c>
      <c r="H385" t="s">
        <v>31</v>
      </c>
      <c r="I385" t="s">
        <v>36</v>
      </c>
      <c r="J385" t="s">
        <v>42</v>
      </c>
      <c r="K385" t="s">
        <v>49</v>
      </c>
      <c r="L385" t="s">
        <v>53</v>
      </c>
      <c r="M385" s="7">
        <v>6742</v>
      </c>
      <c r="N385">
        <v>0.23</v>
      </c>
      <c r="O385" s="7">
        <v>14171</v>
      </c>
      <c r="P385">
        <v>9</v>
      </c>
      <c r="Q385" t="s">
        <v>55</v>
      </c>
      <c r="R385" t="s">
        <v>60</v>
      </c>
      <c r="S385">
        <f t="shared" si="25"/>
        <v>2022</v>
      </c>
      <c r="T385" t="str">
        <f t="shared" si="26"/>
        <v>Jan</v>
      </c>
      <c r="U385">
        <f t="shared" si="27"/>
        <v>3</v>
      </c>
      <c r="V385">
        <f t="shared" si="28"/>
        <v>5</v>
      </c>
      <c r="W385" s="9">
        <f t="shared" si="29"/>
        <v>2.1018985464253932</v>
      </c>
    </row>
    <row r="386" spans="1:23">
      <c r="A386">
        <v>10385</v>
      </c>
      <c r="B386" s="5">
        <v>44581</v>
      </c>
      <c r="C386" s="5">
        <v>44584</v>
      </c>
      <c r="D386" s="5">
        <v>44585</v>
      </c>
      <c r="E386" t="s">
        <v>18</v>
      </c>
      <c r="F386" t="s">
        <v>22</v>
      </c>
      <c r="G386" t="s">
        <v>23</v>
      </c>
      <c r="H386" t="s">
        <v>25</v>
      </c>
      <c r="I386" t="s">
        <v>36</v>
      </c>
      <c r="J386" t="s">
        <v>39</v>
      </c>
      <c r="K386" t="s">
        <v>49</v>
      </c>
      <c r="L386" t="s">
        <v>51</v>
      </c>
      <c r="M386" s="7">
        <v>64243</v>
      </c>
      <c r="N386">
        <v>0.22</v>
      </c>
      <c r="O386" s="7">
        <v>3122</v>
      </c>
      <c r="P386">
        <v>12</v>
      </c>
      <c r="Q386" t="s">
        <v>55</v>
      </c>
      <c r="R386" t="s">
        <v>60</v>
      </c>
      <c r="S386">
        <f t="shared" si="25"/>
        <v>2022</v>
      </c>
      <c r="T386" t="str">
        <f t="shared" si="26"/>
        <v>Jan</v>
      </c>
      <c r="U386">
        <f t="shared" si="27"/>
        <v>3</v>
      </c>
      <c r="V386">
        <f t="shared" si="28"/>
        <v>4</v>
      </c>
      <c r="W386" s="9">
        <f t="shared" si="29"/>
        <v>4.8596734274551315E-2</v>
      </c>
    </row>
    <row r="387" spans="1:23">
      <c r="A387">
        <v>10386</v>
      </c>
      <c r="B387" s="5">
        <v>44582</v>
      </c>
      <c r="C387" s="5">
        <v>44588</v>
      </c>
      <c r="D387" s="5">
        <v>44589</v>
      </c>
      <c r="E387" t="s">
        <v>19</v>
      </c>
      <c r="F387" t="s">
        <v>22</v>
      </c>
      <c r="G387" t="s">
        <v>28</v>
      </c>
      <c r="H387" t="s">
        <v>32</v>
      </c>
      <c r="I387" t="s">
        <v>36</v>
      </c>
      <c r="J387" t="s">
        <v>38</v>
      </c>
      <c r="K387" t="s">
        <v>47</v>
      </c>
      <c r="L387" t="s">
        <v>51</v>
      </c>
      <c r="M387" s="7">
        <v>35357</v>
      </c>
      <c r="N387">
        <v>0.11</v>
      </c>
      <c r="O387" s="7">
        <v>8573</v>
      </c>
      <c r="P387">
        <v>6</v>
      </c>
      <c r="Q387" t="s">
        <v>56</v>
      </c>
      <c r="R387" t="s">
        <v>60</v>
      </c>
      <c r="S387">
        <f t="shared" ref="S387:S450" si="30">YEAR(B387)</f>
        <v>2022</v>
      </c>
      <c r="T387" t="str">
        <f t="shared" ref="T387:T450" si="31">TEXT(B387,"mmm")</f>
        <v>Jan</v>
      </c>
      <c r="U387">
        <f t="shared" ref="U387:U450" si="32">C387-B387</f>
        <v>6</v>
      </c>
      <c r="V387">
        <f t="shared" ref="V387:V450" si="33">D387-B387</f>
        <v>7</v>
      </c>
      <c r="W387" s="9">
        <f t="shared" ref="W387:W450" si="34">IFERROR(O387/M387,0)</f>
        <v>0.24246966654410726</v>
      </c>
    </row>
    <row r="388" spans="1:23">
      <c r="A388">
        <v>10387</v>
      </c>
      <c r="B388" s="5">
        <v>44583</v>
      </c>
      <c r="C388" s="5">
        <v>44587</v>
      </c>
      <c r="D388" s="5">
        <v>44590</v>
      </c>
      <c r="E388" t="s">
        <v>18</v>
      </c>
      <c r="F388" t="s">
        <v>22</v>
      </c>
      <c r="G388" t="s">
        <v>27</v>
      </c>
      <c r="H388" t="s">
        <v>31</v>
      </c>
      <c r="I388" t="s">
        <v>36</v>
      </c>
      <c r="J388" t="s">
        <v>37</v>
      </c>
      <c r="K388" t="s">
        <v>47</v>
      </c>
      <c r="L388" t="s">
        <v>53</v>
      </c>
      <c r="M388" s="7">
        <v>63694</v>
      </c>
      <c r="N388">
        <v>0.04</v>
      </c>
      <c r="O388" s="7">
        <v>10539</v>
      </c>
      <c r="P388">
        <v>10</v>
      </c>
      <c r="Q388" t="s">
        <v>56</v>
      </c>
      <c r="R388" t="s">
        <v>62</v>
      </c>
      <c r="S388">
        <f t="shared" si="30"/>
        <v>2022</v>
      </c>
      <c r="T388" t="str">
        <f t="shared" si="31"/>
        <v>Jan</v>
      </c>
      <c r="U388">
        <f t="shared" si="32"/>
        <v>4</v>
      </c>
      <c r="V388">
        <f t="shared" si="33"/>
        <v>7</v>
      </c>
      <c r="W388" s="9">
        <f t="shared" si="34"/>
        <v>0.16546299494457878</v>
      </c>
    </row>
    <row r="389" spans="1:23">
      <c r="A389">
        <v>10388</v>
      </c>
      <c r="B389" s="5">
        <v>44584</v>
      </c>
      <c r="C389" s="5">
        <v>44587</v>
      </c>
      <c r="D389" s="5">
        <v>44588</v>
      </c>
      <c r="E389" t="s">
        <v>20</v>
      </c>
      <c r="F389" t="s">
        <v>22</v>
      </c>
      <c r="G389" t="s">
        <v>23</v>
      </c>
      <c r="H389" t="s">
        <v>30</v>
      </c>
      <c r="I389" t="s">
        <v>36</v>
      </c>
      <c r="J389" t="s">
        <v>41</v>
      </c>
      <c r="K389" t="s">
        <v>45</v>
      </c>
      <c r="L389" t="s">
        <v>52</v>
      </c>
      <c r="M389" s="7">
        <v>16277</v>
      </c>
      <c r="N389">
        <v>0.38</v>
      </c>
      <c r="O389" s="7">
        <v>14543</v>
      </c>
      <c r="P389">
        <v>5</v>
      </c>
      <c r="Q389" t="s">
        <v>55</v>
      </c>
      <c r="R389" t="s">
        <v>61</v>
      </c>
      <c r="S389">
        <f t="shared" si="30"/>
        <v>2022</v>
      </c>
      <c r="T389" t="str">
        <f t="shared" si="31"/>
        <v>Jan</v>
      </c>
      <c r="U389">
        <f t="shared" si="32"/>
        <v>3</v>
      </c>
      <c r="V389">
        <f t="shared" si="33"/>
        <v>4</v>
      </c>
      <c r="W389" s="9">
        <f t="shared" si="34"/>
        <v>0.89346931252687845</v>
      </c>
    </row>
    <row r="390" spans="1:23">
      <c r="A390">
        <v>10389</v>
      </c>
      <c r="B390" s="5">
        <v>44585</v>
      </c>
      <c r="C390" s="5">
        <v>44590</v>
      </c>
      <c r="D390" s="5">
        <v>44592</v>
      </c>
      <c r="E390" t="s">
        <v>21</v>
      </c>
      <c r="F390" t="s">
        <v>22</v>
      </c>
      <c r="G390" t="s">
        <v>23</v>
      </c>
      <c r="H390" t="s">
        <v>32</v>
      </c>
      <c r="I390" t="s">
        <v>34</v>
      </c>
      <c r="J390" t="s">
        <v>42</v>
      </c>
      <c r="K390" t="s">
        <v>47</v>
      </c>
      <c r="L390" t="s">
        <v>52</v>
      </c>
      <c r="M390" s="7">
        <v>34449</v>
      </c>
      <c r="N390">
        <v>0.08</v>
      </c>
      <c r="O390" s="7">
        <v>4993</v>
      </c>
      <c r="P390">
        <v>7</v>
      </c>
      <c r="Q390" t="s">
        <v>58</v>
      </c>
      <c r="R390" t="s">
        <v>61</v>
      </c>
      <c r="S390">
        <f t="shared" si="30"/>
        <v>2022</v>
      </c>
      <c r="T390" t="str">
        <f t="shared" si="31"/>
        <v>Jan</v>
      </c>
      <c r="U390">
        <f t="shared" si="32"/>
        <v>5</v>
      </c>
      <c r="V390">
        <f t="shared" si="33"/>
        <v>7</v>
      </c>
      <c r="W390" s="9">
        <f t="shared" si="34"/>
        <v>0.14493889517837963</v>
      </c>
    </row>
    <row r="391" spans="1:23">
      <c r="A391">
        <v>10390</v>
      </c>
      <c r="B391" s="5">
        <v>44586</v>
      </c>
      <c r="C391" s="5">
        <v>44591</v>
      </c>
      <c r="D391" s="5">
        <v>44592</v>
      </c>
      <c r="E391" t="s">
        <v>19</v>
      </c>
      <c r="F391" t="s">
        <v>22</v>
      </c>
      <c r="G391" t="s">
        <v>26</v>
      </c>
      <c r="H391" t="s">
        <v>31</v>
      </c>
      <c r="I391" t="s">
        <v>34</v>
      </c>
      <c r="J391" t="s">
        <v>37</v>
      </c>
      <c r="K391" t="s">
        <v>48</v>
      </c>
      <c r="L391" t="s">
        <v>52</v>
      </c>
      <c r="M391" s="7">
        <v>72360</v>
      </c>
      <c r="N391">
        <v>0.36</v>
      </c>
      <c r="O391" s="7">
        <v>10507</v>
      </c>
      <c r="P391">
        <v>19</v>
      </c>
      <c r="Q391" t="s">
        <v>58</v>
      </c>
      <c r="R391" t="s">
        <v>59</v>
      </c>
      <c r="S391">
        <f t="shared" si="30"/>
        <v>2022</v>
      </c>
      <c r="T391" t="str">
        <f t="shared" si="31"/>
        <v>Jan</v>
      </c>
      <c r="U391">
        <f t="shared" si="32"/>
        <v>5</v>
      </c>
      <c r="V391">
        <f t="shared" si="33"/>
        <v>6</v>
      </c>
      <c r="W391" s="9">
        <f t="shared" si="34"/>
        <v>0.14520453289110005</v>
      </c>
    </row>
    <row r="392" spans="1:23">
      <c r="A392">
        <v>10391</v>
      </c>
      <c r="B392" s="5">
        <v>44587</v>
      </c>
      <c r="C392" s="5">
        <v>44593</v>
      </c>
      <c r="D392" s="5">
        <v>44595</v>
      </c>
      <c r="E392" t="s">
        <v>20</v>
      </c>
      <c r="F392" t="s">
        <v>22</v>
      </c>
      <c r="G392" t="s">
        <v>23</v>
      </c>
      <c r="H392" t="s">
        <v>25</v>
      </c>
      <c r="I392" t="s">
        <v>35</v>
      </c>
      <c r="J392" t="s">
        <v>37</v>
      </c>
      <c r="K392" t="s">
        <v>46</v>
      </c>
      <c r="L392" t="s">
        <v>52</v>
      </c>
      <c r="M392" s="7">
        <v>31414</v>
      </c>
      <c r="N392">
        <v>0</v>
      </c>
      <c r="O392" s="7">
        <v>6599</v>
      </c>
      <c r="P392">
        <v>14</v>
      </c>
      <c r="Q392" t="s">
        <v>58</v>
      </c>
      <c r="R392" t="s">
        <v>59</v>
      </c>
      <c r="S392">
        <f t="shared" si="30"/>
        <v>2022</v>
      </c>
      <c r="T392" t="str">
        <f t="shared" si="31"/>
        <v>Jan</v>
      </c>
      <c r="U392">
        <f t="shared" si="32"/>
        <v>6</v>
      </c>
      <c r="V392">
        <f t="shared" si="33"/>
        <v>8</v>
      </c>
      <c r="W392" s="9">
        <f t="shared" si="34"/>
        <v>0.21006557585789776</v>
      </c>
    </row>
    <row r="393" spans="1:23">
      <c r="A393">
        <v>10392</v>
      </c>
      <c r="B393" s="5">
        <v>44588</v>
      </c>
      <c r="C393" s="5">
        <v>44594</v>
      </c>
      <c r="D393" s="5">
        <v>44595</v>
      </c>
      <c r="E393" t="s">
        <v>21</v>
      </c>
      <c r="F393" t="s">
        <v>22</v>
      </c>
      <c r="G393" t="s">
        <v>23</v>
      </c>
      <c r="H393" t="s">
        <v>31</v>
      </c>
      <c r="I393" t="s">
        <v>35</v>
      </c>
      <c r="J393" t="s">
        <v>39</v>
      </c>
      <c r="K393" t="s">
        <v>47</v>
      </c>
      <c r="L393" t="s">
        <v>51</v>
      </c>
      <c r="M393" s="7">
        <v>24867</v>
      </c>
      <c r="N393">
        <v>0.11</v>
      </c>
      <c r="O393" s="7">
        <v>3122</v>
      </c>
      <c r="P393">
        <v>20</v>
      </c>
      <c r="Q393" t="s">
        <v>57</v>
      </c>
      <c r="R393" t="s">
        <v>59</v>
      </c>
      <c r="S393">
        <f t="shared" si="30"/>
        <v>2022</v>
      </c>
      <c r="T393" t="str">
        <f t="shared" si="31"/>
        <v>Jan</v>
      </c>
      <c r="U393">
        <f t="shared" si="32"/>
        <v>6</v>
      </c>
      <c r="V393">
        <f t="shared" si="33"/>
        <v>7</v>
      </c>
      <c r="W393" s="9">
        <f t="shared" si="34"/>
        <v>0.12554791490730688</v>
      </c>
    </row>
    <row r="394" spans="1:23">
      <c r="A394">
        <v>10393</v>
      </c>
      <c r="B394" s="5">
        <v>44589</v>
      </c>
      <c r="C394" s="5">
        <v>44596</v>
      </c>
      <c r="D394" s="5">
        <v>44600</v>
      </c>
      <c r="E394" t="s">
        <v>20</v>
      </c>
      <c r="F394" t="s">
        <v>22</v>
      </c>
      <c r="G394" t="s">
        <v>24</v>
      </c>
      <c r="H394" t="s">
        <v>25</v>
      </c>
      <c r="I394" t="s">
        <v>35</v>
      </c>
      <c r="J394" t="s">
        <v>38</v>
      </c>
      <c r="K394" t="s">
        <v>45</v>
      </c>
      <c r="L394" t="s">
        <v>51</v>
      </c>
      <c r="M394" s="7">
        <v>21389</v>
      </c>
      <c r="N394">
        <v>0.15</v>
      </c>
      <c r="O394" s="7">
        <v>14136</v>
      </c>
      <c r="P394">
        <v>14</v>
      </c>
      <c r="Q394" t="s">
        <v>55</v>
      </c>
      <c r="R394" t="s">
        <v>62</v>
      </c>
      <c r="S394">
        <f t="shared" si="30"/>
        <v>2022</v>
      </c>
      <c r="T394" t="str">
        <f t="shared" si="31"/>
        <v>Jan</v>
      </c>
      <c r="U394">
        <f t="shared" si="32"/>
        <v>7</v>
      </c>
      <c r="V394">
        <f t="shared" si="33"/>
        <v>11</v>
      </c>
      <c r="W394" s="9">
        <f t="shared" si="34"/>
        <v>0.66090046285473847</v>
      </c>
    </row>
    <row r="395" spans="1:23">
      <c r="A395">
        <v>10394</v>
      </c>
      <c r="B395" s="5">
        <v>44590</v>
      </c>
      <c r="C395" s="5">
        <v>44597</v>
      </c>
      <c r="D395" s="5">
        <v>44598</v>
      </c>
      <c r="E395" t="s">
        <v>21</v>
      </c>
      <c r="F395" t="s">
        <v>22</v>
      </c>
      <c r="G395" t="s">
        <v>26</v>
      </c>
      <c r="H395" t="s">
        <v>32</v>
      </c>
      <c r="I395" t="s">
        <v>35</v>
      </c>
      <c r="J395" t="s">
        <v>43</v>
      </c>
      <c r="K395" t="s">
        <v>50</v>
      </c>
      <c r="L395" t="s">
        <v>53</v>
      </c>
      <c r="M395" s="7">
        <v>63614</v>
      </c>
      <c r="N395">
        <v>0.23</v>
      </c>
      <c r="O395" s="7">
        <v>573</v>
      </c>
      <c r="P395">
        <v>23</v>
      </c>
      <c r="Q395" t="s">
        <v>55</v>
      </c>
      <c r="R395" t="s">
        <v>59</v>
      </c>
      <c r="S395">
        <f t="shared" si="30"/>
        <v>2022</v>
      </c>
      <c r="T395" t="str">
        <f t="shared" si="31"/>
        <v>Jan</v>
      </c>
      <c r="U395">
        <f t="shared" si="32"/>
        <v>7</v>
      </c>
      <c r="V395">
        <f t="shared" si="33"/>
        <v>8</v>
      </c>
      <c r="W395" s="9">
        <f t="shared" si="34"/>
        <v>9.0074511899896244E-3</v>
      </c>
    </row>
    <row r="396" spans="1:23">
      <c r="A396">
        <v>10395</v>
      </c>
      <c r="B396" s="5">
        <v>44591</v>
      </c>
      <c r="C396" s="5">
        <v>44593</v>
      </c>
      <c r="D396" s="5">
        <v>44595</v>
      </c>
      <c r="E396" t="s">
        <v>21</v>
      </c>
      <c r="F396" t="s">
        <v>22</v>
      </c>
      <c r="G396" t="s">
        <v>28</v>
      </c>
      <c r="H396" t="s">
        <v>32</v>
      </c>
      <c r="I396" t="s">
        <v>36</v>
      </c>
      <c r="J396" t="s">
        <v>37</v>
      </c>
      <c r="K396" t="s">
        <v>50</v>
      </c>
      <c r="L396" t="s">
        <v>52</v>
      </c>
      <c r="M396" s="7">
        <v>74031</v>
      </c>
      <c r="N396">
        <v>0.17</v>
      </c>
      <c r="O396" s="7">
        <v>1204</v>
      </c>
      <c r="P396">
        <v>8</v>
      </c>
      <c r="Q396" t="s">
        <v>55</v>
      </c>
      <c r="R396" t="s">
        <v>60</v>
      </c>
      <c r="S396">
        <f t="shared" si="30"/>
        <v>2022</v>
      </c>
      <c r="T396" t="str">
        <f t="shared" si="31"/>
        <v>Jan</v>
      </c>
      <c r="U396">
        <f t="shared" si="32"/>
        <v>2</v>
      </c>
      <c r="V396">
        <f t="shared" si="33"/>
        <v>4</v>
      </c>
      <c r="W396" s="9">
        <f t="shared" si="34"/>
        <v>1.626345720036201E-2</v>
      </c>
    </row>
    <row r="397" spans="1:23">
      <c r="A397">
        <v>10396</v>
      </c>
      <c r="B397" s="5">
        <v>44592</v>
      </c>
      <c r="C397" s="5">
        <v>44598</v>
      </c>
      <c r="D397" s="5">
        <v>44602</v>
      </c>
      <c r="E397" t="s">
        <v>20</v>
      </c>
      <c r="F397" t="s">
        <v>22</v>
      </c>
      <c r="G397" t="s">
        <v>26</v>
      </c>
      <c r="H397" t="s">
        <v>30</v>
      </c>
      <c r="I397" t="s">
        <v>36</v>
      </c>
      <c r="J397" t="s">
        <v>39</v>
      </c>
      <c r="K397" t="s">
        <v>45</v>
      </c>
      <c r="L397" t="s">
        <v>53</v>
      </c>
      <c r="M397" s="7">
        <v>66775</v>
      </c>
      <c r="N397">
        <v>0.05</v>
      </c>
      <c r="O397" s="7">
        <v>281</v>
      </c>
      <c r="P397">
        <v>16</v>
      </c>
      <c r="Q397" t="s">
        <v>56</v>
      </c>
      <c r="R397" t="s">
        <v>59</v>
      </c>
      <c r="S397">
        <f t="shared" si="30"/>
        <v>2022</v>
      </c>
      <c r="T397" t="str">
        <f t="shared" si="31"/>
        <v>Jan</v>
      </c>
      <c r="U397">
        <f t="shared" si="32"/>
        <v>6</v>
      </c>
      <c r="V397">
        <f t="shared" si="33"/>
        <v>10</v>
      </c>
      <c r="W397" s="9">
        <f t="shared" si="34"/>
        <v>4.2081617371770869E-3</v>
      </c>
    </row>
    <row r="398" spans="1:23">
      <c r="A398">
        <v>10397</v>
      </c>
      <c r="B398" s="5">
        <v>44593</v>
      </c>
      <c r="C398" s="5">
        <v>44600</v>
      </c>
      <c r="D398" s="5">
        <v>44602</v>
      </c>
      <c r="E398" t="s">
        <v>18</v>
      </c>
      <c r="F398" t="s">
        <v>22</v>
      </c>
      <c r="G398" t="s">
        <v>27</v>
      </c>
      <c r="H398" t="s">
        <v>32</v>
      </c>
      <c r="I398" t="s">
        <v>36</v>
      </c>
      <c r="J398" t="s">
        <v>41</v>
      </c>
      <c r="K398" t="s">
        <v>45</v>
      </c>
      <c r="L398" t="s">
        <v>52</v>
      </c>
      <c r="M398" s="7">
        <v>48486</v>
      </c>
      <c r="N398">
        <v>0.2</v>
      </c>
      <c r="O398" s="7">
        <v>3625</v>
      </c>
      <c r="P398">
        <v>24</v>
      </c>
      <c r="Q398" t="s">
        <v>57</v>
      </c>
      <c r="R398" t="s">
        <v>61</v>
      </c>
      <c r="S398">
        <f t="shared" si="30"/>
        <v>2022</v>
      </c>
      <c r="T398" t="str">
        <f t="shared" si="31"/>
        <v>Feb</v>
      </c>
      <c r="U398">
        <f t="shared" si="32"/>
        <v>7</v>
      </c>
      <c r="V398">
        <f t="shared" si="33"/>
        <v>9</v>
      </c>
      <c r="W398" s="9">
        <f t="shared" si="34"/>
        <v>7.476384935857773E-2</v>
      </c>
    </row>
    <row r="399" spans="1:23">
      <c r="A399">
        <v>10398</v>
      </c>
      <c r="B399" s="5">
        <v>44594</v>
      </c>
      <c r="C399" s="5">
        <v>44596</v>
      </c>
      <c r="D399" s="5">
        <v>44597</v>
      </c>
      <c r="E399" t="s">
        <v>18</v>
      </c>
      <c r="F399" t="s">
        <v>22</v>
      </c>
      <c r="G399" t="s">
        <v>24</v>
      </c>
      <c r="H399" t="s">
        <v>33</v>
      </c>
      <c r="I399" t="s">
        <v>36</v>
      </c>
      <c r="J399" t="s">
        <v>39</v>
      </c>
      <c r="K399" t="s">
        <v>44</v>
      </c>
      <c r="L399" t="s">
        <v>52</v>
      </c>
      <c r="M399" s="7">
        <v>66062</v>
      </c>
      <c r="N399">
        <v>0.31</v>
      </c>
      <c r="O399" s="7">
        <v>7542</v>
      </c>
      <c r="P399">
        <v>21</v>
      </c>
      <c r="Q399" t="s">
        <v>55</v>
      </c>
      <c r="R399" t="s">
        <v>60</v>
      </c>
      <c r="S399">
        <f t="shared" si="30"/>
        <v>2022</v>
      </c>
      <c r="T399" t="str">
        <f t="shared" si="31"/>
        <v>Feb</v>
      </c>
      <c r="U399">
        <f t="shared" si="32"/>
        <v>2</v>
      </c>
      <c r="V399">
        <f t="shared" si="33"/>
        <v>3</v>
      </c>
      <c r="W399" s="9">
        <f t="shared" si="34"/>
        <v>0.11416548091187066</v>
      </c>
    </row>
    <row r="400" spans="1:23">
      <c r="A400">
        <v>10399</v>
      </c>
      <c r="B400" s="5">
        <v>44595</v>
      </c>
      <c r="C400" s="5">
        <v>44599</v>
      </c>
      <c r="D400" s="5">
        <v>44601</v>
      </c>
      <c r="E400" t="s">
        <v>20</v>
      </c>
      <c r="F400" t="s">
        <v>22</v>
      </c>
      <c r="G400" t="s">
        <v>24</v>
      </c>
      <c r="H400" t="s">
        <v>30</v>
      </c>
      <c r="I400" t="s">
        <v>36</v>
      </c>
      <c r="J400" t="s">
        <v>39</v>
      </c>
      <c r="K400" t="s">
        <v>49</v>
      </c>
      <c r="L400" t="s">
        <v>52</v>
      </c>
      <c r="M400" s="7">
        <v>22074</v>
      </c>
      <c r="N400">
        <v>0.16</v>
      </c>
      <c r="O400" s="7">
        <v>16118</v>
      </c>
      <c r="P400">
        <v>5</v>
      </c>
      <c r="Q400" t="s">
        <v>56</v>
      </c>
      <c r="R400" t="s">
        <v>60</v>
      </c>
      <c r="S400">
        <f t="shared" si="30"/>
        <v>2022</v>
      </c>
      <c r="T400" t="str">
        <f t="shared" si="31"/>
        <v>Feb</v>
      </c>
      <c r="U400">
        <f t="shared" si="32"/>
        <v>4</v>
      </c>
      <c r="V400">
        <f t="shared" si="33"/>
        <v>6</v>
      </c>
      <c r="W400" s="9">
        <f t="shared" si="34"/>
        <v>0.73018030261846512</v>
      </c>
    </row>
    <row r="401" spans="1:23">
      <c r="A401">
        <v>10400</v>
      </c>
      <c r="B401" s="5">
        <v>44596</v>
      </c>
      <c r="C401" s="5">
        <v>44601</v>
      </c>
      <c r="D401" s="5">
        <v>44606</v>
      </c>
      <c r="E401" t="s">
        <v>20</v>
      </c>
      <c r="F401" t="s">
        <v>22</v>
      </c>
      <c r="G401" t="s">
        <v>26</v>
      </c>
      <c r="H401" t="s">
        <v>30</v>
      </c>
      <c r="I401" t="s">
        <v>35</v>
      </c>
      <c r="J401" t="s">
        <v>37</v>
      </c>
      <c r="K401" t="s">
        <v>48</v>
      </c>
      <c r="L401" t="s">
        <v>53</v>
      </c>
      <c r="M401" s="7">
        <v>5845</v>
      </c>
      <c r="N401">
        <v>0.06</v>
      </c>
      <c r="O401" s="7">
        <v>9702</v>
      </c>
      <c r="P401">
        <v>11</v>
      </c>
      <c r="Q401" t="s">
        <v>58</v>
      </c>
      <c r="R401" t="s">
        <v>60</v>
      </c>
      <c r="S401">
        <f t="shared" si="30"/>
        <v>2022</v>
      </c>
      <c r="T401" t="str">
        <f t="shared" si="31"/>
        <v>Feb</v>
      </c>
      <c r="U401">
        <f t="shared" si="32"/>
        <v>5</v>
      </c>
      <c r="V401">
        <f t="shared" si="33"/>
        <v>10</v>
      </c>
      <c r="W401" s="9">
        <f t="shared" si="34"/>
        <v>1.659880239520958</v>
      </c>
    </row>
    <row r="402" spans="1:23">
      <c r="A402">
        <v>10401</v>
      </c>
      <c r="B402" s="5">
        <v>44597</v>
      </c>
      <c r="C402" s="5">
        <v>44599</v>
      </c>
      <c r="D402" s="5">
        <v>44603</v>
      </c>
      <c r="E402" t="s">
        <v>21</v>
      </c>
      <c r="F402" t="s">
        <v>22</v>
      </c>
      <c r="G402" t="s">
        <v>26</v>
      </c>
      <c r="H402" t="s">
        <v>31</v>
      </c>
      <c r="I402" t="s">
        <v>36</v>
      </c>
      <c r="J402" t="s">
        <v>42</v>
      </c>
      <c r="K402" t="s">
        <v>50</v>
      </c>
      <c r="L402" t="s">
        <v>51</v>
      </c>
      <c r="M402" s="7">
        <v>41885</v>
      </c>
      <c r="N402">
        <v>0.26</v>
      </c>
      <c r="O402" s="7">
        <v>9207</v>
      </c>
      <c r="P402">
        <v>8</v>
      </c>
      <c r="Q402" t="s">
        <v>56</v>
      </c>
      <c r="R402" t="s">
        <v>61</v>
      </c>
      <c r="S402">
        <f t="shared" si="30"/>
        <v>2022</v>
      </c>
      <c r="T402" t="str">
        <f t="shared" si="31"/>
        <v>Feb</v>
      </c>
      <c r="U402">
        <f t="shared" si="32"/>
        <v>2</v>
      </c>
      <c r="V402">
        <f t="shared" si="33"/>
        <v>6</v>
      </c>
      <c r="W402" s="9">
        <f t="shared" si="34"/>
        <v>0.21981616330428555</v>
      </c>
    </row>
    <row r="403" spans="1:23">
      <c r="A403">
        <v>10402</v>
      </c>
      <c r="B403" s="5">
        <v>44598</v>
      </c>
      <c r="C403" s="5">
        <v>44603</v>
      </c>
      <c r="D403" s="5">
        <v>44608</v>
      </c>
      <c r="E403" t="s">
        <v>18</v>
      </c>
      <c r="F403" t="s">
        <v>22</v>
      </c>
      <c r="G403" t="s">
        <v>26</v>
      </c>
      <c r="H403" t="s">
        <v>32</v>
      </c>
      <c r="I403" t="s">
        <v>35</v>
      </c>
      <c r="J403" t="s">
        <v>38</v>
      </c>
      <c r="K403" t="s">
        <v>49</v>
      </c>
      <c r="L403" t="s">
        <v>53</v>
      </c>
      <c r="M403" s="7">
        <v>4041</v>
      </c>
      <c r="N403">
        <v>0.21</v>
      </c>
      <c r="O403" s="7">
        <v>5472</v>
      </c>
      <c r="P403">
        <v>20</v>
      </c>
      <c r="Q403" t="s">
        <v>56</v>
      </c>
      <c r="R403" t="s">
        <v>59</v>
      </c>
      <c r="S403">
        <f t="shared" si="30"/>
        <v>2022</v>
      </c>
      <c r="T403" t="str">
        <f t="shared" si="31"/>
        <v>Feb</v>
      </c>
      <c r="U403">
        <f t="shared" si="32"/>
        <v>5</v>
      </c>
      <c r="V403">
        <f t="shared" si="33"/>
        <v>10</v>
      </c>
      <c r="W403" s="9">
        <f t="shared" si="34"/>
        <v>1.354120267260579</v>
      </c>
    </row>
    <row r="404" spans="1:23">
      <c r="A404">
        <v>10403</v>
      </c>
      <c r="B404" s="5">
        <v>44599</v>
      </c>
      <c r="C404" s="5">
        <v>44602</v>
      </c>
      <c r="D404" s="5">
        <v>44604</v>
      </c>
      <c r="E404" t="s">
        <v>20</v>
      </c>
      <c r="F404" t="s">
        <v>22</v>
      </c>
      <c r="G404" t="s">
        <v>23</v>
      </c>
      <c r="H404" t="s">
        <v>31</v>
      </c>
      <c r="I404" t="s">
        <v>34</v>
      </c>
      <c r="J404" t="s">
        <v>38</v>
      </c>
      <c r="K404" t="s">
        <v>50</v>
      </c>
      <c r="L404" t="s">
        <v>52</v>
      </c>
      <c r="M404" s="7">
        <v>17692</v>
      </c>
      <c r="N404">
        <v>0.13</v>
      </c>
      <c r="O404" s="7">
        <v>1609</v>
      </c>
      <c r="P404">
        <v>20</v>
      </c>
      <c r="Q404" t="s">
        <v>58</v>
      </c>
      <c r="R404" t="s">
        <v>59</v>
      </c>
      <c r="S404">
        <f t="shared" si="30"/>
        <v>2022</v>
      </c>
      <c r="T404" t="str">
        <f t="shared" si="31"/>
        <v>Feb</v>
      </c>
      <c r="U404">
        <f t="shared" si="32"/>
        <v>3</v>
      </c>
      <c r="V404">
        <f t="shared" si="33"/>
        <v>5</v>
      </c>
      <c r="W404" s="9">
        <f t="shared" si="34"/>
        <v>9.0945059914085469E-2</v>
      </c>
    </row>
    <row r="405" spans="1:23">
      <c r="A405">
        <v>10404</v>
      </c>
      <c r="B405" s="5">
        <v>44600</v>
      </c>
      <c r="C405" s="5">
        <v>44604</v>
      </c>
      <c r="D405" s="5">
        <v>44608</v>
      </c>
      <c r="E405" t="s">
        <v>19</v>
      </c>
      <c r="F405" t="s">
        <v>22</v>
      </c>
      <c r="G405" t="s">
        <v>23</v>
      </c>
      <c r="H405" t="s">
        <v>25</v>
      </c>
      <c r="I405" t="s">
        <v>36</v>
      </c>
      <c r="J405" t="s">
        <v>38</v>
      </c>
      <c r="K405" t="s">
        <v>49</v>
      </c>
      <c r="L405" t="s">
        <v>53</v>
      </c>
      <c r="M405" s="7">
        <v>6183</v>
      </c>
      <c r="N405">
        <v>0.38</v>
      </c>
      <c r="O405" s="7">
        <v>13145</v>
      </c>
      <c r="P405">
        <v>18</v>
      </c>
      <c r="Q405" t="s">
        <v>57</v>
      </c>
      <c r="R405" t="s">
        <v>61</v>
      </c>
      <c r="S405">
        <f t="shared" si="30"/>
        <v>2022</v>
      </c>
      <c r="T405" t="str">
        <f t="shared" si="31"/>
        <v>Feb</v>
      </c>
      <c r="U405">
        <f t="shared" si="32"/>
        <v>4</v>
      </c>
      <c r="V405">
        <f t="shared" si="33"/>
        <v>8</v>
      </c>
      <c r="W405" s="9">
        <f t="shared" si="34"/>
        <v>2.125990619440401</v>
      </c>
    </row>
    <row r="406" spans="1:23">
      <c r="A406">
        <v>10405</v>
      </c>
      <c r="B406" s="5">
        <v>44601</v>
      </c>
      <c r="C406" s="5">
        <v>44607</v>
      </c>
      <c r="D406" s="5">
        <v>44612</v>
      </c>
      <c r="E406" t="s">
        <v>21</v>
      </c>
      <c r="F406" t="s">
        <v>22</v>
      </c>
      <c r="G406" t="s">
        <v>28</v>
      </c>
      <c r="H406" t="s">
        <v>33</v>
      </c>
      <c r="I406" t="s">
        <v>36</v>
      </c>
      <c r="J406" t="s">
        <v>43</v>
      </c>
      <c r="K406" t="s">
        <v>49</v>
      </c>
      <c r="L406" t="s">
        <v>52</v>
      </c>
      <c r="M406" s="7">
        <v>10458</v>
      </c>
      <c r="N406">
        <v>0.06</v>
      </c>
      <c r="O406" s="7">
        <v>12835</v>
      </c>
      <c r="P406">
        <v>4</v>
      </c>
      <c r="Q406" t="s">
        <v>58</v>
      </c>
      <c r="R406" t="s">
        <v>62</v>
      </c>
      <c r="S406">
        <f t="shared" si="30"/>
        <v>2022</v>
      </c>
      <c r="T406" t="str">
        <f t="shared" si="31"/>
        <v>Feb</v>
      </c>
      <c r="U406">
        <f t="shared" si="32"/>
        <v>6</v>
      </c>
      <c r="V406">
        <f t="shared" si="33"/>
        <v>11</v>
      </c>
      <c r="W406" s="9">
        <f t="shared" si="34"/>
        <v>1.2272901128322815</v>
      </c>
    </row>
    <row r="407" spans="1:23">
      <c r="A407">
        <v>10406</v>
      </c>
      <c r="B407" s="5">
        <v>44602</v>
      </c>
      <c r="C407" s="5">
        <v>44606</v>
      </c>
      <c r="D407" s="5">
        <v>44607</v>
      </c>
      <c r="E407" t="s">
        <v>21</v>
      </c>
      <c r="F407" t="s">
        <v>22</v>
      </c>
      <c r="G407" t="s">
        <v>25</v>
      </c>
      <c r="H407" t="s">
        <v>29</v>
      </c>
      <c r="I407" t="s">
        <v>36</v>
      </c>
      <c r="J407" t="s">
        <v>42</v>
      </c>
      <c r="K407" t="s">
        <v>49</v>
      </c>
      <c r="L407" t="s">
        <v>53</v>
      </c>
      <c r="M407" s="7">
        <v>13637</v>
      </c>
      <c r="N407">
        <v>0.32</v>
      </c>
      <c r="O407" s="7">
        <v>5385</v>
      </c>
      <c r="P407">
        <v>12</v>
      </c>
      <c r="Q407" t="s">
        <v>57</v>
      </c>
      <c r="R407" t="s">
        <v>61</v>
      </c>
      <c r="S407">
        <f t="shared" si="30"/>
        <v>2022</v>
      </c>
      <c r="T407" t="str">
        <f t="shared" si="31"/>
        <v>Feb</v>
      </c>
      <c r="U407">
        <f t="shared" si="32"/>
        <v>4</v>
      </c>
      <c r="V407">
        <f t="shared" si="33"/>
        <v>5</v>
      </c>
      <c r="W407" s="9">
        <f t="shared" si="34"/>
        <v>0.39488157219329767</v>
      </c>
    </row>
    <row r="408" spans="1:23">
      <c r="A408">
        <v>10407</v>
      </c>
      <c r="B408" s="5">
        <v>44603</v>
      </c>
      <c r="C408" s="5">
        <v>44610</v>
      </c>
      <c r="D408" s="5">
        <v>44611</v>
      </c>
      <c r="E408" t="s">
        <v>21</v>
      </c>
      <c r="F408" t="s">
        <v>22</v>
      </c>
      <c r="G408" t="s">
        <v>24</v>
      </c>
      <c r="H408" t="s">
        <v>32</v>
      </c>
      <c r="I408" t="s">
        <v>35</v>
      </c>
      <c r="J408" t="s">
        <v>39</v>
      </c>
      <c r="K408" t="s">
        <v>49</v>
      </c>
      <c r="L408" t="s">
        <v>53</v>
      </c>
      <c r="M408" s="7">
        <v>35295</v>
      </c>
      <c r="N408">
        <v>0.24</v>
      </c>
      <c r="O408" s="7">
        <v>10700</v>
      </c>
      <c r="P408">
        <v>20</v>
      </c>
      <c r="Q408" t="s">
        <v>57</v>
      </c>
      <c r="R408" t="s">
        <v>61</v>
      </c>
      <c r="S408">
        <f t="shared" si="30"/>
        <v>2022</v>
      </c>
      <c r="T408" t="str">
        <f t="shared" si="31"/>
        <v>Feb</v>
      </c>
      <c r="U408">
        <f t="shared" si="32"/>
        <v>7</v>
      </c>
      <c r="V408">
        <f t="shared" si="33"/>
        <v>8</v>
      </c>
      <c r="W408" s="9">
        <f t="shared" si="34"/>
        <v>0.30315908768947442</v>
      </c>
    </row>
    <row r="409" spans="1:23">
      <c r="A409">
        <v>10408</v>
      </c>
      <c r="B409" s="5">
        <v>44604</v>
      </c>
      <c r="C409" s="5">
        <v>44609</v>
      </c>
      <c r="D409" s="5">
        <v>44613</v>
      </c>
      <c r="E409" t="s">
        <v>19</v>
      </c>
      <c r="F409" t="s">
        <v>22</v>
      </c>
      <c r="G409" t="s">
        <v>27</v>
      </c>
      <c r="H409" t="s">
        <v>33</v>
      </c>
      <c r="I409" t="s">
        <v>35</v>
      </c>
      <c r="J409" t="s">
        <v>43</v>
      </c>
      <c r="K409" t="s">
        <v>45</v>
      </c>
      <c r="L409" t="s">
        <v>52</v>
      </c>
      <c r="M409" s="7">
        <v>6801</v>
      </c>
      <c r="N409">
        <v>0.25</v>
      </c>
      <c r="O409" s="7">
        <v>7135</v>
      </c>
      <c r="P409">
        <v>3</v>
      </c>
      <c r="Q409" t="s">
        <v>58</v>
      </c>
      <c r="R409" t="s">
        <v>61</v>
      </c>
      <c r="S409">
        <f t="shared" si="30"/>
        <v>2022</v>
      </c>
      <c r="T409" t="str">
        <f t="shared" si="31"/>
        <v>Feb</v>
      </c>
      <c r="U409">
        <f t="shared" si="32"/>
        <v>5</v>
      </c>
      <c r="V409">
        <f t="shared" si="33"/>
        <v>9</v>
      </c>
      <c r="W409" s="9">
        <f t="shared" si="34"/>
        <v>1.0491104249375092</v>
      </c>
    </row>
    <row r="410" spans="1:23">
      <c r="A410">
        <v>10409</v>
      </c>
      <c r="B410" s="5">
        <v>44605</v>
      </c>
      <c r="C410" s="5">
        <v>44608</v>
      </c>
      <c r="D410" s="5">
        <v>44612</v>
      </c>
      <c r="E410" t="s">
        <v>21</v>
      </c>
      <c r="F410" t="s">
        <v>22</v>
      </c>
      <c r="G410" t="s">
        <v>24</v>
      </c>
      <c r="H410" t="s">
        <v>30</v>
      </c>
      <c r="I410" t="s">
        <v>35</v>
      </c>
      <c r="J410" t="s">
        <v>43</v>
      </c>
      <c r="K410" t="s">
        <v>49</v>
      </c>
      <c r="L410" t="s">
        <v>53</v>
      </c>
      <c r="M410" s="7">
        <v>34467</v>
      </c>
      <c r="N410">
        <v>0.12</v>
      </c>
      <c r="O410" s="7">
        <v>4925</v>
      </c>
      <c r="P410">
        <v>1</v>
      </c>
      <c r="Q410" t="s">
        <v>57</v>
      </c>
      <c r="R410" t="s">
        <v>60</v>
      </c>
      <c r="S410">
        <f t="shared" si="30"/>
        <v>2022</v>
      </c>
      <c r="T410" t="str">
        <f t="shared" si="31"/>
        <v>Feb</v>
      </c>
      <c r="U410">
        <f t="shared" si="32"/>
        <v>3</v>
      </c>
      <c r="V410">
        <f t="shared" si="33"/>
        <v>7</v>
      </c>
      <c r="W410" s="9">
        <f t="shared" si="34"/>
        <v>0.14289030086749643</v>
      </c>
    </row>
    <row r="411" spans="1:23">
      <c r="A411">
        <v>10410</v>
      </c>
      <c r="B411" s="5">
        <v>44606</v>
      </c>
      <c r="C411" s="5">
        <v>44612</v>
      </c>
      <c r="D411" s="5">
        <v>44616</v>
      </c>
      <c r="E411" t="s">
        <v>21</v>
      </c>
      <c r="F411" t="s">
        <v>22</v>
      </c>
      <c r="G411" t="s">
        <v>23</v>
      </c>
      <c r="H411" t="s">
        <v>33</v>
      </c>
      <c r="I411" t="s">
        <v>35</v>
      </c>
      <c r="J411" t="s">
        <v>40</v>
      </c>
      <c r="K411" t="s">
        <v>50</v>
      </c>
      <c r="L411" t="s">
        <v>51</v>
      </c>
      <c r="M411" s="7">
        <v>10235</v>
      </c>
      <c r="N411">
        <v>0.18</v>
      </c>
      <c r="O411" s="7">
        <v>11607</v>
      </c>
      <c r="P411">
        <v>1</v>
      </c>
      <c r="Q411" t="s">
        <v>58</v>
      </c>
      <c r="R411" t="s">
        <v>62</v>
      </c>
      <c r="S411">
        <f t="shared" si="30"/>
        <v>2022</v>
      </c>
      <c r="T411" t="str">
        <f t="shared" si="31"/>
        <v>Feb</v>
      </c>
      <c r="U411">
        <f t="shared" si="32"/>
        <v>6</v>
      </c>
      <c r="V411">
        <f t="shared" si="33"/>
        <v>10</v>
      </c>
      <c r="W411" s="9">
        <f t="shared" si="34"/>
        <v>1.1340498290180752</v>
      </c>
    </row>
    <row r="412" spans="1:23">
      <c r="A412">
        <v>10411</v>
      </c>
      <c r="B412" s="5">
        <v>44607</v>
      </c>
      <c r="C412" s="5">
        <v>44610</v>
      </c>
      <c r="D412" s="5">
        <v>44614</v>
      </c>
      <c r="E412" t="s">
        <v>20</v>
      </c>
      <c r="F412" t="s">
        <v>22</v>
      </c>
      <c r="G412" t="s">
        <v>26</v>
      </c>
      <c r="H412" t="s">
        <v>31</v>
      </c>
      <c r="I412" t="s">
        <v>36</v>
      </c>
      <c r="J412" t="s">
        <v>42</v>
      </c>
      <c r="K412" t="s">
        <v>49</v>
      </c>
      <c r="L412" t="s">
        <v>52</v>
      </c>
      <c r="M412" s="7">
        <v>26373</v>
      </c>
      <c r="N412">
        <v>0.14000000000000001</v>
      </c>
      <c r="O412" s="7">
        <v>19135</v>
      </c>
      <c r="P412">
        <v>10</v>
      </c>
      <c r="Q412" t="s">
        <v>56</v>
      </c>
      <c r="R412" t="s">
        <v>59</v>
      </c>
      <c r="S412">
        <f t="shared" si="30"/>
        <v>2022</v>
      </c>
      <c r="T412" t="str">
        <f t="shared" si="31"/>
        <v>Feb</v>
      </c>
      <c r="U412">
        <f t="shared" si="32"/>
        <v>3</v>
      </c>
      <c r="V412">
        <f t="shared" si="33"/>
        <v>7</v>
      </c>
      <c r="W412" s="9">
        <f t="shared" si="34"/>
        <v>0.72555264854206958</v>
      </c>
    </row>
    <row r="413" spans="1:23">
      <c r="A413">
        <v>10412</v>
      </c>
      <c r="B413" s="5">
        <v>44608</v>
      </c>
      <c r="C413" s="5">
        <v>44615</v>
      </c>
      <c r="D413" s="5">
        <v>44617</v>
      </c>
      <c r="E413" t="s">
        <v>21</v>
      </c>
      <c r="F413" t="s">
        <v>22</v>
      </c>
      <c r="G413" t="s">
        <v>23</v>
      </c>
      <c r="H413" t="s">
        <v>30</v>
      </c>
      <c r="I413" t="s">
        <v>34</v>
      </c>
      <c r="J413" t="s">
        <v>42</v>
      </c>
      <c r="K413" t="s">
        <v>48</v>
      </c>
      <c r="L413" t="s">
        <v>51</v>
      </c>
      <c r="M413" s="7">
        <v>32422</v>
      </c>
      <c r="N413">
        <v>0.03</v>
      </c>
      <c r="O413" s="7">
        <v>1655</v>
      </c>
      <c r="P413">
        <v>7</v>
      </c>
      <c r="Q413" t="s">
        <v>54</v>
      </c>
      <c r="R413" t="s">
        <v>62</v>
      </c>
      <c r="S413">
        <f t="shared" si="30"/>
        <v>2022</v>
      </c>
      <c r="T413" t="str">
        <f t="shared" si="31"/>
        <v>Feb</v>
      </c>
      <c r="U413">
        <f t="shared" si="32"/>
        <v>7</v>
      </c>
      <c r="V413">
        <f t="shared" si="33"/>
        <v>9</v>
      </c>
      <c r="W413" s="9">
        <f t="shared" si="34"/>
        <v>5.1045586330269573E-2</v>
      </c>
    </row>
    <row r="414" spans="1:23">
      <c r="A414">
        <v>10413</v>
      </c>
      <c r="B414" s="5">
        <v>44609</v>
      </c>
      <c r="C414" s="5">
        <v>44616</v>
      </c>
      <c r="D414" s="5">
        <v>44617</v>
      </c>
      <c r="E414" t="s">
        <v>19</v>
      </c>
      <c r="F414" t="s">
        <v>22</v>
      </c>
      <c r="G414" t="s">
        <v>25</v>
      </c>
      <c r="H414" t="s">
        <v>25</v>
      </c>
      <c r="I414" t="s">
        <v>35</v>
      </c>
      <c r="J414" t="s">
        <v>41</v>
      </c>
      <c r="K414" t="s">
        <v>45</v>
      </c>
      <c r="L414" t="s">
        <v>51</v>
      </c>
      <c r="M414" s="7">
        <v>61008</v>
      </c>
      <c r="N414">
        <v>0.33</v>
      </c>
      <c r="O414" s="7">
        <v>12053</v>
      </c>
      <c r="P414">
        <v>8</v>
      </c>
      <c r="Q414" t="s">
        <v>58</v>
      </c>
      <c r="R414" t="s">
        <v>59</v>
      </c>
      <c r="S414">
        <f t="shared" si="30"/>
        <v>2022</v>
      </c>
      <c r="T414" t="str">
        <f t="shared" si="31"/>
        <v>Feb</v>
      </c>
      <c r="U414">
        <f t="shared" si="32"/>
        <v>7</v>
      </c>
      <c r="V414">
        <f t="shared" si="33"/>
        <v>8</v>
      </c>
      <c r="W414" s="9">
        <f t="shared" si="34"/>
        <v>0.19756425386834514</v>
      </c>
    </row>
    <row r="415" spans="1:23">
      <c r="A415">
        <v>10414</v>
      </c>
      <c r="B415" s="5">
        <v>44610</v>
      </c>
      <c r="C415" s="5">
        <v>44612</v>
      </c>
      <c r="D415" s="5">
        <v>44615</v>
      </c>
      <c r="E415" t="s">
        <v>21</v>
      </c>
      <c r="F415" t="s">
        <v>22</v>
      </c>
      <c r="G415" t="s">
        <v>27</v>
      </c>
      <c r="H415" t="s">
        <v>33</v>
      </c>
      <c r="I415" t="s">
        <v>34</v>
      </c>
      <c r="J415" t="s">
        <v>42</v>
      </c>
      <c r="K415" t="s">
        <v>48</v>
      </c>
      <c r="L415" t="s">
        <v>53</v>
      </c>
      <c r="M415" s="7">
        <v>39676</v>
      </c>
      <c r="N415">
        <v>0.36</v>
      </c>
      <c r="O415" s="7">
        <v>-885</v>
      </c>
      <c r="P415">
        <v>3</v>
      </c>
      <c r="Q415" t="s">
        <v>57</v>
      </c>
      <c r="R415" t="s">
        <v>61</v>
      </c>
      <c r="S415">
        <f t="shared" si="30"/>
        <v>2022</v>
      </c>
      <c r="T415" t="str">
        <f t="shared" si="31"/>
        <v>Feb</v>
      </c>
      <c r="U415">
        <f t="shared" si="32"/>
        <v>2</v>
      </c>
      <c r="V415">
        <f t="shared" si="33"/>
        <v>5</v>
      </c>
      <c r="W415" s="9">
        <f t="shared" si="34"/>
        <v>-2.2305675975400747E-2</v>
      </c>
    </row>
    <row r="416" spans="1:23">
      <c r="A416">
        <v>10415</v>
      </c>
      <c r="B416" s="5">
        <v>44611</v>
      </c>
      <c r="C416" s="5">
        <v>44617</v>
      </c>
      <c r="D416" s="5">
        <v>44618</v>
      </c>
      <c r="E416" t="s">
        <v>19</v>
      </c>
      <c r="F416" t="s">
        <v>22</v>
      </c>
      <c r="G416" t="s">
        <v>24</v>
      </c>
      <c r="H416" t="s">
        <v>32</v>
      </c>
      <c r="I416" t="s">
        <v>36</v>
      </c>
      <c r="J416" t="s">
        <v>42</v>
      </c>
      <c r="K416" t="s">
        <v>47</v>
      </c>
      <c r="L416" t="s">
        <v>51</v>
      </c>
      <c r="M416" s="7">
        <v>17615</v>
      </c>
      <c r="N416">
        <v>0.19</v>
      </c>
      <c r="O416" s="7">
        <v>10489</v>
      </c>
      <c r="P416">
        <v>8</v>
      </c>
      <c r="Q416" t="s">
        <v>55</v>
      </c>
      <c r="R416" t="s">
        <v>61</v>
      </c>
      <c r="S416">
        <f t="shared" si="30"/>
        <v>2022</v>
      </c>
      <c r="T416" t="str">
        <f t="shared" si="31"/>
        <v>Feb</v>
      </c>
      <c r="U416">
        <f t="shared" si="32"/>
        <v>6</v>
      </c>
      <c r="V416">
        <f t="shared" si="33"/>
        <v>7</v>
      </c>
      <c r="W416" s="9">
        <f t="shared" si="34"/>
        <v>0.59545841612262274</v>
      </c>
    </row>
    <row r="417" spans="1:23">
      <c r="A417">
        <v>10416</v>
      </c>
      <c r="B417" s="5">
        <v>44612</v>
      </c>
      <c r="C417" s="5">
        <v>44615</v>
      </c>
      <c r="D417" s="5">
        <v>44620</v>
      </c>
      <c r="E417" t="s">
        <v>20</v>
      </c>
      <c r="F417" t="s">
        <v>22</v>
      </c>
      <c r="G417" t="s">
        <v>24</v>
      </c>
      <c r="H417" t="s">
        <v>32</v>
      </c>
      <c r="I417" t="s">
        <v>35</v>
      </c>
      <c r="J417" t="s">
        <v>39</v>
      </c>
      <c r="K417" t="s">
        <v>45</v>
      </c>
      <c r="L417" t="s">
        <v>53</v>
      </c>
      <c r="M417" s="7">
        <v>8254</v>
      </c>
      <c r="N417">
        <v>0.09</v>
      </c>
      <c r="O417" s="7">
        <v>3945</v>
      </c>
      <c r="P417">
        <v>6</v>
      </c>
      <c r="Q417" t="s">
        <v>54</v>
      </c>
      <c r="R417" t="s">
        <v>59</v>
      </c>
      <c r="S417">
        <f t="shared" si="30"/>
        <v>2022</v>
      </c>
      <c r="T417" t="str">
        <f t="shared" si="31"/>
        <v>Feb</v>
      </c>
      <c r="U417">
        <f t="shared" si="32"/>
        <v>3</v>
      </c>
      <c r="V417">
        <f t="shared" si="33"/>
        <v>8</v>
      </c>
      <c r="W417" s="9">
        <f t="shared" si="34"/>
        <v>0.47795008480736612</v>
      </c>
    </row>
    <row r="418" spans="1:23">
      <c r="A418">
        <v>10417</v>
      </c>
      <c r="B418" s="5">
        <v>44613</v>
      </c>
      <c r="C418" s="5">
        <v>44620</v>
      </c>
      <c r="D418" s="5">
        <v>44624</v>
      </c>
      <c r="E418" t="s">
        <v>18</v>
      </c>
      <c r="F418" t="s">
        <v>22</v>
      </c>
      <c r="G418" t="s">
        <v>25</v>
      </c>
      <c r="H418" t="s">
        <v>32</v>
      </c>
      <c r="I418" t="s">
        <v>34</v>
      </c>
      <c r="J418" t="s">
        <v>37</v>
      </c>
      <c r="K418" t="s">
        <v>46</v>
      </c>
      <c r="L418" t="s">
        <v>52</v>
      </c>
      <c r="M418" s="7">
        <v>19222</v>
      </c>
      <c r="N418">
        <v>0.15</v>
      </c>
      <c r="O418" s="7">
        <v>15721</v>
      </c>
      <c r="P418">
        <v>3</v>
      </c>
      <c r="Q418" t="s">
        <v>56</v>
      </c>
      <c r="R418" t="s">
        <v>61</v>
      </c>
      <c r="S418">
        <f t="shared" si="30"/>
        <v>2022</v>
      </c>
      <c r="T418" t="str">
        <f t="shared" si="31"/>
        <v>Feb</v>
      </c>
      <c r="U418">
        <f t="shared" si="32"/>
        <v>7</v>
      </c>
      <c r="V418">
        <f t="shared" si="33"/>
        <v>11</v>
      </c>
      <c r="W418" s="9">
        <f t="shared" si="34"/>
        <v>0.81786494641556551</v>
      </c>
    </row>
    <row r="419" spans="1:23">
      <c r="A419">
        <v>10418</v>
      </c>
      <c r="B419" s="5">
        <v>44614</v>
      </c>
      <c r="C419" s="5">
        <v>44616</v>
      </c>
      <c r="D419" s="5">
        <v>44618</v>
      </c>
      <c r="E419" t="s">
        <v>18</v>
      </c>
      <c r="F419" t="s">
        <v>22</v>
      </c>
      <c r="G419" t="s">
        <v>23</v>
      </c>
      <c r="H419" t="s">
        <v>29</v>
      </c>
      <c r="I419" t="s">
        <v>36</v>
      </c>
      <c r="J419" t="s">
        <v>39</v>
      </c>
      <c r="K419" t="s">
        <v>49</v>
      </c>
      <c r="L419" t="s">
        <v>51</v>
      </c>
      <c r="M419" s="7">
        <v>27543</v>
      </c>
      <c r="N419">
        <v>0.12</v>
      </c>
      <c r="O419" s="7">
        <v>12282</v>
      </c>
      <c r="P419">
        <v>9</v>
      </c>
      <c r="Q419" t="s">
        <v>58</v>
      </c>
      <c r="R419" t="s">
        <v>61</v>
      </c>
      <c r="S419">
        <f t="shared" si="30"/>
        <v>2022</v>
      </c>
      <c r="T419" t="str">
        <f t="shared" si="31"/>
        <v>Feb</v>
      </c>
      <c r="U419">
        <f t="shared" si="32"/>
        <v>2</v>
      </c>
      <c r="V419">
        <f t="shared" si="33"/>
        <v>4</v>
      </c>
      <c r="W419" s="9">
        <f t="shared" si="34"/>
        <v>0.44592092364666158</v>
      </c>
    </row>
    <row r="420" spans="1:23">
      <c r="A420">
        <v>10419</v>
      </c>
      <c r="B420" s="5">
        <v>44615</v>
      </c>
      <c r="C420" s="5">
        <v>44622</v>
      </c>
      <c r="D420" s="5">
        <v>44625</v>
      </c>
      <c r="E420" t="s">
        <v>18</v>
      </c>
      <c r="F420" t="s">
        <v>22</v>
      </c>
      <c r="G420" t="s">
        <v>28</v>
      </c>
      <c r="H420" t="s">
        <v>30</v>
      </c>
      <c r="I420" t="s">
        <v>36</v>
      </c>
      <c r="J420" t="s">
        <v>41</v>
      </c>
      <c r="K420" t="s">
        <v>47</v>
      </c>
      <c r="L420" t="s">
        <v>53</v>
      </c>
      <c r="M420" s="7">
        <v>56685</v>
      </c>
      <c r="N420">
        <v>0.28000000000000003</v>
      </c>
      <c r="O420" s="7">
        <v>19351</v>
      </c>
      <c r="P420">
        <v>9</v>
      </c>
      <c r="Q420" t="s">
        <v>56</v>
      </c>
      <c r="R420" t="s">
        <v>60</v>
      </c>
      <c r="S420">
        <f t="shared" si="30"/>
        <v>2022</v>
      </c>
      <c r="T420" t="str">
        <f t="shared" si="31"/>
        <v>Feb</v>
      </c>
      <c r="U420">
        <f t="shared" si="32"/>
        <v>7</v>
      </c>
      <c r="V420">
        <f t="shared" si="33"/>
        <v>10</v>
      </c>
      <c r="W420" s="9">
        <f t="shared" si="34"/>
        <v>0.34137778953867864</v>
      </c>
    </row>
    <row r="421" spans="1:23">
      <c r="A421">
        <v>10420</v>
      </c>
      <c r="B421" s="5">
        <v>44616</v>
      </c>
      <c r="C421" s="5">
        <v>44620</v>
      </c>
      <c r="D421" s="5">
        <v>44622</v>
      </c>
      <c r="E421" t="s">
        <v>19</v>
      </c>
      <c r="F421" t="s">
        <v>22</v>
      </c>
      <c r="G421" t="s">
        <v>27</v>
      </c>
      <c r="H421" t="s">
        <v>25</v>
      </c>
      <c r="I421" t="s">
        <v>35</v>
      </c>
      <c r="J421" t="s">
        <v>40</v>
      </c>
      <c r="K421" t="s">
        <v>49</v>
      </c>
      <c r="L421" t="s">
        <v>53</v>
      </c>
      <c r="M421" s="7">
        <v>67842</v>
      </c>
      <c r="N421">
        <v>0.35</v>
      </c>
      <c r="O421" s="7">
        <v>670</v>
      </c>
      <c r="P421">
        <v>21</v>
      </c>
      <c r="Q421" t="s">
        <v>54</v>
      </c>
      <c r="R421" t="s">
        <v>60</v>
      </c>
      <c r="S421">
        <f t="shared" si="30"/>
        <v>2022</v>
      </c>
      <c r="T421" t="str">
        <f t="shared" si="31"/>
        <v>Feb</v>
      </c>
      <c r="U421">
        <f t="shared" si="32"/>
        <v>4</v>
      </c>
      <c r="V421">
        <f t="shared" si="33"/>
        <v>6</v>
      </c>
      <c r="W421" s="9">
        <f t="shared" si="34"/>
        <v>9.8758880929217894E-3</v>
      </c>
    </row>
    <row r="422" spans="1:23">
      <c r="A422">
        <v>10421</v>
      </c>
      <c r="B422" s="5">
        <v>44617</v>
      </c>
      <c r="C422" s="5">
        <v>44620</v>
      </c>
      <c r="D422" s="5">
        <v>44621</v>
      </c>
      <c r="E422" t="s">
        <v>21</v>
      </c>
      <c r="F422" t="s">
        <v>22</v>
      </c>
      <c r="G422" t="s">
        <v>27</v>
      </c>
      <c r="H422" t="s">
        <v>33</v>
      </c>
      <c r="I422" t="s">
        <v>36</v>
      </c>
      <c r="J422" t="s">
        <v>42</v>
      </c>
      <c r="K422" t="s">
        <v>47</v>
      </c>
      <c r="L422" t="s">
        <v>53</v>
      </c>
      <c r="M422" s="7">
        <v>58541</v>
      </c>
      <c r="N422">
        <v>0.22</v>
      </c>
      <c r="O422" s="7">
        <v>5009</v>
      </c>
      <c r="P422">
        <v>11</v>
      </c>
      <c r="Q422" t="s">
        <v>57</v>
      </c>
      <c r="R422" t="s">
        <v>59</v>
      </c>
      <c r="S422">
        <f t="shared" si="30"/>
        <v>2022</v>
      </c>
      <c r="T422" t="str">
        <f t="shared" si="31"/>
        <v>Feb</v>
      </c>
      <c r="U422">
        <f t="shared" si="32"/>
        <v>3</v>
      </c>
      <c r="V422">
        <f t="shared" si="33"/>
        <v>4</v>
      </c>
      <c r="W422" s="9">
        <f t="shared" si="34"/>
        <v>8.5563963717736294E-2</v>
      </c>
    </row>
    <row r="423" spans="1:23">
      <c r="A423">
        <v>10422</v>
      </c>
      <c r="B423" s="5">
        <v>44618</v>
      </c>
      <c r="C423" s="5">
        <v>44621</v>
      </c>
      <c r="D423" s="5">
        <v>44625</v>
      </c>
      <c r="E423" t="s">
        <v>19</v>
      </c>
      <c r="F423" t="s">
        <v>22</v>
      </c>
      <c r="G423" t="s">
        <v>25</v>
      </c>
      <c r="H423" t="s">
        <v>30</v>
      </c>
      <c r="I423" t="s">
        <v>34</v>
      </c>
      <c r="J423" t="s">
        <v>38</v>
      </c>
      <c r="K423" t="s">
        <v>50</v>
      </c>
      <c r="L423" t="s">
        <v>52</v>
      </c>
      <c r="M423" s="7">
        <v>38438</v>
      </c>
      <c r="N423">
        <v>0.4</v>
      </c>
      <c r="O423" s="7">
        <v>11141</v>
      </c>
      <c r="P423">
        <v>2</v>
      </c>
      <c r="Q423" t="s">
        <v>56</v>
      </c>
      <c r="R423" t="s">
        <v>62</v>
      </c>
      <c r="S423">
        <f t="shared" si="30"/>
        <v>2022</v>
      </c>
      <c r="T423" t="str">
        <f t="shared" si="31"/>
        <v>Feb</v>
      </c>
      <c r="U423">
        <f t="shared" si="32"/>
        <v>3</v>
      </c>
      <c r="V423">
        <f t="shared" si="33"/>
        <v>7</v>
      </c>
      <c r="W423" s="9">
        <f t="shared" si="34"/>
        <v>0.28984338415110045</v>
      </c>
    </row>
    <row r="424" spans="1:23">
      <c r="A424">
        <v>10423</v>
      </c>
      <c r="B424" s="5">
        <v>44619</v>
      </c>
      <c r="C424" s="5">
        <v>44623</v>
      </c>
      <c r="D424" s="5">
        <v>44627</v>
      </c>
      <c r="E424" t="s">
        <v>20</v>
      </c>
      <c r="F424" t="s">
        <v>22</v>
      </c>
      <c r="G424" t="s">
        <v>27</v>
      </c>
      <c r="H424" t="s">
        <v>25</v>
      </c>
      <c r="I424" t="s">
        <v>36</v>
      </c>
      <c r="J424" t="s">
        <v>42</v>
      </c>
      <c r="K424" t="s">
        <v>49</v>
      </c>
      <c r="L424" t="s">
        <v>51</v>
      </c>
      <c r="M424" s="7">
        <v>63222</v>
      </c>
      <c r="N424">
        <v>0.14000000000000001</v>
      </c>
      <c r="O424" s="7">
        <v>4027</v>
      </c>
      <c r="P424">
        <v>5</v>
      </c>
      <c r="Q424" t="s">
        <v>54</v>
      </c>
      <c r="R424" t="s">
        <v>62</v>
      </c>
      <c r="S424">
        <f t="shared" si="30"/>
        <v>2022</v>
      </c>
      <c r="T424" t="str">
        <f t="shared" si="31"/>
        <v>Feb</v>
      </c>
      <c r="U424">
        <f t="shared" si="32"/>
        <v>4</v>
      </c>
      <c r="V424">
        <f t="shared" si="33"/>
        <v>8</v>
      </c>
      <c r="W424" s="9">
        <f t="shared" si="34"/>
        <v>6.3696181708898805E-2</v>
      </c>
    </row>
    <row r="425" spans="1:23">
      <c r="A425">
        <v>10424</v>
      </c>
      <c r="B425" s="5">
        <v>44620</v>
      </c>
      <c r="C425" s="5">
        <v>44622</v>
      </c>
      <c r="D425" s="5">
        <v>44626</v>
      </c>
      <c r="E425" t="s">
        <v>19</v>
      </c>
      <c r="F425" t="s">
        <v>22</v>
      </c>
      <c r="G425" t="s">
        <v>26</v>
      </c>
      <c r="H425" t="s">
        <v>32</v>
      </c>
      <c r="I425" t="s">
        <v>36</v>
      </c>
      <c r="J425" t="s">
        <v>43</v>
      </c>
      <c r="K425" t="s">
        <v>47</v>
      </c>
      <c r="L425" t="s">
        <v>52</v>
      </c>
      <c r="M425" s="7">
        <v>4505</v>
      </c>
      <c r="N425">
        <v>0.11</v>
      </c>
      <c r="O425" s="7">
        <v>15734</v>
      </c>
      <c r="P425">
        <v>16</v>
      </c>
      <c r="Q425" t="s">
        <v>57</v>
      </c>
      <c r="R425" t="s">
        <v>60</v>
      </c>
      <c r="S425">
        <f t="shared" si="30"/>
        <v>2022</v>
      </c>
      <c r="T425" t="str">
        <f t="shared" si="31"/>
        <v>Feb</v>
      </c>
      <c r="U425">
        <f t="shared" si="32"/>
        <v>2</v>
      </c>
      <c r="V425">
        <f t="shared" si="33"/>
        <v>6</v>
      </c>
      <c r="W425" s="9">
        <f t="shared" si="34"/>
        <v>3.492563817980022</v>
      </c>
    </row>
    <row r="426" spans="1:23">
      <c r="A426">
        <v>10425</v>
      </c>
      <c r="B426" s="5">
        <v>44621</v>
      </c>
      <c r="C426" s="5">
        <v>44625</v>
      </c>
      <c r="D426" s="5">
        <v>44629</v>
      </c>
      <c r="E426" t="s">
        <v>20</v>
      </c>
      <c r="F426" t="s">
        <v>22</v>
      </c>
      <c r="G426" t="s">
        <v>23</v>
      </c>
      <c r="H426" t="s">
        <v>30</v>
      </c>
      <c r="I426" t="s">
        <v>35</v>
      </c>
      <c r="J426" t="s">
        <v>40</v>
      </c>
      <c r="K426" t="s">
        <v>50</v>
      </c>
      <c r="L426" t="s">
        <v>53</v>
      </c>
      <c r="M426" s="7">
        <v>54628</v>
      </c>
      <c r="N426">
        <v>0.3</v>
      </c>
      <c r="O426" s="7">
        <v>6304</v>
      </c>
      <c r="P426">
        <v>15</v>
      </c>
      <c r="Q426" t="s">
        <v>54</v>
      </c>
      <c r="R426" t="s">
        <v>62</v>
      </c>
      <c r="S426">
        <f t="shared" si="30"/>
        <v>2022</v>
      </c>
      <c r="T426" t="str">
        <f t="shared" si="31"/>
        <v>Mar</v>
      </c>
      <c r="U426">
        <f t="shared" si="32"/>
        <v>4</v>
      </c>
      <c r="V426">
        <f t="shared" si="33"/>
        <v>8</v>
      </c>
      <c r="W426" s="9">
        <f t="shared" si="34"/>
        <v>0.11539869663908618</v>
      </c>
    </row>
    <row r="427" spans="1:23">
      <c r="A427">
        <v>10426</v>
      </c>
      <c r="B427" s="5">
        <v>44622</v>
      </c>
      <c r="C427" s="5">
        <v>44628</v>
      </c>
      <c r="D427" s="5">
        <v>44630</v>
      </c>
      <c r="E427" t="s">
        <v>20</v>
      </c>
      <c r="F427" t="s">
        <v>22</v>
      </c>
      <c r="G427" t="s">
        <v>25</v>
      </c>
      <c r="H427" t="s">
        <v>32</v>
      </c>
      <c r="I427" t="s">
        <v>36</v>
      </c>
      <c r="J427" t="s">
        <v>40</v>
      </c>
      <c r="K427" t="s">
        <v>50</v>
      </c>
      <c r="L427" t="s">
        <v>51</v>
      </c>
      <c r="M427" s="7">
        <v>49180</v>
      </c>
      <c r="N427">
        <v>0.13</v>
      </c>
      <c r="O427" s="7">
        <v>18589</v>
      </c>
      <c r="P427">
        <v>6</v>
      </c>
      <c r="Q427" t="s">
        <v>57</v>
      </c>
      <c r="R427" t="s">
        <v>60</v>
      </c>
      <c r="S427">
        <f t="shared" si="30"/>
        <v>2022</v>
      </c>
      <c r="T427" t="str">
        <f t="shared" si="31"/>
        <v>Mar</v>
      </c>
      <c r="U427">
        <f t="shared" si="32"/>
        <v>6</v>
      </c>
      <c r="V427">
        <f t="shared" si="33"/>
        <v>8</v>
      </c>
      <c r="W427" s="9">
        <f t="shared" si="34"/>
        <v>0.37797885319235464</v>
      </c>
    </row>
    <row r="428" spans="1:23">
      <c r="A428">
        <v>10427</v>
      </c>
      <c r="B428" s="5">
        <v>44623</v>
      </c>
      <c r="C428" s="5">
        <v>44627</v>
      </c>
      <c r="D428" s="5">
        <v>44631</v>
      </c>
      <c r="E428" t="s">
        <v>19</v>
      </c>
      <c r="F428" t="s">
        <v>22</v>
      </c>
      <c r="G428" t="s">
        <v>23</v>
      </c>
      <c r="H428" t="s">
        <v>25</v>
      </c>
      <c r="I428" t="s">
        <v>34</v>
      </c>
      <c r="J428" t="s">
        <v>39</v>
      </c>
      <c r="K428" t="s">
        <v>44</v>
      </c>
      <c r="L428" t="s">
        <v>53</v>
      </c>
      <c r="M428" s="7">
        <v>32581</v>
      </c>
      <c r="N428">
        <v>0.14000000000000001</v>
      </c>
      <c r="O428" s="7">
        <v>10584</v>
      </c>
      <c r="P428">
        <v>14</v>
      </c>
      <c r="Q428" t="s">
        <v>54</v>
      </c>
      <c r="R428" t="s">
        <v>61</v>
      </c>
      <c r="S428">
        <f t="shared" si="30"/>
        <v>2022</v>
      </c>
      <c r="T428" t="str">
        <f t="shared" si="31"/>
        <v>Mar</v>
      </c>
      <c r="U428">
        <f t="shared" si="32"/>
        <v>4</v>
      </c>
      <c r="V428">
        <f t="shared" si="33"/>
        <v>8</v>
      </c>
      <c r="W428" s="9">
        <f t="shared" si="34"/>
        <v>0.32485190755348209</v>
      </c>
    </row>
    <row r="429" spans="1:23">
      <c r="A429">
        <v>10428</v>
      </c>
      <c r="B429" s="5">
        <v>44624</v>
      </c>
      <c r="C429" s="5">
        <v>44626</v>
      </c>
      <c r="D429" s="5">
        <v>44631</v>
      </c>
      <c r="E429" t="s">
        <v>18</v>
      </c>
      <c r="F429" t="s">
        <v>22</v>
      </c>
      <c r="G429" t="s">
        <v>27</v>
      </c>
      <c r="H429" t="s">
        <v>25</v>
      </c>
      <c r="I429" t="s">
        <v>36</v>
      </c>
      <c r="J429" t="s">
        <v>37</v>
      </c>
      <c r="K429" t="s">
        <v>48</v>
      </c>
      <c r="L429" t="s">
        <v>52</v>
      </c>
      <c r="M429" s="7">
        <v>2999</v>
      </c>
      <c r="N429">
        <v>0.02</v>
      </c>
      <c r="O429" s="7">
        <v>14885</v>
      </c>
      <c r="P429">
        <v>6</v>
      </c>
      <c r="Q429" t="s">
        <v>56</v>
      </c>
      <c r="R429" t="s">
        <v>60</v>
      </c>
      <c r="S429">
        <f t="shared" si="30"/>
        <v>2022</v>
      </c>
      <c r="T429" t="str">
        <f t="shared" si="31"/>
        <v>Mar</v>
      </c>
      <c r="U429">
        <f t="shared" si="32"/>
        <v>2</v>
      </c>
      <c r="V429">
        <f t="shared" si="33"/>
        <v>7</v>
      </c>
      <c r="W429" s="9">
        <f t="shared" si="34"/>
        <v>4.9633211070356786</v>
      </c>
    </row>
    <row r="430" spans="1:23">
      <c r="A430">
        <v>10429</v>
      </c>
      <c r="B430" s="5">
        <v>44625</v>
      </c>
      <c r="C430" s="5">
        <v>44630</v>
      </c>
      <c r="D430" s="5">
        <v>44635</v>
      </c>
      <c r="E430" t="s">
        <v>18</v>
      </c>
      <c r="F430" t="s">
        <v>22</v>
      </c>
      <c r="G430" t="s">
        <v>23</v>
      </c>
      <c r="H430" t="s">
        <v>25</v>
      </c>
      <c r="I430" t="s">
        <v>35</v>
      </c>
      <c r="J430" t="s">
        <v>43</v>
      </c>
      <c r="K430" t="s">
        <v>49</v>
      </c>
      <c r="L430" t="s">
        <v>51</v>
      </c>
      <c r="M430" s="7">
        <v>47050</v>
      </c>
      <c r="N430">
        <v>0.22</v>
      </c>
      <c r="O430" s="7">
        <v>11484</v>
      </c>
      <c r="P430">
        <v>15</v>
      </c>
      <c r="Q430" t="s">
        <v>57</v>
      </c>
      <c r="R430" t="s">
        <v>59</v>
      </c>
      <c r="S430">
        <f t="shared" si="30"/>
        <v>2022</v>
      </c>
      <c r="T430" t="str">
        <f t="shared" si="31"/>
        <v>Mar</v>
      </c>
      <c r="U430">
        <f t="shared" si="32"/>
        <v>5</v>
      </c>
      <c r="V430">
        <f t="shared" si="33"/>
        <v>10</v>
      </c>
      <c r="W430" s="9">
        <f t="shared" si="34"/>
        <v>0.24408076514346441</v>
      </c>
    </row>
    <row r="431" spans="1:23">
      <c r="A431">
        <v>10430</v>
      </c>
      <c r="B431" s="5">
        <v>44626</v>
      </c>
      <c r="C431" s="5">
        <v>44629</v>
      </c>
      <c r="D431" s="5">
        <v>44630</v>
      </c>
      <c r="E431" t="s">
        <v>21</v>
      </c>
      <c r="F431" t="s">
        <v>22</v>
      </c>
      <c r="G431" t="s">
        <v>25</v>
      </c>
      <c r="H431" t="s">
        <v>32</v>
      </c>
      <c r="I431" t="s">
        <v>36</v>
      </c>
      <c r="J431" t="s">
        <v>42</v>
      </c>
      <c r="K431" t="s">
        <v>50</v>
      </c>
      <c r="L431" t="s">
        <v>51</v>
      </c>
      <c r="M431" s="7">
        <v>31357</v>
      </c>
      <c r="N431">
        <v>0.32</v>
      </c>
      <c r="O431" s="7">
        <v>11913</v>
      </c>
      <c r="P431">
        <v>19</v>
      </c>
      <c r="Q431" t="s">
        <v>55</v>
      </c>
      <c r="R431" t="s">
        <v>62</v>
      </c>
      <c r="S431">
        <f t="shared" si="30"/>
        <v>2022</v>
      </c>
      <c r="T431" t="str">
        <f t="shared" si="31"/>
        <v>Mar</v>
      </c>
      <c r="U431">
        <f t="shared" si="32"/>
        <v>3</v>
      </c>
      <c r="V431">
        <f t="shared" si="33"/>
        <v>4</v>
      </c>
      <c r="W431" s="9">
        <f t="shared" si="34"/>
        <v>0.37991517045635742</v>
      </c>
    </row>
    <row r="432" spans="1:23">
      <c r="A432">
        <v>10431</v>
      </c>
      <c r="B432" s="5">
        <v>44627</v>
      </c>
      <c r="C432" s="5">
        <v>44629</v>
      </c>
      <c r="D432" s="5">
        <v>44634</v>
      </c>
      <c r="E432" t="s">
        <v>21</v>
      </c>
      <c r="F432" t="s">
        <v>22</v>
      </c>
      <c r="G432" t="s">
        <v>25</v>
      </c>
      <c r="H432" t="s">
        <v>30</v>
      </c>
      <c r="I432" t="s">
        <v>35</v>
      </c>
      <c r="J432" t="s">
        <v>39</v>
      </c>
      <c r="K432" t="s">
        <v>46</v>
      </c>
      <c r="L432" t="s">
        <v>51</v>
      </c>
      <c r="M432" s="7">
        <v>6541</v>
      </c>
      <c r="N432">
        <v>0.18</v>
      </c>
      <c r="O432" s="7">
        <v>-253</v>
      </c>
      <c r="P432">
        <v>20</v>
      </c>
      <c r="Q432" t="s">
        <v>54</v>
      </c>
      <c r="R432" t="s">
        <v>61</v>
      </c>
      <c r="S432">
        <f t="shared" si="30"/>
        <v>2022</v>
      </c>
      <c r="T432" t="str">
        <f t="shared" si="31"/>
        <v>Mar</v>
      </c>
      <c r="U432">
        <f t="shared" si="32"/>
        <v>2</v>
      </c>
      <c r="V432">
        <f t="shared" si="33"/>
        <v>7</v>
      </c>
      <c r="W432" s="9">
        <f t="shared" si="34"/>
        <v>-3.8679101054884577E-2</v>
      </c>
    </row>
    <row r="433" spans="1:23">
      <c r="A433">
        <v>10432</v>
      </c>
      <c r="B433" s="5">
        <v>44628</v>
      </c>
      <c r="C433" s="5">
        <v>44632</v>
      </c>
      <c r="D433" s="5">
        <v>44636</v>
      </c>
      <c r="E433" t="s">
        <v>21</v>
      </c>
      <c r="F433" t="s">
        <v>22</v>
      </c>
      <c r="G433" t="s">
        <v>23</v>
      </c>
      <c r="H433" t="s">
        <v>30</v>
      </c>
      <c r="I433" t="s">
        <v>36</v>
      </c>
      <c r="J433" t="s">
        <v>42</v>
      </c>
      <c r="K433" t="s">
        <v>50</v>
      </c>
      <c r="L433" t="s">
        <v>52</v>
      </c>
      <c r="M433" s="7">
        <v>2416</v>
      </c>
      <c r="N433">
        <v>0.22</v>
      </c>
      <c r="O433" s="7">
        <v>10730</v>
      </c>
      <c r="P433">
        <v>3</v>
      </c>
      <c r="Q433" t="s">
        <v>55</v>
      </c>
      <c r="R433" t="s">
        <v>62</v>
      </c>
      <c r="S433">
        <f t="shared" si="30"/>
        <v>2022</v>
      </c>
      <c r="T433" t="str">
        <f t="shared" si="31"/>
        <v>Mar</v>
      </c>
      <c r="U433">
        <f t="shared" si="32"/>
        <v>4</v>
      </c>
      <c r="V433">
        <f t="shared" si="33"/>
        <v>8</v>
      </c>
      <c r="W433" s="9">
        <f t="shared" si="34"/>
        <v>4.4412251655629138</v>
      </c>
    </row>
    <row r="434" spans="1:23">
      <c r="A434">
        <v>10433</v>
      </c>
      <c r="B434" s="5">
        <v>44629</v>
      </c>
      <c r="C434" s="5">
        <v>44631</v>
      </c>
      <c r="D434" s="5">
        <v>44635</v>
      </c>
      <c r="E434" t="s">
        <v>21</v>
      </c>
      <c r="F434" t="s">
        <v>22</v>
      </c>
      <c r="G434" t="s">
        <v>26</v>
      </c>
      <c r="H434" t="s">
        <v>30</v>
      </c>
      <c r="I434" t="s">
        <v>34</v>
      </c>
      <c r="J434" t="s">
        <v>41</v>
      </c>
      <c r="K434" t="s">
        <v>48</v>
      </c>
      <c r="L434" t="s">
        <v>51</v>
      </c>
      <c r="M434" s="7">
        <v>3633</v>
      </c>
      <c r="N434">
        <v>0.28999999999999998</v>
      </c>
      <c r="O434" s="7">
        <v>12947</v>
      </c>
      <c r="P434">
        <v>2</v>
      </c>
      <c r="Q434" t="s">
        <v>56</v>
      </c>
      <c r="R434" t="s">
        <v>60</v>
      </c>
      <c r="S434">
        <f t="shared" si="30"/>
        <v>2022</v>
      </c>
      <c r="T434" t="str">
        <f t="shared" si="31"/>
        <v>Mar</v>
      </c>
      <c r="U434">
        <f t="shared" si="32"/>
        <v>2</v>
      </c>
      <c r="V434">
        <f t="shared" si="33"/>
        <v>6</v>
      </c>
      <c r="W434" s="9">
        <f t="shared" si="34"/>
        <v>3.5637214423341592</v>
      </c>
    </row>
    <row r="435" spans="1:23">
      <c r="A435">
        <v>10434</v>
      </c>
      <c r="B435" s="5">
        <v>44630</v>
      </c>
      <c r="C435" s="5">
        <v>44633</v>
      </c>
      <c r="D435" s="5">
        <v>44637</v>
      </c>
      <c r="E435" t="s">
        <v>20</v>
      </c>
      <c r="F435" t="s">
        <v>22</v>
      </c>
      <c r="G435" t="s">
        <v>25</v>
      </c>
      <c r="H435" t="s">
        <v>32</v>
      </c>
      <c r="I435" t="s">
        <v>34</v>
      </c>
      <c r="J435" t="s">
        <v>43</v>
      </c>
      <c r="K435" t="s">
        <v>45</v>
      </c>
      <c r="L435" t="s">
        <v>53</v>
      </c>
      <c r="M435" s="7">
        <v>54818</v>
      </c>
      <c r="N435">
        <v>0.25</v>
      </c>
      <c r="O435" s="7">
        <v>9027</v>
      </c>
      <c r="P435">
        <v>11</v>
      </c>
      <c r="Q435" t="s">
        <v>55</v>
      </c>
      <c r="R435" t="s">
        <v>62</v>
      </c>
      <c r="S435">
        <f t="shared" si="30"/>
        <v>2022</v>
      </c>
      <c r="T435" t="str">
        <f t="shared" si="31"/>
        <v>Mar</v>
      </c>
      <c r="U435">
        <f t="shared" si="32"/>
        <v>3</v>
      </c>
      <c r="V435">
        <f t="shared" si="33"/>
        <v>7</v>
      </c>
      <c r="W435" s="9">
        <f t="shared" si="34"/>
        <v>0.16467218796745595</v>
      </c>
    </row>
    <row r="436" spans="1:23">
      <c r="A436">
        <v>10435</v>
      </c>
      <c r="B436" s="5">
        <v>44631</v>
      </c>
      <c r="C436" s="5">
        <v>44638</v>
      </c>
      <c r="D436" s="5">
        <v>44642</v>
      </c>
      <c r="E436" t="s">
        <v>21</v>
      </c>
      <c r="F436" t="s">
        <v>22</v>
      </c>
      <c r="G436" t="s">
        <v>24</v>
      </c>
      <c r="H436" t="s">
        <v>33</v>
      </c>
      <c r="I436" t="s">
        <v>34</v>
      </c>
      <c r="J436" t="s">
        <v>37</v>
      </c>
      <c r="K436" t="s">
        <v>45</v>
      </c>
      <c r="L436" t="s">
        <v>53</v>
      </c>
      <c r="M436" s="7">
        <v>2161</v>
      </c>
      <c r="N436">
        <v>7.0000000000000007E-2</v>
      </c>
      <c r="O436" s="7">
        <v>-65</v>
      </c>
      <c r="P436">
        <v>7</v>
      </c>
      <c r="Q436" t="s">
        <v>54</v>
      </c>
      <c r="R436" t="s">
        <v>60</v>
      </c>
      <c r="S436">
        <f t="shared" si="30"/>
        <v>2022</v>
      </c>
      <c r="T436" t="str">
        <f t="shared" si="31"/>
        <v>Mar</v>
      </c>
      <c r="U436">
        <f t="shared" si="32"/>
        <v>7</v>
      </c>
      <c r="V436">
        <f t="shared" si="33"/>
        <v>11</v>
      </c>
      <c r="W436" s="9">
        <f t="shared" si="34"/>
        <v>-3.007866728366497E-2</v>
      </c>
    </row>
    <row r="437" spans="1:23">
      <c r="A437">
        <v>10436</v>
      </c>
      <c r="B437" s="5">
        <v>44632</v>
      </c>
      <c r="C437" s="5">
        <v>44634</v>
      </c>
      <c r="D437" s="5">
        <v>44635</v>
      </c>
      <c r="E437" t="s">
        <v>20</v>
      </c>
      <c r="F437" t="s">
        <v>22</v>
      </c>
      <c r="G437" t="s">
        <v>28</v>
      </c>
      <c r="H437" t="s">
        <v>25</v>
      </c>
      <c r="I437" t="s">
        <v>36</v>
      </c>
      <c r="J437" t="s">
        <v>43</v>
      </c>
      <c r="K437" t="s">
        <v>44</v>
      </c>
      <c r="L437" t="s">
        <v>51</v>
      </c>
      <c r="M437" s="7">
        <v>19582</v>
      </c>
      <c r="N437">
        <v>0</v>
      </c>
      <c r="O437" s="7">
        <v>18164</v>
      </c>
      <c r="P437">
        <v>21</v>
      </c>
      <c r="Q437" t="s">
        <v>57</v>
      </c>
      <c r="R437" t="s">
        <v>60</v>
      </c>
      <c r="S437">
        <f t="shared" si="30"/>
        <v>2022</v>
      </c>
      <c r="T437" t="str">
        <f t="shared" si="31"/>
        <v>Mar</v>
      </c>
      <c r="U437">
        <f t="shared" si="32"/>
        <v>2</v>
      </c>
      <c r="V437">
        <f t="shared" si="33"/>
        <v>3</v>
      </c>
      <c r="W437" s="9">
        <f t="shared" si="34"/>
        <v>0.92758655908487386</v>
      </c>
    </row>
    <row r="438" spans="1:23">
      <c r="A438">
        <v>10437</v>
      </c>
      <c r="B438" s="5">
        <v>44633</v>
      </c>
      <c r="C438" s="5">
        <v>44639</v>
      </c>
      <c r="D438" s="5">
        <v>44644</v>
      </c>
      <c r="E438" t="s">
        <v>21</v>
      </c>
      <c r="F438" t="s">
        <v>22</v>
      </c>
      <c r="G438" t="s">
        <v>25</v>
      </c>
      <c r="H438" t="s">
        <v>32</v>
      </c>
      <c r="I438" t="s">
        <v>35</v>
      </c>
      <c r="J438" t="s">
        <v>37</v>
      </c>
      <c r="K438" t="s">
        <v>45</v>
      </c>
      <c r="L438" t="s">
        <v>51</v>
      </c>
      <c r="M438" s="7">
        <v>2762</v>
      </c>
      <c r="N438">
        <v>0.1</v>
      </c>
      <c r="O438" s="7">
        <v>10352</v>
      </c>
      <c r="P438">
        <v>23</v>
      </c>
      <c r="Q438" t="s">
        <v>57</v>
      </c>
      <c r="R438" t="s">
        <v>59</v>
      </c>
      <c r="S438">
        <f t="shared" si="30"/>
        <v>2022</v>
      </c>
      <c r="T438" t="str">
        <f t="shared" si="31"/>
        <v>Mar</v>
      </c>
      <c r="U438">
        <f t="shared" si="32"/>
        <v>6</v>
      </c>
      <c r="V438">
        <f t="shared" si="33"/>
        <v>11</v>
      </c>
      <c r="W438" s="9">
        <f t="shared" si="34"/>
        <v>3.7480086893555393</v>
      </c>
    </row>
    <row r="439" spans="1:23">
      <c r="A439">
        <v>10438</v>
      </c>
      <c r="B439" s="5">
        <v>44634</v>
      </c>
      <c r="C439" s="5">
        <v>44637</v>
      </c>
      <c r="D439" s="5">
        <v>44641</v>
      </c>
      <c r="E439" t="s">
        <v>20</v>
      </c>
      <c r="F439" t="s">
        <v>22</v>
      </c>
      <c r="G439" t="s">
        <v>24</v>
      </c>
      <c r="H439" t="s">
        <v>32</v>
      </c>
      <c r="I439" t="s">
        <v>36</v>
      </c>
      <c r="J439" t="s">
        <v>37</v>
      </c>
      <c r="K439" t="s">
        <v>50</v>
      </c>
      <c r="L439" t="s">
        <v>52</v>
      </c>
      <c r="M439" s="7">
        <v>58719</v>
      </c>
      <c r="N439">
        <v>0.25</v>
      </c>
      <c r="O439" s="7">
        <v>14707</v>
      </c>
      <c r="P439">
        <v>19</v>
      </c>
      <c r="Q439" t="s">
        <v>54</v>
      </c>
      <c r="R439" t="s">
        <v>62</v>
      </c>
      <c r="S439">
        <f t="shared" si="30"/>
        <v>2022</v>
      </c>
      <c r="T439" t="str">
        <f t="shared" si="31"/>
        <v>Mar</v>
      </c>
      <c r="U439">
        <f t="shared" si="32"/>
        <v>3</v>
      </c>
      <c r="V439">
        <f t="shared" si="33"/>
        <v>7</v>
      </c>
      <c r="W439" s="9">
        <f t="shared" si="34"/>
        <v>0.250464074660672</v>
      </c>
    </row>
    <row r="440" spans="1:23">
      <c r="A440">
        <v>10439</v>
      </c>
      <c r="B440" s="5">
        <v>44635</v>
      </c>
      <c r="C440" s="5">
        <v>44639</v>
      </c>
      <c r="D440" s="5">
        <v>44640</v>
      </c>
      <c r="E440" t="s">
        <v>18</v>
      </c>
      <c r="F440" t="s">
        <v>22</v>
      </c>
      <c r="G440" t="s">
        <v>27</v>
      </c>
      <c r="H440" t="s">
        <v>31</v>
      </c>
      <c r="I440" t="s">
        <v>36</v>
      </c>
      <c r="J440" t="s">
        <v>38</v>
      </c>
      <c r="K440" t="s">
        <v>50</v>
      </c>
      <c r="L440" t="s">
        <v>53</v>
      </c>
      <c r="M440" s="7">
        <v>65623</v>
      </c>
      <c r="N440">
        <v>0.27</v>
      </c>
      <c r="O440" s="7">
        <v>-1613</v>
      </c>
      <c r="P440">
        <v>4</v>
      </c>
      <c r="Q440" t="s">
        <v>57</v>
      </c>
      <c r="R440" t="s">
        <v>61</v>
      </c>
      <c r="S440">
        <f t="shared" si="30"/>
        <v>2022</v>
      </c>
      <c r="T440" t="str">
        <f t="shared" si="31"/>
        <v>Mar</v>
      </c>
      <c r="U440">
        <f t="shared" si="32"/>
        <v>4</v>
      </c>
      <c r="V440">
        <f t="shared" si="33"/>
        <v>5</v>
      </c>
      <c r="W440" s="9">
        <f t="shared" si="34"/>
        <v>-2.457979671761425E-2</v>
      </c>
    </row>
    <row r="441" spans="1:23">
      <c r="A441">
        <v>10440</v>
      </c>
      <c r="B441" s="5">
        <v>44636</v>
      </c>
      <c r="C441" s="5">
        <v>44643</v>
      </c>
      <c r="D441" s="5">
        <v>44645</v>
      </c>
      <c r="E441" t="s">
        <v>18</v>
      </c>
      <c r="F441" t="s">
        <v>22</v>
      </c>
      <c r="G441" t="s">
        <v>24</v>
      </c>
      <c r="H441" t="s">
        <v>31</v>
      </c>
      <c r="I441" t="s">
        <v>34</v>
      </c>
      <c r="J441" t="s">
        <v>41</v>
      </c>
      <c r="K441" t="s">
        <v>50</v>
      </c>
      <c r="L441" t="s">
        <v>51</v>
      </c>
      <c r="M441" s="7">
        <v>30450</v>
      </c>
      <c r="N441">
        <v>0.35</v>
      </c>
      <c r="O441" s="7">
        <v>17944</v>
      </c>
      <c r="P441">
        <v>10</v>
      </c>
      <c r="Q441" t="s">
        <v>58</v>
      </c>
      <c r="R441" t="s">
        <v>60</v>
      </c>
      <c r="S441">
        <f t="shared" si="30"/>
        <v>2022</v>
      </c>
      <c r="T441" t="str">
        <f t="shared" si="31"/>
        <v>Mar</v>
      </c>
      <c r="U441">
        <f t="shared" si="32"/>
        <v>7</v>
      </c>
      <c r="V441">
        <f t="shared" si="33"/>
        <v>9</v>
      </c>
      <c r="W441" s="9">
        <f t="shared" si="34"/>
        <v>0.58929392446633821</v>
      </c>
    </row>
    <row r="442" spans="1:23">
      <c r="A442">
        <v>10441</v>
      </c>
      <c r="B442" s="5">
        <v>44637</v>
      </c>
      <c r="C442" s="5">
        <v>44644</v>
      </c>
      <c r="D442" s="5">
        <v>44645</v>
      </c>
      <c r="E442" t="s">
        <v>19</v>
      </c>
      <c r="F442" t="s">
        <v>22</v>
      </c>
      <c r="G442" t="s">
        <v>27</v>
      </c>
      <c r="H442" t="s">
        <v>29</v>
      </c>
      <c r="I442" t="s">
        <v>35</v>
      </c>
      <c r="J442" t="s">
        <v>43</v>
      </c>
      <c r="K442" t="s">
        <v>50</v>
      </c>
      <c r="L442" t="s">
        <v>53</v>
      </c>
      <c r="M442" s="7">
        <v>61596</v>
      </c>
      <c r="N442">
        <v>0.31</v>
      </c>
      <c r="O442" s="7">
        <v>11961</v>
      </c>
      <c r="P442">
        <v>21</v>
      </c>
      <c r="Q442" t="s">
        <v>58</v>
      </c>
      <c r="R442" t="s">
        <v>62</v>
      </c>
      <c r="S442">
        <f t="shared" si="30"/>
        <v>2022</v>
      </c>
      <c r="T442" t="str">
        <f t="shared" si="31"/>
        <v>Mar</v>
      </c>
      <c r="U442">
        <f t="shared" si="32"/>
        <v>7</v>
      </c>
      <c r="V442">
        <f t="shared" si="33"/>
        <v>8</v>
      </c>
      <c r="W442" s="9">
        <f t="shared" si="34"/>
        <v>0.19418468731735827</v>
      </c>
    </row>
    <row r="443" spans="1:23">
      <c r="A443">
        <v>10442</v>
      </c>
      <c r="B443" s="5">
        <v>44638</v>
      </c>
      <c r="C443" s="5">
        <v>44640</v>
      </c>
      <c r="D443" s="5">
        <v>44643</v>
      </c>
      <c r="E443" t="s">
        <v>19</v>
      </c>
      <c r="F443" t="s">
        <v>22</v>
      </c>
      <c r="G443" t="s">
        <v>27</v>
      </c>
      <c r="H443" t="s">
        <v>29</v>
      </c>
      <c r="I443" t="s">
        <v>34</v>
      </c>
      <c r="J443" t="s">
        <v>41</v>
      </c>
      <c r="K443" t="s">
        <v>46</v>
      </c>
      <c r="L443" t="s">
        <v>52</v>
      </c>
      <c r="M443" s="7">
        <v>39079</v>
      </c>
      <c r="N443">
        <v>0.09</v>
      </c>
      <c r="O443" s="7">
        <v>18057</v>
      </c>
      <c r="P443">
        <v>18</v>
      </c>
      <c r="Q443" t="s">
        <v>57</v>
      </c>
      <c r="R443" t="s">
        <v>60</v>
      </c>
      <c r="S443">
        <f t="shared" si="30"/>
        <v>2022</v>
      </c>
      <c r="T443" t="str">
        <f t="shared" si="31"/>
        <v>Mar</v>
      </c>
      <c r="U443">
        <f t="shared" si="32"/>
        <v>2</v>
      </c>
      <c r="V443">
        <f t="shared" si="33"/>
        <v>5</v>
      </c>
      <c r="W443" s="9">
        <f t="shared" si="34"/>
        <v>0.46206402415619641</v>
      </c>
    </row>
    <row r="444" spans="1:23">
      <c r="A444">
        <v>10443</v>
      </c>
      <c r="B444" s="5">
        <v>44639</v>
      </c>
      <c r="C444" s="5">
        <v>44643</v>
      </c>
      <c r="D444" s="5">
        <v>44648</v>
      </c>
      <c r="E444" t="s">
        <v>18</v>
      </c>
      <c r="F444" t="s">
        <v>22</v>
      </c>
      <c r="G444" t="s">
        <v>23</v>
      </c>
      <c r="H444" t="s">
        <v>31</v>
      </c>
      <c r="I444" t="s">
        <v>36</v>
      </c>
      <c r="J444" t="s">
        <v>39</v>
      </c>
      <c r="K444" t="s">
        <v>50</v>
      </c>
      <c r="L444" t="s">
        <v>51</v>
      </c>
      <c r="M444" s="7">
        <v>31967</v>
      </c>
      <c r="N444">
        <v>0.23</v>
      </c>
      <c r="O444" s="7">
        <v>17238</v>
      </c>
      <c r="P444">
        <v>15</v>
      </c>
      <c r="Q444" t="s">
        <v>55</v>
      </c>
      <c r="R444" t="s">
        <v>59</v>
      </c>
      <c r="S444">
        <f t="shared" si="30"/>
        <v>2022</v>
      </c>
      <c r="T444" t="str">
        <f t="shared" si="31"/>
        <v>Mar</v>
      </c>
      <c r="U444">
        <f t="shared" si="32"/>
        <v>4</v>
      </c>
      <c r="V444">
        <f t="shared" si="33"/>
        <v>9</v>
      </c>
      <c r="W444" s="9">
        <f t="shared" si="34"/>
        <v>0.53924359495729968</v>
      </c>
    </row>
    <row r="445" spans="1:23">
      <c r="A445">
        <v>10444</v>
      </c>
      <c r="B445" s="5">
        <v>44640</v>
      </c>
      <c r="C445" s="5">
        <v>44644</v>
      </c>
      <c r="D445" s="5">
        <v>44647</v>
      </c>
      <c r="E445" t="s">
        <v>20</v>
      </c>
      <c r="F445" t="s">
        <v>22</v>
      </c>
      <c r="G445" t="s">
        <v>23</v>
      </c>
      <c r="H445" t="s">
        <v>32</v>
      </c>
      <c r="I445" t="s">
        <v>36</v>
      </c>
      <c r="J445" t="s">
        <v>42</v>
      </c>
      <c r="K445" t="s">
        <v>46</v>
      </c>
      <c r="L445" t="s">
        <v>52</v>
      </c>
      <c r="M445" s="7">
        <v>48454</v>
      </c>
      <c r="N445">
        <v>0.28999999999999998</v>
      </c>
      <c r="O445" s="7">
        <v>16778</v>
      </c>
      <c r="P445">
        <v>4</v>
      </c>
      <c r="Q445" t="s">
        <v>56</v>
      </c>
      <c r="R445" t="s">
        <v>61</v>
      </c>
      <c r="S445">
        <f t="shared" si="30"/>
        <v>2022</v>
      </c>
      <c r="T445" t="str">
        <f t="shared" si="31"/>
        <v>Mar</v>
      </c>
      <c r="U445">
        <f t="shared" si="32"/>
        <v>4</v>
      </c>
      <c r="V445">
        <f t="shared" si="33"/>
        <v>7</v>
      </c>
      <c r="W445" s="9">
        <f t="shared" si="34"/>
        <v>0.34626656210013623</v>
      </c>
    </row>
    <row r="446" spans="1:23">
      <c r="A446">
        <v>10445</v>
      </c>
      <c r="B446" s="5">
        <v>44641</v>
      </c>
      <c r="C446" s="5">
        <v>44647</v>
      </c>
      <c r="D446" s="5">
        <v>44652</v>
      </c>
      <c r="E446" t="s">
        <v>21</v>
      </c>
      <c r="F446" t="s">
        <v>22</v>
      </c>
      <c r="G446" t="s">
        <v>27</v>
      </c>
      <c r="H446" t="s">
        <v>25</v>
      </c>
      <c r="I446" t="s">
        <v>35</v>
      </c>
      <c r="J446" t="s">
        <v>37</v>
      </c>
      <c r="K446" t="s">
        <v>45</v>
      </c>
      <c r="L446" t="s">
        <v>52</v>
      </c>
      <c r="M446" s="7">
        <v>10852</v>
      </c>
      <c r="N446">
        <v>0.31</v>
      </c>
      <c r="O446" s="7">
        <v>7973</v>
      </c>
      <c r="P446">
        <v>5</v>
      </c>
      <c r="Q446" t="s">
        <v>58</v>
      </c>
      <c r="R446" t="s">
        <v>61</v>
      </c>
      <c r="S446">
        <f t="shared" si="30"/>
        <v>2022</v>
      </c>
      <c r="T446" t="str">
        <f t="shared" si="31"/>
        <v>Mar</v>
      </c>
      <c r="U446">
        <f t="shared" si="32"/>
        <v>6</v>
      </c>
      <c r="V446">
        <f t="shared" si="33"/>
        <v>11</v>
      </c>
      <c r="W446" s="9">
        <f t="shared" si="34"/>
        <v>0.73470328050129008</v>
      </c>
    </row>
    <row r="447" spans="1:23">
      <c r="A447">
        <v>10446</v>
      </c>
      <c r="B447" s="5">
        <v>44642</v>
      </c>
      <c r="C447" s="5">
        <v>44645</v>
      </c>
      <c r="D447" s="5">
        <v>44647</v>
      </c>
      <c r="E447" t="s">
        <v>19</v>
      </c>
      <c r="F447" t="s">
        <v>22</v>
      </c>
      <c r="G447" t="s">
        <v>24</v>
      </c>
      <c r="H447" t="s">
        <v>29</v>
      </c>
      <c r="I447" t="s">
        <v>35</v>
      </c>
      <c r="J447" t="s">
        <v>41</v>
      </c>
      <c r="K447" t="s">
        <v>44</v>
      </c>
      <c r="L447" t="s">
        <v>52</v>
      </c>
      <c r="M447" s="7">
        <v>19379</v>
      </c>
      <c r="N447">
        <v>0.15</v>
      </c>
      <c r="O447" s="7">
        <v>10021</v>
      </c>
      <c r="P447">
        <v>7</v>
      </c>
      <c r="Q447" t="s">
        <v>55</v>
      </c>
      <c r="R447" t="s">
        <v>60</v>
      </c>
      <c r="S447">
        <f t="shared" si="30"/>
        <v>2022</v>
      </c>
      <c r="T447" t="str">
        <f t="shared" si="31"/>
        <v>Mar</v>
      </c>
      <c r="U447">
        <f t="shared" si="32"/>
        <v>3</v>
      </c>
      <c r="V447">
        <f t="shared" si="33"/>
        <v>5</v>
      </c>
      <c r="W447" s="9">
        <f t="shared" si="34"/>
        <v>0.51710614582795811</v>
      </c>
    </row>
    <row r="448" spans="1:23">
      <c r="A448">
        <v>10447</v>
      </c>
      <c r="B448" s="5">
        <v>44643</v>
      </c>
      <c r="C448" s="5">
        <v>44646</v>
      </c>
      <c r="D448" s="5">
        <v>44648</v>
      </c>
      <c r="E448" t="s">
        <v>19</v>
      </c>
      <c r="F448" t="s">
        <v>22</v>
      </c>
      <c r="G448" t="s">
        <v>25</v>
      </c>
      <c r="H448" t="s">
        <v>25</v>
      </c>
      <c r="I448" t="s">
        <v>35</v>
      </c>
      <c r="J448" t="s">
        <v>37</v>
      </c>
      <c r="K448" t="s">
        <v>46</v>
      </c>
      <c r="L448" t="s">
        <v>53</v>
      </c>
      <c r="M448" s="7">
        <v>15525</v>
      </c>
      <c r="N448">
        <v>0.02</v>
      </c>
      <c r="O448" s="7">
        <v>7885</v>
      </c>
      <c r="P448">
        <v>6</v>
      </c>
      <c r="Q448" t="s">
        <v>55</v>
      </c>
      <c r="R448" t="s">
        <v>62</v>
      </c>
      <c r="S448">
        <f t="shared" si="30"/>
        <v>2022</v>
      </c>
      <c r="T448" t="str">
        <f t="shared" si="31"/>
        <v>Mar</v>
      </c>
      <c r="U448">
        <f t="shared" si="32"/>
        <v>3</v>
      </c>
      <c r="V448">
        <f t="shared" si="33"/>
        <v>5</v>
      </c>
      <c r="W448" s="9">
        <f t="shared" si="34"/>
        <v>0.50789049919484697</v>
      </c>
    </row>
    <row r="449" spans="1:23">
      <c r="A449">
        <v>10448</v>
      </c>
      <c r="B449" s="5">
        <v>44644</v>
      </c>
      <c r="C449" s="5">
        <v>44649</v>
      </c>
      <c r="D449" s="5">
        <v>44654</v>
      </c>
      <c r="E449" t="s">
        <v>19</v>
      </c>
      <c r="F449" t="s">
        <v>22</v>
      </c>
      <c r="G449" t="s">
        <v>28</v>
      </c>
      <c r="H449" t="s">
        <v>30</v>
      </c>
      <c r="I449" t="s">
        <v>35</v>
      </c>
      <c r="J449" t="s">
        <v>41</v>
      </c>
      <c r="K449" t="s">
        <v>44</v>
      </c>
      <c r="L449" t="s">
        <v>53</v>
      </c>
      <c r="M449" s="7">
        <v>50609</v>
      </c>
      <c r="N449">
        <v>0.25</v>
      </c>
      <c r="O449" s="7">
        <v>5408</v>
      </c>
      <c r="P449">
        <v>1</v>
      </c>
      <c r="Q449" t="s">
        <v>57</v>
      </c>
      <c r="R449" t="s">
        <v>61</v>
      </c>
      <c r="S449">
        <f t="shared" si="30"/>
        <v>2022</v>
      </c>
      <c r="T449" t="str">
        <f t="shared" si="31"/>
        <v>Mar</v>
      </c>
      <c r="U449">
        <f t="shared" si="32"/>
        <v>5</v>
      </c>
      <c r="V449">
        <f t="shared" si="33"/>
        <v>10</v>
      </c>
      <c r="W449" s="9">
        <f t="shared" si="34"/>
        <v>0.1068584639095813</v>
      </c>
    </row>
    <row r="450" spans="1:23">
      <c r="A450">
        <v>10449</v>
      </c>
      <c r="B450" s="5">
        <v>44645</v>
      </c>
      <c r="C450" s="5">
        <v>44651</v>
      </c>
      <c r="D450" s="5">
        <v>44656</v>
      </c>
      <c r="E450" t="s">
        <v>20</v>
      </c>
      <c r="F450" t="s">
        <v>22</v>
      </c>
      <c r="G450" t="s">
        <v>25</v>
      </c>
      <c r="H450" t="s">
        <v>30</v>
      </c>
      <c r="I450" t="s">
        <v>36</v>
      </c>
      <c r="J450" t="s">
        <v>43</v>
      </c>
      <c r="K450" t="s">
        <v>48</v>
      </c>
      <c r="L450" t="s">
        <v>51</v>
      </c>
      <c r="M450" s="7">
        <v>49175</v>
      </c>
      <c r="N450">
        <v>0.32</v>
      </c>
      <c r="O450" s="7">
        <v>18554</v>
      </c>
      <c r="P450">
        <v>22</v>
      </c>
      <c r="Q450" t="s">
        <v>56</v>
      </c>
      <c r="R450" t="s">
        <v>60</v>
      </c>
      <c r="S450">
        <f t="shared" si="30"/>
        <v>2022</v>
      </c>
      <c r="T450" t="str">
        <f t="shared" si="31"/>
        <v>Mar</v>
      </c>
      <c r="U450">
        <f t="shared" si="32"/>
        <v>6</v>
      </c>
      <c r="V450">
        <f t="shared" si="33"/>
        <v>11</v>
      </c>
      <c r="W450" s="9">
        <f t="shared" si="34"/>
        <v>0.3773055414336553</v>
      </c>
    </row>
    <row r="451" spans="1:23">
      <c r="A451">
        <v>10450</v>
      </c>
      <c r="B451" s="5">
        <v>44646</v>
      </c>
      <c r="C451" s="5">
        <v>44648</v>
      </c>
      <c r="D451" s="5">
        <v>44649</v>
      </c>
      <c r="E451" t="s">
        <v>20</v>
      </c>
      <c r="F451" t="s">
        <v>22</v>
      </c>
      <c r="G451" t="s">
        <v>23</v>
      </c>
      <c r="H451" t="s">
        <v>32</v>
      </c>
      <c r="I451" t="s">
        <v>34</v>
      </c>
      <c r="J451" t="s">
        <v>43</v>
      </c>
      <c r="K451" t="s">
        <v>50</v>
      </c>
      <c r="L451" t="s">
        <v>52</v>
      </c>
      <c r="M451" s="7">
        <v>12342</v>
      </c>
      <c r="N451">
        <v>0.28000000000000003</v>
      </c>
      <c r="O451" s="7">
        <v>11825</v>
      </c>
      <c r="P451">
        <v>24</v>
      </c>
      <c r="Q451" t="s">
        <v>57</v>
      </c>
      <c r="R451" t="s">
        <v>59</v>
      </c>
      <c r="S451">
        <f t="shared" ref="S451:S514" si="35">YEAR(B451)</f>
        <v>2022</v>
      </c>
      <c r="T451" t="str">
        <f t="shared" ref="T451:T514" si="36">TEXT(B451,"mmm")</f>
        <v>Mar</v>
      </c>
      <c r="U451">
        <f t="shared" ref="U451:U514" si="37">C451-B451</f>
        <v>2</v>
      </c>
      <c r="V451">
        <f t="shared" ref="V451:V514" si="38">D451-B451</f>
        <v>3</v>
      </c>
      <c r="W451" s="9">
        <f t="shared" ref="W451:W514" si="39">IFERROR(O451/M451,0)</f>
        <v>0.95811051693404636</v>
      </c>
    </row>
    <row r="452" spans="1:23">
      <c r="A452">
        <v>10451</v>
      </c>
      <c r="B452" s="5">
        <v>44647</v>
      </c>
      <c r="C452" s="5">
        <v>44652</v>
      </c>
      <c r="D452" s="5">
        <v>44655</v>
      </c>
      <c r="E452" t="s">
        <v>21</v>
      </c>
      <c r="F452" t="s">
        <v>22</v>
      </c>
      <c r="G452" t="s">
        <v>28</v>
      </c>
      <c r="H452" t="s">
        <v>31</v>
      </c>
      <c r="I452" t="s">
        <v>34</v>
      </c>
      <c r="J452" t="s">
        <v>39</v>
      </c>
      <c r="K452" t="s">
        <v>46</v>
      </c>
      <c r="L452" t="s">
        <v>51</v>
      </c>
      <c r="M452" s="7">
        <v>23921</v>
      </c>
      <c r="N452">
        <v>0.28999999999999998</v>
      </c>
      <c r="O452" s="7">
        <v>14467</v>
      </c>
      <c r="P452">
        <v>12</v>
      </c>
      <c r="Q452" t="s">
        <v>58</v>
      </c>
      <c r="R452" t="s">
        <v>61</v>
      </c>
      <c r="S452">
        <f t="shared" si="35"/>
        <v>2022</v>
      </c>
      <c r="T452" t="str">
        <f t="shared" si="36"/>
        <v>Mar</v>
      </c>
      <c r="U452">
        <f t="shared" si="37"/>
        <v>5</v>
      </c>
      <c r="V452">
        <f t="shared" si="38"/>
        <v>8</v>
      </c>
      <c r="W452" s="9">
        <f t="shared" si="39"/>
        <v>0.60478240876217548</v>
      </c>
    </row>
    <row r="453" spans="1:23">
      <c r="A453">
        <v>10452</v>
      </c>
      <c r="B453" s="5">
        <v>44648</v>
      </c>
      <c r="C453" s="5">
        <v>44651</v>
      </c>
      <c r="D453" s="5">
        <v>44652</v>
      </c>
      <c r="E453" t="s">
        <v>18</v>
      </c>
      <c r="F453" t="s">
        <v>22</v>
      </c>
      <c r="G453" t="s">
        <v>23</v>
      </c>
      <c r="H453" t="s">
        <v>33</v>
      </c>
      <c r="I453" t="s">
        <v>35</v>
      </c>
      <c r="J453" t="s">
        <v>39</v>
      </c>
      <c r="K453" t="s">
        <v>48</v>
      </c>
      <c r="L453" t="s">
        <v>52</v>
      </c>
      <c r="M453" s="7">
        <v>1681</v>
      </c>
      <c r="N453">
        <v>0.34</v>
      </c>
      <c r="O453" s="7">
        <v>915</v>
      </c>
      <c r="P453">
        <v>23</v>
      </c>
      <c r="Q453" t="s">
        <v>54</v>
      </c>
      <c r="R453" t="s">
        <v>59</v>
      </c>
      <c r="S453">
        <f t="shared" si="35"/>
        <v>2022</v>
      </c>
      <c r="T453" t="str">
        <f t="shared" si="36"/>
        <v>Mar</v>
      </c>
      <c r="U453">
        <f t="shared" si="37"/>
        <v>3</v>
      </c>
      <c r="V453">
        <f t="shared" si="38"/>
        <v>4</v>
      </c>
      <c r="W453" s="9">
        <f t="shared" si="39"/>
        <v>0.5443188578227246</v>
      </c>
    </row>
    <row r="454" spans="1:23">
      <c r="A454">
        <v>10453</v>
      </c>
      <c r="B454" s="5">
        <v>44649</v>
      </c>
      <c r="C454" s="5">
        <v>44655</v>
      </c>
      <c r="D454" s="5">
        <v>44657</v>
      </c>
      <c r="E454" t="s">
        <v>18</v>
      </c>
      <c r="F454" t="s">
        <v>22</v>
      </c>
      <c r="G454" t="s">
        <v>28</v>
      </c>
      <c r="H454" t="s">
        <v>29</v>
      </c>
      <c r="I454" t="s">
        <v>36</v>
      </c>
      <c r="J454" t="s">
        <v>42</v>
      </c>
      <c r="K454" t="s">
        <v>49</v>
      </c>
      <c r="L454" t="s">
        <v>53</v>
      </c>
      <c r="M454" s="7">
        <v>29470</v>
      </c>
      <c r="N454">
        <v>0.33</v>
      </c>
      <c r="O454" s="7">
        <v>10952</v>
      </c>
      <c r="P454">
        <v>17</v>
      </c>
      <c r="Q454" t="s">
        <v>56</v>
      </c>
      <c r="R454" t="s">
        <v>60</v>
      </c>
      <c r="S454">
        <f t="shared" si="35"/>
        <v>2022</v>
      </c>
      <c r="T454" t="str">
        <f t="shared" si="36"/>
        <v>Mar</v>
      </c>
      <c r="U454">
        <f t="shared" si="37"/>
        <v>6</v>
      </c>
      <c r="V454">
        <f t="shared" si="38"/>
        <v>8</v>
      </c>
      <c r="W454" s="9">
        <f t="shared" si="39"/>
        <v>0.37163216830675261</v>
      </c>
    </row>
    <row r="455" spans="1:23">
      <c r="A455">
        <v>10454</v>
      </c>
      <c r="B455" s="5">
        <v>44650</v>
      </c>
      <c r="C455" s="5">
        <v>44652</v>
      </c>
      <c r="D455" s="5">
        <v>44653</v>
      </c>
      <c r="E455" t="s">
        <v>18</v>
      </c>
      <c r="F455" t="s">
        <v>22</v>
      </c>
      <c r="G455" t="s">
        <v>28</v>
      </c>
      <c r="H455" t="s">
        <v>32</v>
      </c>
      <c r="I455" t="s">
        <v>35</v>
      </c>
      <c r="J455" t="s">
        <v>42</v>
      </c>
      <c r="K455" t="s">
        <v>48</v>
      </c>
      <c r="L455" t="s">
        <v>51</v>
      </c>
      <c r="M455" s="7">
        <v>28315</v>
      </c>
      <c r="N455">
        <v>0.19</v>
      </c>
      <c r="O455" s="7">
        <v>7140</v>
      </c>
      <c r="P455">
        <v>23</v>
      </c>
      <c r="Q455" t="s">
        <v>58</v>
      </c>
      <c r="R455" t="s">
        <v>62</v>
      </c>
      <c r="S455">
        <f t="shared" si="35"/>
        <v>2022</v>
      </c>
      <c r="T455" t="str">
        <f t="shared" si="36"/>
        <v>Mar</v>
      </c>
      <c r="U455">
        <f t="shared" si="37"/>
        <v>2</v>
      </c>
      <c r="V455">
        <f t="shared" si="38"/>
        <v>3</v>
      </c>
      <c r="W455" s="9">
        <f t="shared" si="39"/>
        <v>0.25216316440049441</v>
      </c>
    </row>
    <row r="456" spans="1:23">
      <c r="A456">
        <v>10455</v>
      </c>
      <c r="B456" s="5">
        <v>44651</v>
      </c>
      <c r="C456" s="5">
        <v>44656</v>
      </c>
      <c r="D456" s="5">
        <v>44659</v>
      </c>
      <c r="E456" t="s">
        <v>19</v>
      </c>
      <c r="F456" t="s">
        <v>22</v>
      </c>
      <c r="G456" t="s">
        <v>26</v>
      </c>
      <c r="H456" t="s">
        <v>33</v>
      </c>
      <c r="I456" t="s">
        <v>34</v>
      </c>
      <c r="J456" t="s">
        <v>37</v>
      </c>
      <c r="K456" t="s">
        <v>45</v>
      </c>
      <c r="L456" t="s">
        <v>53</v>
      </c>
      <c r="M456" s="7">
        <v>17357</v>
      </c>
      <c r="N456">
        <v>0.15</v>
      </c>
      <c r="O456" s="7">
        <v>12978</v>
      </c>
      <c r="P456">
        <v>8</v>
      </c>
      <c r="Q456" t="s">
        <v>56</v>
      </c>
      <c r="R456" t="s">
        <v>60</v>
      </c>
      <c r="S456">
        <f t="shared" si="35"/>
        <v>2022</v>
      </c>
      <c r="T456" t="str">
        <f t="shared" si="36"/>
        <v>Mar</v>
      </c>
      <c r="U456">
        <f t="shared" si="37"/>
        <v>5</v>
      </c>
      <c r="V456">
        <f t="shared" si="38"/>
        <v>8</v>
      </c>
      <c r="W456" s="9">
        <f t="shared" si="39"/>
        <v>0.74770985769430198</v>
      </c>
    </row>
    <row r="457" spans="1:23">
      <c r="A457">
        <v>10456</v>
      </c>
      <c r="B457" s="5">
        <v>44652</v>
      </c>
      <c r="C457" s="5">
        <v>44655</v>
      </c>
      <c r="D457" s="5">
        <v>44657</v>
      </c>
      <c r="E457" t="s">
        <v>19</v>
      </c>
      <c r="F457" t="s">
        <v>22</v>
      </c>
      <c r="G457" t="s">
        <v>24</v>
      </c>
      <c r="H457" t="s">
        <v>25</v>
      </c>
      <c r="I457" t="s">
        <v>36</v>
      </c>
      <c r="J457" t="s">
        <v>43</v>
      </c>
      <c r="K457" t="s">
        <v>44</v>
      </c>
      <c r="L457" t="s">
        <v>52</v>
      </c>
      <c r="M457" s="7">
        <v>9601</v>
      </c>
      <c r="N457">
        <v>0.18</v>
      </c>
      <c r="O457" s="7">
        <v>16529</v>
      </c>
      <c r="P457">
        <v>3</v>
      </c>
      <c r="Q457" t="s">
        <v>56</v>
      </c>
      <c r="R457" t="s">
        <v>59</v>
      </c>
      <c r="S457">
        <f t="shared" si="35"/>
        <v>2022</v>
      </c>
      <c r="T457" t="str">
        <f t="shared" si="36"/>
        <v>Apr</v>
      </c>
      <c r="U457">
        <f t="shared" si="37"/>
        <v>3</v>
      </c>
      <c r="V457">
        <f t="shared" si="38"/>
        <v>5</v>
      </c>
      <c r="W457" s="9">
        <f t="shared" si="39"/>
        <v>1.7215915008853244</v>
      </c>
    </row>
    <row r="458" spans="1:23">
      <c r="A458">
        <v>10457</v>
      </c>
      <c r="B458" s="5">
        <v>44653</v>
      </c>
      <c r="C458" s="5">
        <v>44659</v>
      </c>
      <c r="D458" s="5">
        <v>44664</v>
      </c>
      <c r="E458" t="s">
        <v>20</v>
      </c>
      <c r="F458" t="s">
        <v>22</v>
      </c>
      <c r="G458" t="s">
        <v>24</v>
      </c>
      <c r="H458" t="s">
        <v>31</v>
      </c>
      <c r="I458" t="s">
        <v>34</v>
      </c>
      <c r="J458" t="s">
        <v>43</v>
      </c>
      <c r="K458" t="s">
        <v>48</v>
      </c>
      <c r="L458" t="s">
        <v>53</v>
      </c>
      <c r="M458" s="7">
        <v>31239</v>
      </c>
      <c r="N458">
        <v>0.18</v>
      </c>
      <c r="O458" s="7">
        <v>16217</v>
      </c>
      <c r="P458">
        <v>5</v>
      </c>
      <c r="Q458" t="s">
        <v>56</v>
      </c>
      <c r="R458" t="s">
        <v>59</v>
      </c>
      <c r="S458">
        <f t="shared" si="35"/>
        <v>2022</v>
      </c>
      <c r="T458" t="str">
        <f t="shared" si="36"/>
        <v>Apr</v>
      </c>
      <c r="U458">
        <f t="shared" si="37"/>
        <v>6</v>
      </c>
      <c r="V458">
        <f t="shared" si="38"/>
        <v>11</v>
      </c>
      <c r="W458" s="9">
        <f t="shared" si="39"/>
        <v>0.51912673260987863</v>
      </c>
    </row>
    <row r="459" spans="1:23">
      <c r="A459">
        <v>10458</v>
      </c>
      <c r="B459" s="5">
        <v>44654</v>
      </c>
      <c r="C459" s="5">
        <v>44656</v>
      </c>
      <c r="D459" s="5">
        <v>44659</v>
      </c>
      <c r="E459" t="s">
        <v>18</v>
      </c>
      <c r="F459" t="s">
        <v>22</v>
      </c>
      <c r="G459" t="s">
        <v>26</v>
      </c>
      <c r="H459" t="s">
        <v>33</v>
      </c>
      <c r="I459" t="s">
        <v>34</v>
      </c>
      <c r="J459" t="s">
        <v>38</v>
      </c>
      <c r="K459" t="s">
        <v>48</v>
      </c>
      <c r="L459" t="s">
        <v>52</v>
      </c>
      <c r="M459" s="7">
        <v>30432</v>
      </c>
      <c r="N459">
        <v>0.28999999999999998</v>
      </c>
      <c r="O459" s="7">
        <v>16379</v>
      </c>
      <c r="P459">
        <v>7</v>
      </c>
      <c r="Q459" t="s">
        <v>54</v>
      </c>
      <c r="R459" t="s">
        <v>59</v>
      </c>
      <c r="S459">
        <f t="shared" si="35"/>
        <v>2022</v>
      </c>
      <c r="T459" t="str">
        <f t="shared" si="36"/>
        <v>Apr</v>
      </c>
      <c r="U459">
        <f t="shared" si="37"/>
        <v>2</v>
      </c>
      <c r="V459">
        <f t="shared" si="38"/>
        <v>5</v>
      </c>
      <c r="W459" s="9">
        <f t="shared" si="39"/>
        <v>0.53821635120925337</v>
      </c>
    </row>
    <row r="460" spans="1:23">
      <c r="A460">
        <v>10459</v>
      </c>
      <c r="B460" s="5">
        <v>44655</v>
      </c>
      <c r="C460" s="5">
        <v>44661</v>
      </c>
      <c r="D460" s="5">
        <v>44666</v>
      </c>
      <c r="E460" t="s">
        <v>20</v>
      </c>
      <c r="F460" t="s">
        <v>22</v>
      </c>
      <c r="G460" t="s">
        <v>24</v>
      </c>
      <c r="H460" t="s">
        <v>33</v>
      </c>
      <c r="I460" t="s">
        <v>34</v>
      </c>
      <c r="J460" t="s">
        <v>41</v>
      </c>
      <c r="K460" t="s">
        <v>48</v>
      </c>
      <c r="L460" t="s">
        <v>52</v>
      </c>
      <c r="M460" s="7">
        <v>10524</v>
      </c>
      <c r="N460">
        <v>0.31</v>
      </c>
      <c r="O460" s="7">
        <v>14458</v>
      </c>
      <c r="P460">
        <v>10</v>
      </c>
      <c r="Q460" t="s">
        <v>55</v>
      </c>
      <c r="R460" t="s">
        <v>60</v>
      </c>
      <c r="S460">
        <f t="shared" si="35"/>
        <v>2022</v>
      </c>
      <c r="T460" t="str">
        <f t="shared" si="36"/>
        <v>Apr</v>
      </c>
      <c r="U460">
        <f t="shared" si="37"/>
        <v>6</v>
      </c>
      <c r="V460">
        <f t="shared" si="38"/>
        <v>11</v>
      </c>
      <c r="W460" s="9">
        <f t="shared" si="39"/>
        <v>1.3738122386925125</v>
      </c>
    </row>
    <row r="461" spans="1:23">
      <c r="A461">
        <v>10460</v>
      </c>
      <c r="B461" s="5">
        <v>44656</v>
      </c>
      <c r="C461" s="5">
        <v>44659</v>
      </c>
      <c r="D461" s="5">
        <v>44663</v>
      </c>
      <c r="E461" t="s">
        <v>18</v>
      </c>
      <c r="F461" t="s">
        <v>22</v>
      </c>
      <c r="G461" t="s">
        <v>27</v>
      </c>
      <c r="H461" t="s">
        <v>33</v>
      </c>
      <c r="I461" t="s">
        <v>34</v>
      </c>
      <c r="J461" t="s">
        <v>40</v>
      </c>
      <c r="K461" t="s">
        <v>50</v>
      </c>
      <c r="L461" t="s">
        <v>53</v>
      </c>
      <c r="M461" s="7">
        <v>4928</v>
      </c>
      <c r="N461">
        <v>0.28000000000000003</v>
      </c>
      <c r="O461" s="7">
        <v>5864</v>
      </c>
      <c r="P461">
        <v>17</v>
      </c>
      <c r="Q461" t="s">
        <v>58</v>
      </c>
      <c r="R461" t="s">
        <v>61</v>
      </c>
      <c r="S461">
        <f t="shared" si="35"/>
        <v>2022</v>
      </c>
      <c r="T461" t="str">
        <f t="shared" si="36"/>
        <v>Apr</v>
      </c>
      <c r="U461">
        <f t="shared" si="37"/>
        <v>3</v>
      </c>
      <c r="V461">
        <f t="shared" si="38"/>
        <v>7</v>
      </c>
      <c r="W461" s="9">
        <f t="shared" si="39"/>
        <v>1.1899350649350648</v>
      </c>
    </row>
    <row r="462" spans="1:23">
      <c r="A462">
        <v>10461</v>
      </c>
      <c r="B462" s="5">
        <v>44657</v>
      </c>
      <c r="C462" s="5">
        <v>44659</v>
      </c>
      <c r="D462" s="5">
        <v>44663</v>
      </c>
      <c r="E462" t="s">
        <v>20</v>
      </c>
      <c r="F462" t="s">
        <v>22</v>
      </c>
      <c r="G462" t="s">
        <v>23</v>
      </c>
      <c r="H462" t="s">
        <v>31</v>
      </c>
      <c r="I462" t="s">
        <v>35</v>
      </c>
      <c r="J462" t="s">
        <v>37</v>
      </c>
      <c r="K462" t="s">
        <v>50</v>
      </c>
      <c r="L462" t="s">
        <v>51</v>
      </c>
      <c r="M462" s="7">
        <v>59186</v>
      </c>
      <c r="N462">
        <v>0.28999999999999998</v>
      </c>
      <c r="O462" s="7">
        <v>10369</v>
      </c>
      <c r="P462">
        <v>11</v>
      </c>
      <c r="Q462" t="s">
        <v>55</v>
      </c>
      <c r="R462" t="s">
        <v>61</v>
      </c>
      <c r="S462">
        <f t="shared" si="35"/>
        <v>2022</v>
      </c>
      <c r="T462" t="str">
        <f t="shared" si="36"/>
        <v>Apr</v>
      </c>
      <c r="U462">
        <f t="shared" si="37"/>
        <v>2</v>
      </c>
      <c r="V462">
        <f t="shared" si="38"/>
        <v>6</v>
      </c>
      <c r="W462" s="9">
        <f t="shared" si="39"/>
        <v>0.17519345791234414</v>
      </c>
    </row>
    <row r="463" spans="1:23">
      <c r="A463">
        <v>10462</v>
      </c>
      <c r="B463" s="5">
        <v>44658</v>
      </c>
      <c r="C463" s="5">
        <v>44663</v>
      </c>
      <c r="D463" s="5">
        <v>44666</v>
      </c>
      <c r="E463" t="s">
        <v>18</v>
      </c>
      <c r="F463" t="s">
        <v>22</v>
      </c>
      <c r="G463" t="s">
        <v>25</v>
      </c>
      <c r="H463" t="s">
        <v>30</v>
      </c>
      <c r="I463" t="s">
        <v>36</v>
      </c>
      <c r="J463" t="s">
        <v>40</v>
      </c>
      <c r="K463" t="s">
        <v>48</v>
      </c>
      <c r="L463" t="s">
        <v>51</v>
      </c>
      <c r="M463" s="7">
        <v>55106</v>
      </c>
      <c r="N463">
        <v>0.06</v>
      </c>
      <c r="O463" s="7">
        <v>14676</v>
      </c>
      <c r="P463">
        <v>18</v>
      </c>
      <c r="Q463" t="s">
        <v>55</v>
      </c>
      <c r="R463" t="s">
        <v>62</v>
      </c>
      <c r="S463">
        <f t="shared" si="35"/>
        <v>2022</v>
      </c>
      <c r="T463" t="str">
        <f t="shared" si="36"/>
        <v>Apr</v>
      </c>
      <c r="U463">
        <f t="shared" si="37"/>
        <v>5</v>
      </c>
      <c r="V463">
        <f t="shared" si="38"/>
        <v>8</v>
      </c>
      <c r="W463" s="9">
        <f t="shared" si="39"/>
        <v>0.26632308641527236</v>
      </c>
    </row>
    <row r="464" spans="1:23">
      <c r="A464">
        <v>10463</v>
      </c>
      <c r="B464" s="5">
        <v>44659</v>
      </c>
      <c r="C464" s="5">
        <v>44665</v>
      </c>
      <c r="D464" s="5">
        <v>44666</v>
      </c>
      <c r="E464" t="s">
        <v>20</v>
      </c>
      <c r="F464" t="s">
        <v>22</v>
      </c>
      <c r="G464" t="s">
        <v>25</v>
      </c>
      <c r="H464" t="s">
        <v>30</v>
      </c>
      <c r="I464" t="s">
        <v>36</v>
      </c>
      <c r="J464" t="s">
        <v>42</v>
      </c>
      <c r="K464" t="s">
        <v>45</v>
      </c>
      <c r="L464" t="s">
        <v>51</v>
      </c>
      <c r="M464" s="7">
        <v>21534</v>
      </c>
      <c r="N464">
        <v>0.04</v>
      </c>
      <c r="O464" s="7">
        <v>16149</v>
      </c>
      <c r="P464">
        <v>4</v>
      </c>
      <c r="Q464" t="s">
        <v>57</v>
      </c>
      <c r="R464" t="s">
        <v>59</v>
      </c>
      <c r="S464">
        <f t="shared" si="35"/>
        <v>2022</v>
      </c>
      <c r="T464" t="str">
        <f t="shared" si="36"/>
        <v>Apr</v>
      </c>
      <c r="U464">
        <f t="shared" si="37"/>
        <v>6</v>
      </c>
      <c r="V464">
        <f t="shared" si="38"/>
        <v>7</v>
      </c>
      <c r="W464" s="9">
        <f t="shared" si="39"/>
        <v>0.74993034271384784</v>
      </c>
    </row>
    <row r="465" spans="1:23">
      <c r="A465">
        <v>10464</v>
      </c>
      <c r="B465" s="5">
        <v>44660</v>
      </c>
      <c r="C465" s="5">
        <v>44665</v>
      </c>
      <c r="D465" s="5">
        <v>44669</v>
      </c>
      <c r="E465" t="s">
        <v>21</v>
      </c>
      <c r="F465" t="s">
        <v>22</v>
      </c>
      <c r="G465" t="s">
        <v>23</v>
      </c>
      <c r="H465" t="s">
        <v>25</v>
      </c>
      <c r="I465" t="s">
        <v>36</v>
      </c>
      <c r="J465" t="s">
        <v>37</v>
      </c>
      <c r="K465" t="s">
        <v>44</v>
      </c>
      <c r="L465" t="s">
        <v>52</v>
      </c>
      <c r="M465" s="7">
        <v>63655</v>
      </c>
      <c r="N465">
        <v>0.19</v>
      </c>
      <c r="O465" s="7">
        <v>14966</v>
      </c>
      <c r="P465">
        <v>1</v>
      </c>
      <c r="Q465" t="s">
        <v>57</v>
      </c>
      <c r="R465" t="s">
        <v>62</v>
      </c>
      <c r="S465">
        <f t="shared" si="35"/>
        <v>2022</v>
      </c>
      <c r="T465" t="str">
        <f t="shared" si="36"/>
        <v>Apr</v>
      </c>
      <c r="U465">
        <f t="shared" si="37"/>
        <v>5</v>
      </c>
      <c r="V465">
        <f t="shared" si="38"/>
        <v>9</v>
      </c>
      <c r="W465" s="9">
        <f t="shared" si="39"/>
        <v>0.23511114602152228</v>
      </c>
    </row>
    <row r="466" spans="1:23">
      <c r="A466">
        <v>10465</v>
      </c>
      <c r="B466" s="5">
        <v>44661</v>
      </c>
      <c r="C466" s="5">
        <v>44665</v>
      </c>
      <c r="D466" s="5">
        <v>44670</v>
      </c>
      <c r="E466" t="s">
        <v>18</v>
      </c>
      <c r="F466" t="s">
        <v>22</v>
      </c>
      <c r="G466" t="s">
        <v>24</v>
      </c>
      <c r="H466" t="s">
        <v>31</v>
      </c>
      <c r="I466" t="s">
        <v>35</v>
      </c>
      <c r="J466" t="s">
        <v>42</v>
      </c>
      <c r="K466" t="s">
        <v>44</v>
      </c>
      <c r="L466" t="s">
        <v>51</v>
      </c>
      <c r="M466" s="7">
        <v>48538</v>
      </c>
      <c r="N466">
        <v>7.0000000000000007E-2</v>
      </c>
      <c r="O466" s="7">
        <v>8859</v>
      </c>
      <c r="P466">
        <v>21</v>
      </c>
      <c r="Q466" t="s">
        <v>55</v>
      </c>
      <c r="R466" t="s">
        <v>61</v>
      </c>
      <c r="S466">
        <f t="shared" si="35"/>
        <v>2022</v>
      </c>
      <c r="T466" t="str">
        <f t="shared" si="36"/>
        <v>Apr</v>
      </c>
      <c r="U466">
        <f t="shared" si="37"/>
        <v>4</v>
      </c>
      <c r="V466">
        <f t="shared" si="38"/>
        <v>9</v>
      </c>
      <c r="W466" s="9">
        <f t="shared" si="39"/>
        <v>0.18251679096790144</v>
      </c>
    </row>
    <row r="467" spans="1:23">
      <c r="A467">
        <v>10466</v>
      </c>
      <c r="B467" s="5">
        <v>44662</v>
      </c>
      <c r="C467" s="5">
        <v>44667</v>
      </c>
      <c r="D467" s="5">
        <v>44670</v>
      </c>
      <c r="E467" t="s">
        <v>18</v>
      </c>
      <c r="F467" t="s">
        <v>22</v>
      </c>
      <c r="G467" t="s">
        <v>25</v>
      </c>
      <c r="H467" t="s">
        <v>25</v>
      </c>
      <c r="I467" t="s">
        <v>34</v>
      </c>
      <c r="J467" t="s">
        <v>42</v>
      </c>
      <c r="K467" t="s">
        <v>49</v>
      </c>
      <c r="L467" t="s">
        <v>52</v>
      </c>
      <c r="M467" s="7">
        <v>51357</v>
      </c>
      <c r="N467">
        <v>0.23</v>
      </c>
      <c r="O467" s="7">
        <v>3475</v>
      </c>
      <c r="P467">
        <v>21</v>
      </c>
      <c r="Q467" t="s">
        <v>56</v>
      </c>
      <c r="R467" t="s">
        <v>59</v>
      </c>
      <c r="S467">
        <f t="shared" si="35"/>
        <v>2022</v>
      </c>
      <c r="T467" t="str">
        <f t="shared" si="36"/>
        <v>Apr</v>
      </c>
      <c r="U467">
        <f t="shared" si="37"/>
        <v>5</v>
      </c>
      <c r="V467">
        <f t="shared" si="38"/>
        <v>8</v>
      </c>
      <c r="W467" s="9">
        <f t="shared" si="39"/>
        <v>6.7663609634519145E-2</v>
      </c>
    </row>
    <row r="468" spans="1:23">
      <c r="A468">
        <v>10467</v>
      </c>
      <c r="B468" s="5">
        <v>44663</v>
      </c>
      <c r="C468" s="5">
        <v>44665</v>
      </c>
      <c r="D468" s="5">
        <v>44666</v>
      </c>
      <c r="E468" t="s">
        <v>21</v>
      </c>
      <c r="F468" t="s">
        <v>22</v>
      </c>
      <c r="G468" t="s">
        <v>24</v>
      </c>
      <c r="H468" t="s">
        <v>32</v>
      </c>
      <c r="I468" t="s">
        <v>35</v>
      </c>
      <c r="J468" t="s">
        <v>40</v>
      </c>
      <c r="K468" t="s">
        <v>50</v>
      </c>
      <c r="L468" t="s">
        <v>52</v>
      </c>
      <c r="M468" s="7">
        <v>68046</v>
      </c>
      <c r="N468">
        <v>0.38</v>
      </c>
      <c r="O468" s="7">
        <v>10769</v>
      </c>
      <c r="P468">
        <v>9</v>
      </c>
      <c r="Q468" t="s">
        <v>58</v>
      </c>
      <c r="R468" t="s">
        <v>62</v>
      </c>
      <c r="S468">
        <f t="shared" si="35"/>
        <v>2022</v>
      </c>
      <c r="T468" t="str">
        <f t="shared" si="36"/>
        <v>Apr</v>
      </c>
      <c r="U468">
        <f t="shared" si="37"/>
        <v>2</v>
      </c>
      <c r="V468">
        <f t="shared" si="38"/>
        <v>3</v>
      </c>
      <c r="W468" s="9">
        <f t="shared" si="39"/>
        <v>0.15826058842547688</v>
      </c>
    </row>
    <row r="469" spans="1:23">
      <c r="A469">
        <v>10468</v>
      </c>
      <c r="B469" s="5">
        <v>44664</v>
      </c>
      <c r="C469" s="5">
        <v>44667</v>
      </c>
      <c r="D469" s="5">
        <v>44670</v>
      </c>
      <c r="E469" t="s">
        <v>20</v>
      </c>
      <c r="F469" t="s">
        <v>22</v>
      </c>
      <c r="G469" t="s">
        <v>23</v>
      </c>
      <c r="H469" t="s">
        <v>33</v>
      </c>
      <c r="I469" t="s">
        <v>35</v>
      </c>
      <c r="J469" t="s">
        <v>37</v>
      </c>
      <c r="K469" t="s">
        <v>50</v>
      </c>
      <c r="L469" t="s">
        <v>52</v>
      </c>
      <c r="M469" s="7">
        <v>11409</v>
      </c>
      <c r="N469">
        <v>0.05</v>
      </c>
      <c r="O469" s="7">
        <v>12057</v>
      </c>
      <c r="P469">
        <v>10</v>
      </c>
      <c r="Q469" t="s">
        <v>57</v>
      </c>
      <c r="R469" t="s">
        <v>59</v>
      </c>
      <c r="S469">
        <f t="shared" si="35"/>
        <v>2022</v>
      </c>
      <c r="T469" t="str">
        <f t="shared" si="36"/>
        <v>Apr</v>
      </c>
      <c r="U469">
        <f t="shared" si="37"/>
        <v>3</v>
      </c>
      <c r="V469">
        <f t="shared" si="38"/>
        <v>6</v>
      </c>
      <c r="W469" s="9">
        <f t="shared" si="39"/>
        <v>1.0567972653168551</v>
      </c>
    </row>
    <row r="470" spans="1:23">
      <c r="A470">
        <v>10469</v>
      </c>
      <c r="B470" s="5">
        <v>44665</v>
      </c>
      <c r="C470" s="5">
        <v>44671</v>
      </c>
      <c r="D470" s="5">
        <v>44672</v>
      </c>
      <c r="E470" t="s">
        <v>21</v>
      </c>
      <c r="F470" t="s">
        <v>22</v>
      </c>
      <c r="G470" t="s">
        <v>27</v>
      </c>
      <c r="H470" t="s">
        <v>30</v>
      </c>
      <c r="I470" t="s">
        <v>35</v>
      </c>
      <c r="J470" t="s">
        <v>42</v>
      </c>
      <c r="K470" t="s">
        <v>45</v>
      </c>
      <c r="L470" t="s">
        <v>53</v>
      </c>
      <c r="M470" s="7">
        <v>28660</v>
      </c>
      <c r="N470">
        <v>0.04</v>
      </c>
      <c r="O470" s="7">
        <v>1904</v>
      </c>
      <c r="P470">
        <v>20</v>
      </c>
      <c r="Q470" t="s">
        <v>55</v>
      </c>
      <c r="R470" t="s">
        <v>60</v>
      </c>
      <c r="S470">
        <f t="shared" si="35"/>
        <v>2022</v>
      </c>
      <c r="T470" t="str">
        <f t="shared" si="36"/>
        <v>Apr</v>
      </c>
      <c r="U470">
        <f t="shared" si="37"/>
        <v>6</v>
      </c>
      <c r="V470">
        <f t="shared" si="38"/>
        <v>7</v>
      </c>
      <c r="W470" s="9">
        <f t="shared" si="39"/>
        <v>6.6434054431263087E-2</v>
      </c>
    </row>
    <row r="471" spans="1:23">
      <c r="A471">
        <v>10470</v>
      </c>
      <c r="B471" s="5">
        <v>44666</v>
      </c>
      <c r="C471" s="5">
        <v>44670</v>
      </c>
      <c r="D471" s="5">
        <v>44673</v>
      </c>
      <c r="E471" t="s">
        <v>18</v>
      </c>
      <c r="F471" t="s">
        <v>22</v>
      </c>
      <c r="G471" t="s">
        <v>25</v>
      </c>
      <c r="H471" t="s">
        <v>25</v>
      </c>
      <c r="I471" t="s">
        <v>36</v>
      </c>
      <c r="J471" t="s">
        <v>39</v>
      </c>
      <c r="K471" t="s">
        <v>47</v>
      </c>
      <c r="L471" t="s">
        <v>53</v>
      </c>
      <c r="M471" s="7">
        <v>16900</v>
      </c>
      <c r="N471">
        <v>0.2</v>
      </c>
      <c r="O471" s="7">
        <v>1429</v>
      </c>
      <c r="P471">
        <v>8</v>
      </c>
      <c r="Q471" t="s">
        <v>54</v>
      </c>
      <c r="R471" t="s">
        <v>59</v>
      </c>
      <c r="S471">
        <f t="shared" si="35"/>
        <v>2022</v>
      </c>
      <c r="T471" t="str">
        <f t="shared" si="36"/>
        <v>Apr</v>
      </c>
      <c r="U471">
        <f t="shared" si="37"/>
        <v>4</v>
      </c>
      <c r="V471">
        <f t="shared" si="38"/>
        <v>7</v>
      </c>
      <c r="W471" s="9">
        <f t="shared" si="39"/>
        <v>8.4556213017751486E-2</v>
      </c>
    </row>
    <row r="472" spans="1:23">
      <c r="A472">
        <v>10471</v>
      </c>
      <c r="B472" s="5">
        <v>44667</v>
      </c>
      <c r="C472" s="5">
        <v>44674</v>
      </c>
      <c r="D472" s="5">
        <v>44676</v>
      </c>
      <c r="E472" t="s">
        <v>21</v>
      </c>
      <c r="F472" t="s">
        <v>22</v>
      </c>
      <c r="G472" t="s">
        <v>23</v>
      </c>
      <c r="H472" t="s">
        <v>29</v>
      </c>
      <c r="I472" t="s">
        <v>35</v>
      </c>
      <c r="J472" t="s">
        <v>37</v>
      </c>
      <c r="K472" t="s">
        <v>48</v>
      </c>
      <c r="L472" t="s">
        <v>52</v>
      </c>
      <c r="M472" s="7">
        <v>49345</v>
      </c>
      <c r="N472">
        <v>0.21</v>
      </c>
      <c r="O472" s="7">
        <v>10220</v>
      </c>
      <c r="P472">
        <v>21</v>
      </c>
      <c r="Q472" t="s">
        <v>57</v>
      </c>
      <c r="R472" t="s">
        <v>62</v>
      </c>
      <c r="S472">
        <f t="shared" si="35"/>
        <v>2022</v>
      </c>
      <c r="T472" t="str">
        <f t="shared" si="36"/>
        <v>Apr</v>
      </c>
      <c r="U472">
        <f t="shared" si="37"/>
        <v>7</v>
      </c>
      <c r="V472">
        <f t="shared" si="38"/>
        <v>9</v>
      </c>
      <c r="W472" s="9">
        <f t="shared" si="39"/>
        <v>0.20711318269328199</v>
      </c>
    </row>
    <row r="473" spans="1:23">
      <c r="A473">
        <v>10472</v>
      </c>
      <c r="B473" s="5">
        <v>44668</v>
      </c>
      <c r="C473" s="5">
        <v>44673</v>
      </c>
      <c r="D473" s="5">
        <v>44675</v>
      </c>
      <c r="E473" t="s">
        <v>20</v>
      </c>
      <c r="F473" t="s">
        <v>22</v>
      </c>
      <c r="G473" t="s">
        <v>26</v>
      </c>
      <c r="H473" t="s">
        <v>25</v>
      </c>
      <c r="I473" t="s">
        <v>34</v>
      </c>
      <c r="J473" t="s">
        <v>40</v>
      </c>
      <c r="K473" t="s">
        <v>49</v>
      </c>
      <c r="L473" t="s">
        <v>53</v>
      </c>
      <c r="M473" s="7">
        <v>59722</v>
      </c>
      <c r="N473">
        <v>0.08</v>
      </c>
      <c r="O473" s="7">
        <v>5681</v>
      </c>
      <c r="P473">
        <v>23</v>
      </c>
      <c r="Q473" t="s">
        <v>56</v>
      </c>
      <c r="R473" t="s">
        <v>60</v>
      </c>
      <c r="S473">
        <f t="shared" si="35"/>
        <v>2022</v>
      </c>
      <c r="T473" t="str">
        <f t="shared" si="36"/>
        <v>Apr</v>
      </c>
      <c r="U473">
        <f t="shared" si="37"/>
        <v>5</v>
      </c>
      <c r="V473">
        <f t="shared" si="38"/>
        <v>7</v>
      </c>
      <c r="W473" s="9">
        <f t="shared" si="39"/>
        <v>9.5124074880278631E-2</v>
      </c>
    </row>
    <row r="474" spans="1:23">
      <c r="A474">
        <v>10473</v>
      </c>
      <c r="B474" s="5">
        <v>44669</v>
      </c>
      <c r="C474" s="5">
        <v>44675</v>
      </c>
      <c r="D474" s="5">
        <v>44680</v>
      </c>
      <c r="E474" t="s">
        <v>20</v>
      </c>
      <c r="F474" t="s">
        <v>22</v>
      </c>
      <c r="G474" t="s">
        <v>28</v>
      </c>
      <c r="H474" t="s">
        <v>29</v>
      </c>
      <c r="I474" t="s">
        <v>34</v>
      </c>
      <c r="J474" t="s">
        <v>39</v>
      </c>
      <c r="K474" t="s">
        <v>46</v>
      </c>
      <c r="L474" t="s">
        <v>51</v>
      </c>
      <c r="M474" s="7">
        <v>17070</v>
      </c>
      <c r="N474">
        <v>0.08</v>
      </c>
      <c r="O474" s="7">
        <v>510</v>
      </c>
      <c r="P474">
        <v>24</v>
      </c>
      <c r="Q474" t="s">
        <v>57</v>
      </c>
      <c r="R474" t="s">
        <v>60</v>
      </c>
      <c r="S474">
        <f t="shared" si="35"/>
        <v>2022</v>
      </c>
      <c r="T474" t="str">
        <f t="shared" si="36"/>
        <v>Apr</v>
      </c>
      <c r="U474">
        <f t="shared" si="37"/>
        <v>6</v>
      </c>
      <c r="V474">
        <f t="shared" si="38"/>
        <v>11</v>
      </c>
      <c r="W474" s="9">
        <f t="shared" si="39"/>
        <v>2.9876977152899824E-2</v>
      </c>
    </row>
    <row r="475" spans="1:23">
      <c r="A475">
        <v>10474</v>
      </c>
      <c r="B475" s="5">
        <v>44670</v>
      </c>
      <c r="C475" s="5">
        <v>44672</v>
      </c>
      <c r="D475" s="5">
        <v>44677</v>
      </c>
      <c r="E475" t="s">
        <v>19</v>
      </c>
      <c r="F475" t="s">
        <v>22</v>
      </c>
      <c r="G475" t="s">
        <v>27</v>
      </c>
      <c r="H475" t="s">
        <v>25</v>
      </c>
      <c r="I475" t="s">
        <v>34</v>
      </c>
      <c r="J475" t="s">
        <v>41</v>
      </c>
      <c r="K475" t="s">
        <v>46</v>
      </c>
      <c r="L475" t="s">
        <v>53</v>
      </c>
      <c r="M475" s="7">
        <v>1874</v>
      </c>
      <c r="N475">
        <v>0.39</v>
      </c>
      <c r="O475" s="7">
        <v>11705</v>
      </c>
      <c r="P475">
        <v>10</v>
      </c>
      <c r="Q475" t="s">
        <v>54</v>
      </c>
      <c r="R475" t="s">
        <v>62</v>
      </c>
      <c r="S475">
        <f t="shared" si="35"/>
        <v>2022</v>
      </c>
      <c r="T475" t="str">
        <f t="shared" si="36"/>
        <v>Apr</v>
      </c>
      <c r="U475">
        <f t="shared" si="37"/>
        <v>2</v>
      </c>
      <c r="V475">
        <f t="shared" si="38"/>
        <v>7</v>
      </c>
      <c r="W475" s="9">
        <f t="shared" si="39"/>
        <v>6.245997865528282</v>
      </c>
    </row>
    <row r="476" spans="1:23">
      <c r="A476">
        <v>10475</v>
      </c>
      <c r="B476" s="5">
        <v>44671</v>
      </c>
      <c r="C476" s="5">
        <v>44676</v>
      </c>
      <c r="D476" s="5">
        <v>44677</v>
      </c>
      <c r="E476" t="s">
        <v>19</v>
      </c>
      <c r="F476" t="s">
        <v>22</v>
      </c>
      <c r="G476" t="s">
        <v>24</v>
      </c>
      <c r="H476" t="s">
        <v>33</v>
      </c>
      <c r="I476" t="s">
        <v>34</v>
      </c>
      <c r="J476" t="s">
        <v>38</v>
      </c>
      <c r="K476" t="s">
        <v>46</v>
      </c>
      <c r="L476" t="s">
        <v>52</v>
      </c>
      <c r="M476" s="7">
        <v>37421</v>
      </c>
      <c r="N476">
        <v>0.03</v>
      </c>
      <c r="O476" s="7">
        <v>11869</v>
      </c>
      <c r="P476">
        <v>19</v>
      </c>
      <c r="Q476" t="s">
        <v>58</v>
      </c>
      <c r="R476" t="s">
        <v>60</v>
      </c>
      <c r="S476">
        <f t="shared" si="35"/>
        <v>2022</v>
      </c>
      <c r="T476" t="str">
        <f t="shared" si="36"/>
        <v>Apr</v>
      </c>
      <c r="U476">
        <f t="shared" si="37"/>
        <v>5</v>
      </c>
      <c r="V476">
        <f t="shared" si="38"/>
        <v>6</v>
      </c>
      <c r="W476" s="9">
        <f t="shared" si="39"/>
        <v>0.31717484834718473</v>
      </c>
    </row>
    <row r="477" spans="1:23">
      <c r="A477">
        <v>10476</v>
      </c>
      <c r="B477" s="5">
        <v>44672</v>
      </c>
      <c r="C477" s="5">
        <v>44675</v>
      </c>
      <c r="D477" s="5">
        <v>44676</v>
      </c>
      <c r="E477" t="s">
        <v>18</v>
      </c>
      <c r="F477" t="s">
        <v>22</v>
      </c>
      <c r="G477" t="s">
        <v>26</v>
      </c>
      <c r="H477" t="s">
        <v>29</v>
      </c>
      <c r="I477" t="s">
        <v>36</v>
      </c>
      <c r="J477" t="s">
        <v>43</v>
      </c>
      <c r="K477" t="s">
        <v>48</v>
      </c>
      <c r="L477" t="s">
        <v>51</v>
      </c>
      <c r="M477" s="7">
        <v>22610</v>
      </c>
      <c r="N477">
        <v>0.02</v>
      </c>
      <c r="O477" s="7">
        <v>7261</v>
      </c>
      <c r="P477">
        <v>20</v>
      </c>
      <c r="Q477" t="s">
        <v>54</v>
      </c>
      <c r="R477" t="s">
        <v>62</v>
      </c>
      <c r="S477">
        <f t="shared" si="35"/>
        <v>2022</v>
      </c>
      <c r="T477" t="str">
        <f t="shared" si="36"/>
        <v>Apr</v>
      </c>
      <c r="U477">
        <f t="shared" si="37"/>
        <v>3</v>
      </c>
      <c r="V477">
        <f t="shared" si="38"/>
        <v>4</v>
      </c>
      <c r="W477" s="9">
        <f t="shared" si="39"/>
        <v>0.32114108801415303</v>
      </c>
    </row>
    <row r="478" spans="1:23">
      <c r="A478">
        <v>10477</v>
      </c>
      <c r="B478" s="5">
        <v>44673</v>
      </c>
      <c r="C478" s="5">
        <v>44677</v>
      </c>
      <c r="D478" s="5">
        <v>44679</v>
      </c>
      <c r="E478" t="s">
        <v>21</v>
      </c>
      <c r="F478" t="s">
        <v>22</v>
      </c>
      <c r="G478" t="s">
        <v>28</v>
      </c>
      <c r="H478" t="s">
        <v>33</v>
      </c>
      <c r="I478" t="s">
        <v>34</v>
      </c>
      <c r="J478" t="s">
        <v>39</v>
      </c>
      <c r="K478" t="s">
        <v>47</v>
      </c>
      <c r="L478" t="s">
        <v>53</v>
      </c>
      <c r="M478" s="7">
        <v>24976</v>
      </c>
      <c r="N478">
        <v>0.34</v>
      </c>
      <c r="O478" s="7">
        <v>17940</v>
      </c>
      <c r="P478">
        <v>9</v>
      </c>
      <c r="Q478" t="s">
        <v>57</v>
      </c>
      <c r="R478" t="s">
        <v>60</v>
      </c>
      <c r="S478">
        <f t="shared" si="35"/>
        <v>2022</v>
      </c>
      <c r="T478" t="str">
        <f t="shared" si="36"/>
        <v>Apr</v>
      </c>
      <c r="U478">
        <f t="shared" si="37"/>
        <v>4</v>
      </c>
      <c r="V478">
        <f t="shared" si="38"/>
        <v>6</v>
      </c>
      <c r="W478" s="9">
        <f t="shared" si="39"/>
        <v>0.71828955797565663</v>
      </c>
    </row>
    <row r="479" spans="1:23">
      <c r="A479">
        <v>10478</v>
      </c>
      <c r="B479" s="5">
        <v>44674</v>
      </c>
      <c r="C479" s="5">
        <v>44678</v>
      </c>
      <c r="D479" s="5">
        <v>44679</v>
      </c>
      <c r="E479" t="s">
        <v>21</v>
      </c>
      <c r="F479" t="s">
        <v>22</v>
      </c>
      <c r="G479" t="s">
        <v>26</v>
      </c>
      <c r="H479" t="s">
        <v>25</v>
      </c>
      <c r="I479" t="s">
        <v>34</v>
      </c>
      <c r="J479" t="s">
        <v>43</v>
      </c>
      <c r="K479" t="s">
        <v>50</v>
      </c>
      <c r="L479" t="s">
        <v>51</v>
      </c>
      <c r="M479" s="7">
        <v>44064</v>
      </c>
      <c r="N479">
        <v>0.34</v>
      </c>
      <c r="O479" s="7">
        <v>14952</v>
      </c>
      <c r="P479">
        <v>22</v>
      </c>
      <c r="Q479" t="s">
        <v>55</v>
      </c>
      <c r="R479" t="s">
        <v>62</v>
      </c>
      <c r="S479">
        <f t="shared" si="35"/>
        <v>2022</v>
      </c>
      <c r="T479" t="str">
        <f t="shared" si="36"/>
        <v>Apr</v>
      </c>
      <c r="U479">
        <f t="shared" si="37"/>
        <v>4</v>
      </c>
      <c r="V479">
        <f t="shared" si="38"/>
        <v>5</v>
      </c>
      <c r="W479" s="9">
        <f t="shared" si="39"/>
        <v>0.33932461873638342</v>
      </c>
    </row>
    <row r="480" spans="1:23">
      <c r="A480">
        <v>10479</v>
      </c>
      <c r="B480" s="5">
        <v>44675</v>
      </c>
      <c r="C480" s="5">
        <v>44682</v>
      </c>
      <c r="D480" s="5">
        <v>44686</v>
      </c>
      <c r="E480" t="s">
        <v>18</v>
      </c>
      <c r="F480" t="s">
        <v>22</v>
      </c>
      <c r="G480" t="s">
        <v>23</v>
      </c>
      <c r="H480" t="s">
        <v>31</v>
      </c>
      <c r="I480" t="s">
        <v>35</v>
      </c>
      <c r="J480" t="s">
        <v>41</v>
      </c>
      <c r="K480" t="s">
        <v>50</v>
      </c>
      <c r="L480" t="s">
        <v>51</v>
      </c>
      <c r="M480" s="7">
        <v>74840</v>
      </c>
      <c r="N480">
        <v>0.37</v>
      </c>
      <c r="O480" s="7">
        <v>2852</v>
      </c>
      <c r="P480">
        <v>11</v>
      </c>
      <c r="Q480" t="s">
        <v>57</v>
      </c>
      <c r="R480" t="s">
        <v>62</v>
      </c>
      <c r="S480">
        <f t="shared" si="35"/>
        <v>2022</v>
      </c>
      <c r="T480" t="str">
        <f t="shared" si="36"/>
        <v>Apr</v>
      </c>
      <c r="U480">
        <f t="shared" si="37"/>
        <v>7</v>
      </c>
      <c r="V480">
        <f t="shared" si="38"/>
        <v>11</v>
      </c>
      <c r="W480" s="9">
        <f t="shared" si="39"/>
        <v>3.8107963655799035E-2</v>
      </c>
    </row>
    <row r="481" spans="1:23">
      <c r="A481">
        <v>10480</v>
      </c>
      <c r="B481" s="5">
        <v>44676</v>
      </c>
      <c r="C481" s="5">
        <v>44678</v>
      </c>
      <c r="D481" s="5">
        <v>44681</v>
      </c>
      <c r="E481" t="s">
        <v>18</v>
      </c>
      <c r="F481" t="s">
        <v>22</v>
      </c>
      <c r="G481" t="s">
        <v>26</v>
      </c>
      <c r="H481" t="s">
        <v>31</v>
      </c>
      <c r="I481" t="s">
        <v>35</v>
      </c>
      <c r="J481" t="s">
        <v>43</v>
      </c>
      <c r="K481" t="s">
        <v>46</v>
      </c>
      <c r="L481" t="s">
        <v>52</v>
      </c>
      <c r="M481" s="7">
        <v>63068</v>
      </c>
      <c r="N481">
        <v>0.2</v>
      </c>
      <c r="O481" s="7">
        <v>7242</v>
      </c>
      <c r="P481">
        <v>4</v>
      </c>
      <c r="Q481" t="s">
        <v>57</v>
      </c>
      <c r="R481" t="s">
        <v>61</v>
      </c>
      <c r="S481">
        <f t="shared" si="35"/>
        <v>2022</v>
      </c>
      <c r="T481" t="str">
        <f t="shared" si="36"/>
        <v>Apr</v>
      </c>
      <c r="U481">
        <f t="shared" si="37"/>
        <v>2</v>
      </c>
      <c r="V481">
        <f t="shared" si="38"/>
        <v>5</v>
      </c>
      <c r="W481" s="9">
        <f t="shared" si="39"/>
        <v>0.11482843914504978</v>
      </c>
    </row>
    <row r="482" spans="1:23">
      <c r="A482">
        <v>10481</v>
      </c>
      <c r="B482" s="5">
        <v>44677</v>
      </c>
      <c r="C482" s="5">
        <v>44680</v>
      </c>
      <c r="D482" s="5">
        <v>44682</v>
      </c>
      <c r="E482" t="s">
        <v>20</v>
      </c>
      <c r="F482" t="s">
        <v>22</v>
      </c>
      <c r="G482" t="s">
        <v>26</v>
      </c>
      <c r="H482" t="s">
        <v>31</v>
      </c>
      <c r="I482" t="s">
        <v>36</v>
      </c>
      <c r="J482" t="s">
        <v>37</v>
      </c>
      <c r="K482" t="s">
        <v>50</v>
      </c>
      <c r="L482" t="s">
        <v>52</v>
      </c>
      <c r="M482" s="7">
        <v>58788</v>
      </c>
      <c r="N482">
        <v>0.39</v>
      </c>
      <c r="O482" s="7">
        <v>16164</v>
      </c>
      <c r="P482">
        <v>19</v>
      </c>
      <c r="Q482" t="s">
        <v>57</v>
      </c>
      <c r="R482" t="s">
        <v>62</v>
      </c>
      <c r="S482">
        <f t="shared" si="35"/>
        <v>2022</v>
      </c>
      <c r="T482" t="str">
        <f t="shared" si="36"/>
        <v>Apr</v>
      </c>
      <c r="U482">
        <f t="shared" si="37"/>
        <v>3</v>
      </c>
      <c r="V482">
        <f t="shared" si="38"/>
        <v>5</v>
      </c>
      <c r="W482" s="9">
        <f t="shared" si="39"/>
        <v>0.2749540722596448</v>
      </c>
    </row>
    <row r="483" spans="1:23">
      <c r="A483">
        <v>10482</v>
      </c>
      <c r="B483" s="5">
        <v>44678</v>
      </c>
      <c r="C483" s="5">
        <v>44684</v>
      </c>
      <c r="D483" s="5">
        <v>44687</v>
      </c>
      <c r="E483" t="s">
        <v>21</v>
      </c>
      <c r="F483" t="s">
        <v>22</v>
      </c>
      <c r="G483" t="s">
        <v>28</v>
      </c>
      <c r="H483" t="s">
        <v>33</v>
      </c>
      <c r="I483" t="s">
        <v>36</v>
      </c>
      <c r="J483" t="s">
        <v>41</v>
      </c>
      <c r="K483" t="s">
        <v>45</v>
      </c>
      <c r="L483" t="s">
        <v>52</v>
      </c>
      <c r="M483" s="7">
        <v>17977</v>
      </c>
      <c r="N483">
        <v>0.4</v>
      </c>
      <c r="O483" s="7">
        <v>12170</v>
      </c>
      <c r="P483">
        <v>10</v>
      </c>
      <c r="Q483" t="s">
        <v>56</v>
      </c>
      <c r="R483" t="s">
        <v>62</v>
      </c>
      <c r="S483">
        <f t="shared" si="35"/>
        <v>2022</v>
      </c>
      <c r="T483" t="str">
        <f t="shared" si="36"/>
        <v>Apr</v>
      </c>
      <c r="U483">
        <f t="shared" si="37"/>
        <v>6</v>
      </c>
      <c r="V483">
        <f t="shared" si="38"/>
        <v>9</v>
      </c>
      <c r="W483" s="9">
        <f t="shared" si="39"/>
        <v>0.6769761361740001</v>
      </c>
    </row>
    <row r="484" spans="1:23">
      <c r="A484">
        <v>10483</v>
      </c>
      <c r="B484" s="5">
        <v>44679</v>
      </c>
      <c r="C484" s="5">
        <v>44683</v>
      </c>
      <c r="D484" s="5">
        <v>44688</v>
      </c>
      <c r="E484" t="s">
        <v>18</v>
      </c>
      <c r="F484" t="s">
        <v>22</v>
      </c>
      <c r="G484" t="s">
        <v>27</v>
      </c>
      <c r="H484" t="s">
        <v>33</v>
      </c>
      <c r="I484" t="s">
        <v>34</v>
      </c>
      <c r="J484" t="s">
        <v>37</v>
      </c>
      <c r="K484" t="s">
        <v>44</v>
      </c>
      <c r="L484" t="s">
        <v>52</v>
      </c>
      <c r="M484" s="7">
        <v>17918</v>
      </c>
      <c r="N484">
        <v>0.2</v>
      </c>
      <c r="O484" s="7">
        <v>14531</v>
      </c>
      <c r="P484">
        <v>4</v>
      </c>
      <c r="Q484" t="s">
        <v>55</v>
      </c>
      <c r="R484" t="s">
        <v>59</v>
      </c>
      <c r="S484">
        <f t="shared" si="35"/>
        <v>2022</v>
      </c>
      <c r="T484" t="str">
        <f t="shared" si="36"/>
        <v>Apr</v>
      </c>
      <c r="U484">
        <f t="shared" si="37"/>
        <v>4</v>
      </c>
      <c r="V484">
        <f t="shared" si="38"/>
        <v>9</v>
      </c>
      <c r="W484" s="9">
        <f t="shared" si="39"/>
        <v>0.81097220671949999</v>
      </c>
    </row>
    <row r="485" spans="1:23">
      <c r="A485">
        <v>10484</v>
      </c>
      <c r="B485" s="5">
        <v>44680</v>
      </c>
      <c r="C485" s="5">
        <v>44687</v>
      </c>
      <c r="D485" s="5">
        <v>44688</v>
      </c>
      <c r="E485" t="s">
        <v>19</v>
      </c>
      <c r="F485" t="s">
        <v>22</v>
      </c>
      <c r="G485" t="s">
        <v>25</v>
      </c>
      <c r="H485" t="s">
        <v>33</v>
      </c>
      <c r="I485" t="s">
        <v>34</v>
      </c>
      <c r="J485" t="s">
        <v>38</v>
      </c>
      <c r="K485" t="s">
        <v>46</v>
      </c>
      <c r="L485" t="s">
        <v>53</v>
      </c>
      <c r="M485" s="7">
        <v>41585</v>
      </c>
      <c r="N485">
        <v>0.25</v>
      </c>
      <c r="O485" s="7">
        <v>14313</v>
      </c>
      <c r="P485">
        <v>20</v>
      </c>
      <c r="Q485" t="s">
        <v>58</v>
      </c>
      <c r="R485" t="s">
        <v>60</v>
      </c>
      <c r="S485">
        <f t="shared" si="35"/>
        <v>2022</v>
      </c>
      <c r="T485" t="str">
        <f t="shared" si="36"/>
        <v>Apr</v>
      </c>
      <c r="U485">
        <f t="shared" si="37"/>
        <v>7</v>
      </c>
      <c r="V485">
        <f t="shared" si="38"/>
        <v>8</v>
      </c>
      <c r="W485" s="9">
        <f t="shared" si="39"/>
        <v>0.34418660574726462</v>
      </c>
    </row>
    <row r="486" spans="1:23">
      <c r="A486">
        <v>10485</v>
      </c>
      <c r="B486" s="5">
        <v>44681</v>
      </c>
      <c r="C486" s="5">
        <v>44688</v>
      </c>
      <c r="D486" s="5">
        <v>44691</v>
      </c>
      <c r="E486" t="s">
        <v>19</v>
      </c>
      <c r="F486" t="s">
        <v>22</v>
      </c>
      <c r="G486" t="s">
        <v>25</v>
      </c>
      <c r="H486" t="s">
        <v>31</v>
      </c>
      <c r="I486" t="s">
        <v>36</v>
      </c>
      <c r="J486" t="s">
        <v>40</v>
      </c>
      <c r="K486" t="s">
        <v>47</v>
      </c>
      <c r="L486" t="s">
        <v>53</v>
      </c>
      <c r="M486" s="7">
        <v>17933</v>
      </c>
      <c r="N486">
        <v>0.24</v>
      </c>
      <c r="O486" s="7">
        <v>9578</v>
      </c>
      <c r="P486">
        <v>3</v>
      </c>
      <c r="Q486" t="s">
        <v>55</v>
      </c>
      <c r="R486" t="s">
        <v>59</v>
      </c>
      <c r="S486">
        <f t="shared" si="35"/>
        <v>2022</v>
      </c>
      <c r="T486" t="str">
        <f t="shared" si="36"/>
        <v>Apr</v>
      </c>
      <c r="U486">
        <f t="shared" si="37"/>
        <v>7</v>
      </c>
      <c r="V486">
        <f t="shared" si="38"/>
        <v>10</v>
      </c>
      <c r="W486" s="9">
        <f t="shared" si="39"/>
        <v>0.53409914682429038</v>
      </c>
    </row>
    <row r="487" spans="1:23">
      <c r="A487">
        <v>10486</v>
      </c>
      <c r="B487" s="5">
        <v>44682</v>
      </c>
      <c r="C487" s="5">
        <v>44686</v>
      </c>
      <c r="D487" s="5">
        <v>44690</v>
      </c>
      <c r="E487" t="s">
        <v>20</v>
      </c>
      <c r="F487" t="s">
        <v>22</v>
      </c>
      <c r="G487" t="s">
        <v>23</v>
      </c>
      <c r="H487" t="s">
        <v>30</v>
      </c>
      <c r="I487" t="s">
        <v>35</v>
      </c>
      <c r="J487" t="s">
        <v>38</v>
      </c>
      <c r="K487" t="s">
        <v>45</v>
      </c>
      <c r="L487" t="s">
        <v>53</v>
      </c>
      <c r="M487" s="7">
        <v>52733</v>
      </c>
      <c r="N487">
        <v>0.17</v>
      </c>
      <c r="O487" s="7">
        <v>12092</v>
      </c>
      <c r="P487">
        <v>24</v>
      </c>
      <c r="Q487" t="s">
        <v>58</v>
      </c>
      <c r="R487" t="s">
        <v>62</v>
      </c>
      <c r="S487">
        <f t="shared" si="35"/>
        <v>2022</v>
      </c>
      <c r="T487" t="str">
        <f t="shared" si="36"/>
        <v>May</v>
      </c>
      <c r="U487">
        <f t="shared" si="37"/>
        <v>4</v>
      </c>
      <c r="V487">
        <f t="shared" si="38"/>
        <v>8</v>
      </c>
      <c r="W487" s="9">
        <f t="shared" si="39"/>
        <v>0.22930612709309162</v>
      </c>
    </row>
    <row r="488" spans="1:23">
      <c r="A488">
        <v>10487</v>
      </c>
      <c r="B488" s="5">
        <v>44683</v>
      </c>
      <c r="C488" s="5">
        <v>44688</v>
      </c>
      <c r="D488" s="5">
        <v>44692</v>
      </c>
      <c r="E488" t="s">
        <v>19</v>
      </c>
      <c r="F488" t="s">
        <v>22</v>
      </c>
      <c r="G488" t="s">
        <v>26</v>
      </c>
      <c r="H488" t="s">
        <v>30</v>
      </c>
      <c r="I488" t="s">
        <v>36</v>
      </c>
      <c r="J488" t="s">
        <v>40</v>
      </c>
      <c r="K488" t="s">
        <v>45</v>
      </c>
      <c r="L488" t="s">
        <v>51</v>
      </c>
      <c r="M488" s="7">
        <v>47639</v>
      </c>
      <c r="N488">
        <v>0.24</v>
      </c>
      <c r="O488" s="7">
        <v>-1655</v>
      </c>
      <c r="P488">
        <v>20</v>
      </c>
      <c r="Q488" t="s">
        <v>56</v>
      </c>
      <c r="R488" t="s">
        <v>59</v>
      </c>
      <c r="S488">
        <f t="shared" si="35"/>
        <v>2022</v>
      </c>
      <c r="T488" t="str">
        <f t="shared" si="36"/>
        <v>May</v>
      </c>
      <c r="U488">
        <f t="shared" si="37"/>
        <v>5</v>
      </c>
      <c r="V488">
        <f t="shared" si="38"/>
        <v>9</v>
      </c>
      <c r="W488" s="9">
        <f t="shared" si="39"/>
        <v>-3.4740443754067048E-2</v>
      </c>
    </row>
    <row r="489" spans="1:23">
      <c r="A489">
        <v>10488</v>
      </c>
      <c r="B489" s="5">
        <v>44684</v>
      </c>
      <c r="C489" s="5">
        <v>44689</v>
      </c>
      <c r="D489" s="5">
        <v>44694</v>
      </c>
      <c r="E489" t="s">
        <v>19</v>
      </c>
      <c r="F489" t="s">
        <v>22</v>
      </c>
      <c r="G489" t="s">
        <v>27</v>
      </c>
      <c r="H489" t="s">
        <v>33</v>
      </c>
      <c r="I489" t="s">
        <v>34</v>
      </c>
      <c r="J489" t="s">
        <v>40</v>
      </c>
      <c r="K489" t="s">
        <v>48</v>
      </c>
      <c r="L489" t="s">
        <v>53</v>
      </c>
      <c r="M489" s="7">
        <v>44824</v>
      </c>
      <c r="N489">
        <v>0.35</v>
      </c>
      <c r="O489" s="7">
        <v>9547</v>
      </c>
      <c r="P489">
        <v>8</v>
      </c>
      <c r="Q489" t="s">
        <v>54</v>
      </c>
      <c r="R489" t="s">
        <v>59</v>
      </c>
      <c r="S489">
        <f t="shared" si="35"/>
        <v>2022</v>
      </c>
      <c r="T489" t="str">
        <f t="shared" si="36"/>
        <v>May</v>
      </c>
      <c r="U489">
        <f t="shared" si="37"/>
        <v>5</v>
      </c>
      <c r="V489">
        <f t="shared" si="38"/>
        <v>10</v>
      </c>
      <c r="W489" s="9">
        <f t="shared" si="39"/>
        <v>0.21298857754774228</v>
      </c>
    </row>
    <row r="490" spans="1:23">
      <c r="A490">
        <v>10489</v>
      </c>
      <c r="B490" s="5">
        <v>44685</v>
      </c>
      <c r="C490" s="5">
        <v>44690</v>
      </c>
      <c r="D490" s="5">
        <v>44695</v>
      </c>
      <c r="E490" t="s">
        <v>20</v>
      </c>
      <c r="F490" t="s">
        <v>22</v>
      </c>
      <c r="G490" t="s">
        <v>23</v>
      </c>
      <c r="H490" t="s">
        <v>29</v>
      </c>
      <c r="I490" t="s">
        <v>34</v>
      </c>
      <c r="J490" t="s">
        <v>39</v>
      </c>
      <c r="K490" t="s">
        <v>44</v>
      </c>
      <c r="L490" t="s">
        <v>52</v>
      </c>
      <c r="M490" s="7">
        <v>44528</v>
      </c>
      <c r="N490">
        <v>0.09</v>
      </c>
      <c r="O490" s="7">
        <v>12955</v>
      </c>
      <c r="P490">
        <v>24</v>
      </c>
      <c r="Q490" t="s">
        <v>57</v>
      </c>
      <c r="R490" t="s">
        <v>60</v>
      </c>
      <c r="S490">
        <f t="shared" si="35"/>
        <v>2022</v>
      </c>
      <c r="T490" t="str">
        <f t="shared" si="36"/>
        <v>May</v>
      </c>
      <c r="U490">
        <f t="shared" si="37"/>
        <v>5</v>
      </c>
      <c r="V490">
        <f t="shared" si="38"/>
        <v>10</v>
      </c>
      <c r="W490" s="9">
        <f t="shared" si="39"/>
        <v>0.29094053180021562</v>
      </c>
    </row>
    <row r="491" spans="1:23">
      <c r="A491">
        <v>10490</v>
      </c>
      <c r="B491" s="5">
        <v>44686</v>
      </c>
      <c r="C491" s="5">
        <v>44691</v>
      </c>
      <c r="D491" s="5">
        <v>44693</v>
      </c>
      <c r="E491" t="s">
        <v>21</v>
      </c>
      <c r="F491" t="s">
        <v>22</v>
      </c>
      <c r="G491" t="s">
        <v>24</v>
      </c>
      <c r="H491" t="s">
        <v>29</v>
      </c>
      <c r="I491" t="s">
        <v>36</v>
      </c>
      <c r="J491" t="s">
        <v>41</v>
      </c>
      <c r="K491" t="s">
        <v>45</v>
      </c>
      <c r="L491" t="s">
        <v>53</v>
      </c>
      <c r="M491" s="7">
        <v>52191</v>
      </c>
      <c r="N491">
        <v>0.17</v>
      </c>
      <c r="O491" s="7">
        <v>3206</v>
      </c>
      <c r="P491">
        <v>18</v>
      </c>
      <c r="Q491" t="s">
        <v>56</v>
      </c>
      <c r="R491" t="s">
        <v>61</v>
      </c>
      <c r="S491">
        <f t="shared" si="35"/>
        <v>2022</v>
      </c>
      <c r="T491" t="str">
        <f t="shared" si="36"/>
        <v>May</v>
      </c>
      <c r="U491">
        <f t="shared" si="37"/>
        <v>5</v>
      </c>
      <c r="V491">
        <f t="shared" si="38"/>
        <v>7</v>
      </c>
      <c r="W491" s="9">
        <f t="shared" si="39"/>
        <v>6.1428215592726716E-2</v>
      </c>
    </row>
    <row r="492" spans="1:23">
      <c r="A492">
        <v>10491</v>
      </c>
      <c r="B492" s="5">
        <v>44687</v>
      </c>
      <c r="C492" s="5">
        <v>44694</v>
      </c>
      <c r="D492" s="5">
        <v>44699</v>
      </c>
      <c r="E492" t="s">
        <v>18</v>
      </c>
      <c r="F492" t="s">
        <v>22</v>
      </c>
      <c r="G492" t="s">
        <v>27</v>
      </c>
      <c r="H492" t="s">
        <v>33</v>
      </c>
      <c r="I492" t="s">
        <v>34</v>
      </c>
      <c r="J492" t="s">
        <v>42</v>
      </c>
      <c r="K492" t="s">
        <v>47</v>
      </c>
      <c r="L492" t="s">
        <v>52</v>
      </c>
      <c r="M492" s="7">
        <v>26255</v>
      </c>
      <c r="N492">
        <v>0.36</v>
      </c>
      <c r="O492" s="7">
        <v>-1678</v>
      </c>
      <c r="P492">
        <v>8</v>
      </c>
      <c r="Q492" t="s">
        <v>56</v>
      </c>
      <c r="R492" t="s">
        <v>60</v>
      </c>
      <c r="S492">
        <f t="shared" si="35"/>
        <v>2022</v>
      </c>
      <c r="T492" t="str">
        <f t="shared" si="36"/>
        <v>May</v>
      </c>
      <c r="U492">
        <f t="shared" si="37"/>
        <v>7</v>
      </c>
      <c r="V492">
        <f t="shared" si="38"/>
        <v>12</v>
      </c>
      <c r="W492" s="9">
        <f t="shared" si="39"/>
        <v>-6.3911635878880213E-2</v>
      </c>
    </row>
    <row r="493" spans="1:23">
      <c r="A493">
        <v>10492</v>
      </c>
      <c r="B493" s="5">
        <v>44688</v>
      </c>
      <c r="C493" s="5">
        <v>44692</v>
      </c>
      <c r="D493" s="5">
        <v>44693</v>
      </c>
      <c r="E493" t="s">
        <v>19</v>
      </c>
      <c r="F493" t="s">
        <v>22</v>
      </c>
      <c r="G493" t="s">
        <v>27</v>
      </c>
      <c r="H493" t="s">
        <v>33</v>
      </c>
      <c r="I493" t="s">
        <v>35</v>
      </c>
      <c r="J493" t="s">
        <v>42</v>
      </c>
      <c r="K493" t="s">
        <v>46</v>
      </c>
      <c r="L493" t="s">
        <v>52</v>
      </c>
      <c r="M493" s="7">
        <v>51650</v>
      </c>
      <c r="N493">
        <v>0.12</v>
      </c>
      <c r="O493" s="7">
        <v>3763</v>
      </c>
      <c r="P493">
        <v>17</v>
      </c>
      <c r="Q493" t="s">
        <v>54</v>
      </c>
      <c r="R493" t="s">
        <v>61</v>
      </c>
      <c r="S493">
        <f t="shared" si="35"/>
        <v>2022</v>
      </c>
      <c r="T493" t="str">
        <f t="shared" si="36"/>
        <v>May</v>
      </c>
      <c r="U493">
        <f t="shared" si="37"/>
        <v>4</v>
      </c>
      <c r="V493">
        <f t="shared" si="38"/>
        <v>5</v>
      </c>
      <c r="W493" s="9">
        <f t="shared" si="39"/>
        <v>7.2855759922555663E-2</v>
      </c>
    </row>
    <row r="494" spans="1:23">
      <c r="A494">
        <v>10493</v>
      </c>
      <c r="B494" s="5">
        <v>44689</v>
      </c>
      <c r="C494" s="5">
        <v>44696</v>
      </c>
      <c r="D494" s="5">
        <v>44701</v>
      </c>
      <c r="E494" t="s">
        <v>19</v>
      </c>
      <c r="F494" t="s">
        <v>22</v>
      </c>
      <c r="G494" t="s">
        <v>26</v>
      </c>
      <c r="H494" t="s">
        <v>31</v>
      </c>
      <c r="I494" t="s">
        <v>35</v>
      </c>
      <c r="J494" t="s">
        <v>38</v>
      </c>
      <c r="K494" t="s">
        <v>49</v>
      </c>
      <c r="L494" t="s">
        <v>51</v>
      </c>
      <c r="M494" s="7">
        <v>17228</v>
      </c>
      <c r="N494">
        <v>0.09</v>
      </c>
      <c r="O494" s="7">
        <v>15131</v>
      </c>
      <c r="P494">
        <v>9</v>
      </c>
      <c r="Q494" t="s">
        <v>58</v>
      </c>
      <c r="R494" t="s">
        <v>60</v>
      </c>
      <c r="S494">
        <f t="shared" si="35"/>
        <v>2022</v>
      </c>
      <c r="T494" t="str">
        <f t="shared" si="36"/>
        <v>May</v>
      </c>
      <c r="U494">
        <f t="shared" si="37"/>
        <v>7</v>
      </c>
      <c r="V494">
        <f t="shared" si="38"/>
        <v>12</v>
      </c>
      <c r="W494" s="9">
        <f t="shared" si="39"/>
        <v>0.87827954492686322</v>
      </c>
    </row>
    <row r="495" spans="1:23">
      <c r="A495">
        <v>10494</v>
      </c>
      <c r="B495" s="5">
        <v>44690</v>
      </c>
      <c r="C495" s="5">
        <v>44696</v>
      </c>
      <c r="D495" s="5">
        <v>44699</v>
      </c>
      <c r="E495" t="s">
        <v>21</v>
      </c>
      <c r="F495" t="s">
        <v>22</v>
      </c>
      <c r="G495" t="s">
        <v>23</v>
      </c>
      <c r="H495" t="s">
        <v>32</v>
      </c>
      <c r="I495" t="s">
        <v>35</v>
      </c>
      <c r="J495" t="s">
        <v>41</v>
      </c>
      <c r="K495" t="s">
        <v>46</v>
      </c>
      <c r="L495" t="s">
        <v>52</v>
      </c>
      <c r="M495" s="7">
        <v>56370</v>
      </c>
      <c r="N495">
        <v>0.08</v>
      </c>
      <c r="O495" s="7">
        <v>10875</v>
      </c>
      <c r="P495">
        <v>5</v>
      </c>
      <c r="Q495" t="s">
        <v>58</v>
      </c>
      <c r="R495" t="s">
        <v>62</v>
      </c>
      <c r="S495">
        <f t="shared" si="35"/>
        <v>2022</v>
      </c>
      <c r="T495" t="str">
        <f t="shared" si="36"/>
        <v>May</v>
      </c>
      <c r="U495">
        <f t="shared" si="37"/>
        <v>6</v>
      </c>
      <c r="V495">
        <f t="shared" si="38"/>
        <v>9</v>
      </c>
      <c r="W495" s="9">
        <f t="shared" si="39"/>
        <v>0.1929217668972858</v>
      </c>
    </row>
    <row r="496" spans="1:23">
      <c r="A496">
        <v>10495</v>
      </c>
      <c r="B496" s="5">
        <v>44691</v>
      </c>
      <c r="C496" s="5">
        <v>44696</v>
      </c>
      <c r="D496" s="5">
        <v>44699</v>
      </c>
      <c r="E496" t="s">
        <v>20</v>
      </c>
      <c r="F496" t="s">
        <v>22</v>
      </c>
      <c r="G496" t="s">
        <v>25</v>
      </c>
      <c r="H496" t="s">
        <v>33</v>
      </c>
      <c r="I496" t="s">
        <v>34</v>
      </c>
      <c r="J496" t="s">
        <v>39</v>
      </c>
      <c r="K496" t="s">
        <v>50</v>
      </c>
      <c r="L496" t="s">
        <v>51</v>
      </c>
      <c r="M496" s="7">
        <v>9376</v>
      </c>
      <c r="N496">
        <v>0.32</v>
      </c>
      <c r="O496" s="7">
        <v>7115</v>
      </c>
      <c r="P496">
        <v>7</v>
      </c>
      <c r="Q496" t="s">
        <v>57</v>
      </c>
      <c r="R496" t="s">
        <v>59</v>
      </c>
      <c r="S496">
        <f t="shared" si="35"/>
        <v>2022</v>
      </c>
      <c r="T496" t="str">
        <f t="shared" si="36"/>
        <v>May</v>
      </c>
      <c r="U496">
        <f t="shared" si="37"/>
        <v>5</v>
      </c>
      <c r="V496">
        <f t="shared" si="38"/>
        <v>8</v>
      </c>
      <c r="W496" s="9">
        <f t="shared" si="39"/>
        <v>0.75885238907849828</v>
      </c>
    </row>
    <row r="497" spans="1:23">
      <c r="A497">
        <v>10496</v>
      </c>
      <c r="B497" s="5">
        <v>44692</v>
      </c>
      <c r="C497" s="5">
        <v>44695</v>
      </c>
      <c r="D497" s="5">
        <v>44698</v>
      </c>
      <c r="E497" t="s">
        <v>18</v>
      </c>
      <c r="F497" t="s">
        <v>22</v>
      </c>
      <c r="G497" t="s">
        <v>25</v>
      </c>
      <c r="H497" t="s">
        <v>33</v>
      </c>
      <c r="I497" t="s">
        <v>34</v>
      </c>
      <c r="J497" t="s">
        <v>38</v>
      </c>
      <c r="K497" t="s">
        <v>47</v>
      </c>
      <c r="L497" t="s">
        <v>51</v>
      </c>
      <c r="M497" s="7">
        <v>19166</v>
      </c>
      <c r="N497">
        <v>0.06</v>
      </c>
      <c r="O497" s="7">
        <v>10483</v>
      </c>
      <c r="P497">
        <v>3</v>
      </c>
      <c r="Q497" t="s">
        <v>55</v>
      </c>
      <c r="R497" t="s">
        <v>61</v>
      </c>
      <c r="S497">
        <f t="shared" si="35"/>
        <v>2022</v>
      </c>
      <c r="T497" t="str">
        <f t="shared" si="36"/>
        <v>May</v>
      </c>
      <c r="U497">
        <f t="shared" si="37"/>
        <v>3</v>
      </c>
      <c r="V497">
        <f t="shared" si="38"/>
        <v>6</v>
      </c>
      <c r="W497" s="9">
        <f t="shared" si="39"/>
        <v>0.54695815506626322</v>
      </c>
    </row>
    <row r="498" spans="1:23">
      <c r="A498">
        <v>10497</v>
      </c>
      <c r="B498" s="5">
        <v>44693</v>
      </c>
      <c r="C498" s="5">
        <v>44700</v>
      </c>
      <c r="D498" s="5">
        <v>44702</v>
      </c>
      <c r="E498" t="s">
        <v>20</v>
      </c>
      <c r="F498" t="s">
        <v>22</v>
      </c>
      <c r="G498" t="s">
        <v>23</v>
      </c>
      <c r="H498" t="s">
        <v>31</v>
      </c>
      <c r="I498" t="s">
        <v>34</v>
      </c>
      <c r="J498" t="s">
        <v>42</v>
      </c>
      <c r="K498" t="s">
        <v>45</v>
      </c>
      <c r="L498" t="s">
        <v>53</v>
      </c>
      <c r="M498" s="7">
        <v>10816</v>
      </c>
      <c r="N498">
        <v>0.01</v>
      </c>
      <c r="O498" s="7">
        <v>3354</v>
      </c>
      <c r="P498">
        <v>23</v>
      </c>
      <c r="Q498" t="s">
        <v>55</v>
      </c>
      <c r="R498" t="s">
        <v>62</v>
      </c>
      <c r="S498">
        <f t="shared" si="35"/>
        <v>2022</v>
      </c>
      <c r="T498" t="str">
        <f t="shared" si="36"/>
        <v>May</v>
      </c>
      <c r="U498">
        <f t="shared" si="37"/>
        <v>7</v>
      </c>
      <c r="V498">
        <f t="shared" si="38"/>
        <v>9</v>
      </c>
      <c r="W498" s="9">
        <f t="shared" si="39"/>
        <v>0.31009615384615385</v>
      </c>
    </row>
    <row r="499" spans="1:23">
      <c r="A499">
        <v>10498</v>
      </c>
      <c r="B499" s="5">
        <v>44694</v>
      </c>
      <c r="C499" s="5">
        <v>44701</v>
      </c>
      <c r="D499" s="5">
        <v>44705</v>
      </c>
      <c r="E499" t="s">
        <v>20</v>
      </c>
      <c r="F499" t="s">
        <v>22</v>
      </c>
      <c r="G499" t="s">
        <v>23</v>
      </c>
      <c r="H499" t="s">
        <v>32</v>
      </c>
      <c r="I499" t="s">
        <v>35</v>
      </c>
      <c r="J499" t="s">
        <v>42</v>
      </c>
      <c r="K499" t="s">
        <v>44</v>
      </c>
      <c r="L499" t="s">
        <v>53</v>
      </c>
      <c r="M499" s="7">
        <v>49295</v>
      </c>
      <c r="N499">
        <v>0.05</v>
      </c>
      <c r="O499" s="7">
        <v>8106</v>
      </c>
      <c r="P499">
        <v>24</v>
      </c>
      <c r="Q499" t="s">
        <v>55</v>
      </c>
      <c r="R499" t="s">
        <v>60</v>
      </c>
      <c r="S499">
        <f t="shared" si="35"/>
        <v>2022</v>
      </c>
      <c r="T499" t="str">
        <f t="shared" si="36"/>
        <v>May</v>
      </c>
      <c r="U499">
        <f t="shared" si="37"/>
        <v>7</v>
      </c>
      <c r="V499">
        <f t="shared" si="38"/>
        <v>11</v>
      </c>
      <c r="W499" s="9">
        <f t="shared" si="39"/>
        <v>0.16443858403489198</v>
      </c>
    </row>
    <row r="500" spans="1:23">
      <c r="A500">
        <v>10499</v>
      </c>
      <c r="B500" s="5">
        <v>44695</v>
      </c>
      <c r="C500" s="5">
        <v>44702</v>
      </c>
      <c r="D500" s="5">
        <v>44704</v>
      </c>
      <c r="E500" t="s">
        <v>20</v>
      </c>
      <c r="F500" t="s">
        <v>22</v>
      </c>
      <c r="G500" t="s">
        <v>25</v>
      </c>
      <c r="H500" t="s">
        <v>33</v>
      </c>
      <c r="I500" t="s">
        <v>36</v>
      </c>
      <c r="J500" t="s">
        <v>40</v>
      </c>
      <c r="K500" t="s">
        <v>45</v>
      </c>
      <c r="L500" t="s">
        <v>52</v>
      </c>
      <c r="M500" s="7">
        <v>31800</v>
      </c>
      <c r="N500">
        <v>0.03</v>
      </c>
      <c r="O500" s="7">
        <v>11093</v>
      </c>
      <c r="P500">
        <v>11</v>
      </c>
      <c r="Q500" t="s">
        <v>55</v>
      </c>
      <c r="R500" t="s">
        <v>61</v>
      </c>
      <c r="S500">
        <f t="shared" si="35"/>
        <v>2022</v>
      </c>
      <c r="T500" t="str">
        <f t="shared" si="36"/>
        <v>May</v>
      </c>
      <c r="U500">
        <f t="shared" si="37"/>
        <v>7</v>
      </c>
      <c r="V500">
        <f t="shared" si="38"/>
        <v>9</v>
      </c>
      <c r="W500" s="9">
        <f t="shared" si="39"/>
        <v>0.3488364779874214</v>
      </c>
    </row>
    <row r="501" spans="1:23">
      <c r="A501">
        <v>10500</v>
      </c>
      <c r="B501" s="5">
        <v>44696</v>
      </c>
      <c r="C501" s="5">
        <v>44702</v>
      </c>
      <c r="D501" s="5">
        <v>44703</v>
      </c>
      <c r="E501" t="s">
        <v>21</v>
      </c>
      <c r="F501" t="s">
        <v>22</v>
      </c>
      <c r="G501" t="s">
        <v>25</v>
      </c>
      <c r="H501" t="s">
        <v>29</v>
      </c>
      <c r="I501" t="s">
        <v>35</v>
      </c>
      <c r="J501" t="s">
        <v>42</v>
      </c>
      <c r="K501" t="s">
        <v>46</v>
      </c>
      <c r="L501" t="s">
        <v>53</v>
      </c>
      <c r="M501" s="7">
        <v>22694</v>
      </c>
      <c r="N501">
        <v>0.09</v>
      </c>
      <c r="O501" s="7">
        <v>-328</v>
      </c>
      <c r="P501">
        <v>19</v>
      </c>
      <c r="Q501" t="s">
        <v>57</v>
      </c>
      <c r="R501" t="s">
        <v>61</v>
      </c>
      <c r="S501">
        <f t="shared" si="35"/>
        <v>2022</v>
      </c>
      <c r="T501" t="str">
        <f t="shared" si="36"/>
        <v>May</v>
      </c>
      <c r="U501">
        <f t="shared" si="37"/>
        <v>6</v>
      </c>
      <c r="V501">
        <f t="shared" si="38"/>
        <v>7</v>
      </c>
      <c r="W501" s="9">
        <f t="shared" si="39"/>
        <v>-1.4453159425398784E-2</v>
      </c>
    </row>
    <row r="502" spans="1:23">
      <c r="A502">
        <v>10501</v>
      </c>
      <c r="B502" s="5">
        <v>44697</v>
      </c>
      <c r="C502" s="5">
        <v>44699</v>
      </c>
      <c r="D502" s="5">
        <v>44701</v>
      </c>
      <c r="E502" t="s">
        <v>19</v>
      </c>
      <c r="F502" t="s">
        <v>22</v>
      </c>
      <c r="G502" t="s">
        <v>27</v>
      </c>
      <c r="H502" t="s">
        <v>25</v>
      </c>
      <c r="I502" t="s">
        <v>34</v>
      </c>
      <c r="J502" t="s">
        <v>43</v>
      </c>
      <c r="K502" t="s">
        <v>50</v>
      </c>
      <c r="L502" t="s">
        <v>52</v>
      </c>
      <c r="M502" s="7">
        <v>36597</v>
      </c>
      <c r="N502">
        <v>0.33</v>
      </c>
      <c r="O502" s="7">
        <v>19729</v>
      </c>
      <c r="P502">
        <v>20</v>
      </c>
      <c r="Q502" t="s">
        <v>54</v>
      </c>
      <c r="R502" t="s">
        <v>60</v>
      </c>
      <c r="S502">
        <f t="shared" si="35"/>
        <v>2022</v>
      </c>
      <c r="T502" t="str">
        <f t="shared" si="36"/>
        <v>May</v>
      </c>
      <c r="U502">
        <f t="shared" si="37"/>
        <v>2</v>
      </c>
      <c r="V502">
        <f t="shared" si="38"/>
        <v>4</v>
      </c>
      <c r="W502" s="9">
        <f t="shared" si="39"/>
        <v>0.53908790338005852</v>
      </c>
    </row>
    <row r="503" spans="1:23">
      <c r="A503">
        <v>10502</v>
      </c>
      <c r="B503" s="5">
        <v>44698</v>
      </c>
      <c r="C503" s="5">
        <v>44705</v>
      </c>
      <c r="D503" s="5">
        <v>44709</v>
      </c>
      <c r="E503" t="s">
        <v>20</v>
      </c>
      <c r="F503" t="s">
        <v>22</v>
      </c>
      <c r="G503" t="s">
        <v>24</v>
      </c>
      <c r="H503" t="s">
        <v>31</v>
      </c>
      <c r="I503" t="s">
        <v>36</v>
      </c>
      <c r="J503" t="s">
        <v>40</v>
      </c>
      <c r="K503" t="s">
        <v>47</v>
      </c>
      <c r="L503" t="s">
        <v>52</v>
      </c>
      <c r="M503" s="7">
        <v>51053</v>
      </c>
      <c r="N503">
        <v>0.11</v>
      </c>
      <c r="O503" s="7">
        <v>6343</v>
      </c>
      <c r="P503">
        <v>16</v>
      </c>
      <c r="Q503" t="s">
        <v>56</v>
      </c>
      <c r="R503" t="s">
        <v>60</v>
      </c>
      <c r="S503">
        <f t="shared" si="35"/>
        <v>2022</v>
      </c>
      <c r="T503" t="str">
        <f t="shared" si="36"/>
        <v>May</v>
      </c>
      <c r="U503">
        <f t="shared" si="37"/>
        <v>7</v>
      </c>
      <c r="V503">
        <f t="shared" si="38"/>
        <v>11</v>
      </c>
      <c r="W503" s="9">
        <f t="shared" si="39"/>
        <v>0.12424343329481127</v>
      </c>
    </row>
    <row r="504" spans="1:23">
      <c r="A504">
        <v>10503</v>
      </c>
      <c r="B504" s="5">
        <v>44699</v>
      </c>
      <c r="C504" s="5">
        <v>44705</v>
      </c>
      <c r="D504" s="5">
        <v>44707</v>
      </c>
      <c r="E504" t="s">
        <v>18</v>
      </c>
      <c r="F504" t="s">
        <v>22</v>
      </c>
      <c r="G504" t="s">
        <v>27</v>
      </c>
      <c r="H504" t="s">
        <v>33</v>
      </c>
      <c r="I504" t="s">
        <v>35</v>
      </c>
      <c r="J504" t="s">
        <v>42</v>
      </c>
      <c r="K504" t="s">
        <v>49</v>
      </c>
      <c r="L504" t="s">
        <v>51</v>
      </c>
      <c r="M504" s="7">
        <v>47538</v>
      </c>
      <c r="N504">
        <v>0.27</v>
      </c>
      <c r="O504" s="7">
        <v>5706</v>
      </c>
      <c r="P504">
        <v>21</v>
      </c>
      <c r="Q504" t="s">
        <v>58</v>
      </c>
      <c r="R504" t="s">
        <v>62</v>
      </c>
      <c r="S504">
        <f t="shared" si="35"/>
        <v>2022</v>
      </c>
      <c r="T504" t="str">
        <f t="shared" si="36"/>
        <v>May</v>
      </c>
      <c r="U504">
        <f t="shared" si="37"/>
        <v>6</v>
      </c>
      <c r="V504">
        <f t="shared" si="38"/>
        <v>8</v>
      </c>
      <c r="W504" s="9">
        <f t="shared" si="39"/>
        <v>0.1200302915562287</v>
      </c>
    </row>
    <row r="505" spans="1:23">
      <c r="A505">
        <v>10504</v>
      </c>
      <c r="B505" s="5">
        <v>44700</v>
      </c>
      <c r="C505" s="5">
        <v>44703</v>
      </c>
      <c r="D505" s="5">
        <v>44706</v>
      </c>
      <c r="E505" t="s">
        <v>18</v>
      </c>
      <c r="F505" t="s">
        <v>22</v>
      </c>
      <c r="G505" t="s">
        <v>26</v>
      </c>
      <c r="H505" t="s">
        <v>33</v>
      </c>
      <c r="I505" t="s">
        <v>36</v>
      </c>
      <c r="J505" t="s">
        <v>39</v>
      </c>
      <c r="K505" t="s">
        <v>49</v>
      </c>
      <c r="L505" t="s">
        <v>51</v>
      </c>
      <c r="M505" s="7">
        <v>7357</v>
      </c>
      <c r="N505">
        <v>0.36</v>
      </c>
      <c r="O505" s="7">
        <v>10467</v>
      </c>
      <c r="P505">
        <v>20</v>
      </c>
      <c r="Q505" t="s">
        <v>57</v>
      </c>
      <c r="R505" t="s">
        <v>60</v>
      </c>
      <c r="S505">
        <f t="shared" si="35"/>
        <v>2022</v>
      </c>
      <c r="T505" t="str">
        <f t="shared" si="36"/>
        <v>May</v>
      </c>
      <c r="U505">
        <f t="shared" si="37"/>
        <v>3</v>
      </c>
      <c r="V505">
        <f t="shared" si="38"/>
        <v>6</v>
      </c>
      <c r="W505" s="9">
        <f t="shared" si="39"/>
        <v>1.4227266548865027</v>
      </c>
    </row>
    <row r="506" spans="1:23">
      <c r="A506">
        <v>10505</v>
      </c>
      <c r="B506" s="5">
        <v>44701</v>
      </c>
      <c r="C506" s="5">
        <v>44708</v>
      </c>
      <c r="D506" s="5">
        <v>44713</v>
      </c>
      <c r="E506" t="s">
        <v>18</v>
      </c>
      <c r="F506" t="s">
        <v>22</v>
      </c>
      <c r="G506" t="s">
        <v>24</v>
      </c>
      <c r="H506" t="s">
        <v>25</v>
      </c>
      <c r="I506" t="s">
        <v>35</v>
      </c>
      <c r="J506" t="s">
        <v>37</v>
      </c>
      <c r="K506" t="s">
        <v>46</v>
      </c>
      <c r="L506" t="s">
        <v>53</v>
      </c>
      <c r="M506" s="7">
        <v>4994</v>
      </c>
      <c r="N506">
        <v>0.32</v>
      </c>
      <c r="O506" s="7">
        <v>8206</v>
      </c>
      <c r="P506">
        <v>24</v>
      </c>
      <c r="Q506" t="s">
        <v>58</v>
      </c>
      <c r="R506" t="s">
        <v>59</v>
      </c>
      <c r="S506">
        <f t="shared" si="35"/>
        <v>2022</v>
      </c>
      <c r="T506" t="str">
        <f t="shared" si="36"/>
        <v>May</v>
      </c>
      <c r="U506">
        <f t="shared" si="37"/>
        <v>7</v>
      </c>
      <c r="V506">
        <f t="shared" si="38"/>
        <v>12</v>
      </c>
      <c r="W506" s="9">
        <f t="shared" si="39"/>
        <v>1.6431718061674008</v>
      </c>
    </row>
    <row r="507" spans="1:23">
      <c r="A507">
        <v>10506</v>
      </c>
      <c r="B507" s="5">
        <v>44702</v>
      </c>
      <c r="C507" s="5">
        <v>44707</v>
      </c>
      <c r="D507" s="5">
        <v>44710</v>
      </c>
      <c r="E507" t="s">
        <v>21</v>
      </c>
      <c r="F507" t="s">
        <v>22</v>
      </c>
      <c r="G507" t="s">
        <v>26</v>
      </c>
      <c r="H507" t="s">
        <v>33</v>
      </c>
      <c r="I507" t="s">
        <v>34</v>
      </c>
      <c r="J507" t="s">
        <v>37</v>
      </c>
      <c r="K507" t="s">
        <v>46</v>
      </c>
      <c r="L507" t="s">
        <v>53</v>
      </c>
      <c r="M507" s="7">
        <v>16216</v>
      </c>
      <c r="N507">
        <v>0.3</v>
      </c>
      <c r="O507" s="7">
        <v>15625</v>
      </c>
      <c r="P507">
        <v>23</v>
      </c>
      <c r="Q507" t="s">
        <v>54</v>
      </c>
      <c r="R507" t="s">
        <v>59</v>
      </c>
      <c r="S507">
        <f t="shared" si="35"/>
        <v>2022</v>
      </c>
      <c r="T507" t="str">
        <f t="shared" si="36"/>
        <v>May</v>
      </c>
      <c r="U507">
        <f t="shared" si="37"/>
        <v>5</v>
      </c>
      <c r="V507">
        <f t="shared" si="38"/>
        <v>8</v>
      </c>
      <c r="W507" s="9">
        <f t="shared" si="39"/>
        <v>0.96355451406018744</v>
      </c>
    </row>
    <row r="508" spans="1:23">
      <c r="A508">
        <v>10507</v>
      </c>
      <c r="B508" s="5">
        <v>44703</v>
      </c>
      <c r="C508" s="5">
        <v>44709</v>
      </c>
      <c r="D508" s="5">
        <v>44710</v>
      </c>
      <c r="E508" t="s">
        <v>19</v>
      </c>
      <c r="F508" t="s">
        <v>22</v>
      </c>
      <c r="G508" t="s">
        <v>23</v>
      </c>
      <c r="H508" t="s">
        <v>30</v>
      </c>
      <c r="I508" t="s">
        <v>35</v>
      </c>
      <c r="J508" t="s">
        <v>39</v>
      </c>
      <c r="K508" t="s">
        <v>46</v>
      </c>
      <c r="L508" t="s">
        <v>52</v>
      </c>
      <c r="M508" s="7">
        <v>45599</v>
      </c>
      <c r="N508">
        <v>0.39</v>
      </c>
      <c r="O508" s="7">
        <v>17415</v>
      </c>
      <c r="P508">
        <v>20</v>
      </c>
      <c r="Q508" t="s">
        <v>54</v>
      </c>
      <c r="R508" t="s">
        <v>59</v>
      </c>
      <c r="S508">
        <f t="shared" si="35"/>
        <v>2022</v>
      </c>
      <c r="T508" t="str">
        <f t="shared" si="36"/>
        <v>May</v>
      </c>
      <c r="U508">
        <f t="shared" si="37"/>
        <v>6</v>
      </c>
      <c r="V508">
        <f t="shared" si="38"/>
        <v>7</v>
      </c>
      <c r="W508" s="9">
        <f t="shared" si="39"/>
        <v>0.38191627009364243</v>
      </c>
    </row>
    <row r="509" spans="1:23">
      <c r="A509">
        <v>10508</v>
      </c>
      <c r="B509" s="5">
        <v>44704</v>
      </c>
      <c r="C509" s="5">
        <v>44709</v>
      </c>
      <c r="D509" s="5">
        <v>44710</v>
      </c>
      <c r="E509" t="s">
        <v>21</v>
      </c>
      <c r="F509" t="s">
        <v>22</v>
      </c>
      <c r="G509" t="s">
        <v>25</v>
      </c>
      <c r="H509" t="s">
        <v>29</v>
      </c>
      <c r="I509" t="s">
        <v>34</v>
      </c>
      <c r="J509" t="s">
        <v>43</v>
      </c>
      <c r="K509" t="s">
        <v>46</v>
      </c>
      <c r="L509" t="s">
        <v>52</v>
      </c>
      <c r="M509" s="7">
        <v>1134</v>
      </c>
      <c r="N509">
        <v>0.3</v>
      </c>
      <c r="O509" s="7">
        <v>10106</v>
      </c>
      <c r="P509">
        <v>10</v>
      </c>
      <c r="Q509" t="s">
        <v>54</v>
      </c>
      <c r="R509" t="s">
        <v>62</v>
      </c>
      <c r="S509">
        <f t="shared" si="35"/>
        <v>2022</v>
      </c>
      <c r="T509" t="str">
        <f t="shared" si="36"/>
        <v>May</v>
      </c>
      <c r="U509">
        <f t="shared" si="37"/>
        <v>5</v>
      </c>
      <c r="V509">
        <f t="shared" si="38"/>
        <v>6</v>
      </c>
      <c r="W509" s="9">
        <f t="shared" si="39"/>
        <v>8.9118165784832453</v>
      </c>
    </row>
    <row r="510" spans="1:23">
      <c r="A510">
        <v>10509</v>
      </c>
      <c r="B510" s="5">
        <v>44705</v>
      </c>
      <c r="C510" s="5">
        <v>44710</v>
      </c>
      <c r="D510" s="5">
        <v>44715</v>
      </c>
      <c r="E510" t="s">
        <v>18</v>
      </c>
      <c r="F510" t="s">
        <v>22</v>
      </c>
      <c r="G510" t="s">
        <v>25</v>
      </c>
      <c r="H510" t="s">
        <v>29</v>
      </c>
      <c r="I510" t="s">
        <v>36</v>
      </c>
      <c r="J510" t="s">
        <v>38</v>
      </c>
      <c r="K510" t="s">
        <v>50</v>
      </c>
      <c r="L510" t="s">
        <v>52</v>
      </c>
      <c r="M510" s="7">
        <v>52392</v>
      </c>
      <c r="N510">
        <v>0.03</v>
      </c>
      <c r="O510" s="7">
        <v>19113</v>
      </c>
      <c r="P510">
        <v>4</v>
      </c>
      <c r="Q510" t="s">
        <v>55</v>
      </c>
      <c r="R510" t="s">
        <v>59</v>
      </c>
      <c r="S510">
        <f t="shared" si="35"/>
        <v>2022</v>
      </c>
      <c r="T510" t="str">
        <f t="shared" si="36"/>
        <v>May</v>
      </c>
      <c r="U510">
        <f t="shared" si="37"/>
        <v>5</v>
      </c>
      <c r="V510">
        <f t="shared" si="38"/>
        <v>10</v>
      </c>
      <c r="W510" s="9">
        <f t="shared" si="39"/>
        <v>0.36480760421438385</v>
      </c>
    </row>
    <row r="511" spans="1:23">
      <c r="A511">
        <v>10510</v>
      </c>
      <c r="B511" s="5">
        <v>44706</v>
      </c>
      <c r="C511" s="5">
        <v>44711</v>
      </c>
      <c r="D511" s="5">
        <v>44712</v>
      </c>
      <c r="E511" t="s">
        <v>19</v>
      </c>
      <c r="F511" t="s">
        <v>22</v>
      </c>
      <c r="G511" t="s">
        <v>28</v>
      </c>
      <c r="H511" t="s">
        <v>33</v>
      </c>
      <c r="I511" t="s">
        <v>35</v>
      </c>
      <c r="J511" t="s">
        <v>38</v>
      </c>
      <c r="K511" t="s">
        <v>46</v>
      </c>
      <c r="L511" t="s">
        <v>53</v>
      </c>
      <c r="M511" s="7">
        <v>14791</v>
      </c>
      <c r="N511">
        <v>0.13</v>
      </c>
      <c r="O511" s="7">
        <v>2265</v>
      </c>
      <c r="P511">
        <v>6</v>
      </c>
      <c r="Q511" t="s">
        <v>55</v>
      </c>
      <c r="R511" t="s">
        <v>59</v>
      </c>
      <c r="S511">
        <f t="shared" si="35"/>
        <v>2022</v>
      </c>
      <c r="T511" t="str">
        <f t="shared" si="36"/>
        <v>May</v>
      </c>
      <c r="U511">
        <f t="shared" si="37"/>
        <v>5</v>
      </c>
      <c r="V511">
        <f t="shared" si="38"/>
        <v>6</v>
      </c>
      <c r="W511" s="9">
        <f t="shared" si="39"/>
        <v>0.15313366236224732</v>
      </c>
    </row>
    <row r="512" spans="1:23">
      <c r="A512">
        <v>10511</v>
      </c>
      <c r="B512" s="5">
        <v>44707</v>
      </c>
      <c r="C512" s="5">
        <v>44712</v>
      </c>
      <c r="D512" s="5">
        <v>44713</v>
      </c>
      <c r="E512" t="s">
        <v>21</v>
      </c>
      <c r="F512" t="s">
        <v>22</v>
      </c>
      <c r="G512" t="s">
        <v>24</v>
      </c>
      <c r="H512" t="s">
        <v>31</v>
      </c>
      <c r="I512" t="s">
        <v>35</v>
      </c>
      <c r="J512" t="s">
        <v>40</v>
      </c>
      <c r="K512" t="s">
        <v>48</v>
      </c>
      <c r="L512" t="s">
        <v>53</v>
      </c>
      <c r="M512" s="7">
        <v>60574</v>
      </c>
      <c r="N512">
        <v>0.39</v>
      </c>
      <c r="O512" s="7">
        <v>5133</v>
      </c>
      <c r="P512">
        <v>21</v>
      </c>
      <c r="Q512" t="s">
        <v>54</v>
      </c>
      <c r="R512" t="s">
        <v>61</v>
      </c>
      <c r="S512">
        <f t="shared" si="35"/>
        <v>2022</v>
      </c>
      <c r="T512" t="str">
        <f t="shared" si="36"/>
        <v>May</v>
      </c>
      <c r="U512">
        <f t="shared" si="37"/>
        <v>5</v>
      </c>
      <c r="V512">
        <f t="shared" si="38"/>
        <v>6</v>
      </c>
      <c r="W512" s="9">
        <f t="shared" si="39"/>
        <v>8.4739327104038031E-2</v>
      </c>
    </row>
    <row r="513" spans="1:23">
      <c r="A513">
        <v>10512</v>
      </c>
      <c r="B513" s="5">
        <v>44708</v>
      </c>
      <c r="C513" s="5">
        <v>44713</v>
      </c>
      <c r="D513" s="5">
        <v>44716</v>
      </c>
      <c r="E513" t="s">
        <v>21</v>
      </c>
      <c r="F513" t="s">
        <v>22</v>
      </c>
      <c r="G513" t="s">
        <v>27</v>
      </c>
      <c r="H513" t="s">
        <v>29</v>
      </c>
      <c r="I513" t="s">
        <v>34</v>
      </c>
      <c r="J513" t="s">
        <v>40</v>
      </c>
      <c r="K513" t="s">
        <v>48</v>
      </c>
      <c r="L513" t="s">
        <v>53</v>
      </c>
      <c r="M513" s="7">
        <v>24613</v>
      </c>
      <c r="N513">
        <v>0.15</v>
      </c>
      <c r="O513" s="7">
        <v>6238</v>
      </c>
      <c r="P513">
        <v>12</v>
      </c>
      <c r="Q513" t="s">
        <v>54</v>
      </c>
      <c r="R513" t="s">
        <v>59</v>
      </c>
      <c r="S513">
        <f t="shared" si="35"/>
        <v>2022</v>
      </c>
      <c r="T513" t="str">
        <f t="shared" si="36"/>
        <v>May</v>
      </c>
      <c r="U513">
        <f t="shared" si="37"/>
        <v>5</v>
      </c>
      <c r="V513">
        <f t="shared" si="38"/>
        <v>8</v>
      </c>
      <c r="W513" s="9">
        <f t="shared" si="39"/>
        <v>0.25344330231991224</v>
      </c>
    </row>
    <row r="514" spans="1:23">
      <c r="A514">
        <v>10513</v>
      </c>
      <c r="B514" s="5">
        <v>44709</v>
      </c>
      <c r="C514" s="5">
        <v>44711</v>
      </c>
      <c r="D514" s="5">
        <v>44714</v>
      </c>
      <c r="E514" t="s">
        <v>19</v>
      </c>
      <c r="F514" t="s">
        <v>22</v>
      </c>
      <c r="G514" t="s">
        <v>23</v>
      </c>
      <c r="H514" t="s">
        <v>29</v>
      </c>
      <c r="I514" t="s">
        <v>36</v>
      </c>
      <c r="J514" t="s">
        <v>43</v>
      </c>
      <c r="K514" t="s">
        <v>45</v>
      </c>
      <c r="L514" t="s">
        <v>51</v>
      </c>
      <c r="M514" s="7">
        <v>70839</v>
      </c>
      <c r="N514">
        <v>0.4</v>
      </c>
      <c r="O514" s="7">
        <v>-415</v>
      </c>
      <c r="P514">
        <v>1</v>
      </c>
      <c r="Q514" t="s">
        <v>54</v>
      </c>
      <c r="R514" t="s">
        <v>62</v>
      </c>
      <c r="S514">
        <f t="shared" si="35"/>
        <v>2022</v>
      </c>
      <c r="T514" t="str">
        <f t="shared" si="36"/>
        <v>May</v>
      </c>
      <c r="U514">
        <f t="shared" si="37"/>
        <v>2</v>
      </c>
      <c r="V514">
        <f t="shared" si="38"/>
        <v>5</v>
      </c>
      <c r="W514" s="9">
        <f t="shared" si="39"/>
        <v>-5.8583548610228828E-3</v>
      </c>
    </row>
    <row r="515" spans="1:23">
      <c r="A515">
        <v>10514</v>
      </c>
      <c r="B515" s="5">
        <v>44710</v>
      </c>
      <c r="C515" s="5">
        <v>44717</v>
      </c>
      <c r="D515" s="5">
        <v>44720</v>
      </c>
      <c r="E515" t="s">
        <v>20</v>
      </c>
      <c r="F515" t="s">
        <v>22</v>
      </c>
      <c r="G515" t="s">
        <v>24</v>
      </c>
      <c r="H515" t="s">
        <v>30</v>
      </c>
      <c r="I515" t="s">
        <v>36</v>
      </c>
      <c r="J515" t="s">
        <v>43</v>
      </c>
      <c r="K515" t="s">
        <v>49</v>
      </c>
      <c r="L515" t="s">
        <v>52</v>
      </c>
      <c r="M515" s="7">
        <v>66581</v>
      </c>
      <c r="N515">
        <v>0.28000000000000003</v>
      </c>
      <c r="O515" s="7">
        <v>18752</v>
      </c>
      <c r="P515">
        <v>13</v>
      </c>
      <c r="Q515" t="s">
        <v>56</v>
      </c>
      <c r="R515" t="s">
        <v>60</v>
      </c>
      <c r="S515">
        <f t="shared" ref="S515:S578" si="40">YEAR(B515)</f>
        <v>2022</v>
      </c>
      <c r="T515" t="str">
        <f t="shared" ref="T515:T578" si="41">TEXT(B515,"mmm")</f>
        <v>May</v>
      </c>
      <c r="U515">
        <f t="shared" ref="U515:U578" si="42">C515-B515</f>
        <v>7</v>
      </c>
      <c r="V515">
        <f t="shared" ref="V515:V578" si="43">D515-B515</f>
        <v>10</v>
      </c>
      <c r="W515" s="9">
        <f t="shared" ref="W515:W578" si="44">IFERROR(O515/M515,0)</f>
        <v>0.2816419098541626</v>
      </c>
    </row>
    <row r="516" spans="1:23">
      <c r="A516">
        <v>10515</v>
      </c>
      <c r="B516" s="5">
        <v>44711</v>
      </c>
      <c r="C516" s="5">
        <v>44716</v>
      </c>
      <c r="D516" s="5">
        <v>44718</v>
      </c>
      <c r="E516" t="s">
        <v>18</v>
      </c>
      <c r="F516" t="s">
        <v>22</v>
      </c>
      <c r="G516" t="s">
        <v>27</v>
      </c>
      <c r="H516" t="s">
        <v>31</v>
      </c>
      <c r="I516" t="s">
        <v>36</v>
      </c>
      <c r="J516" t="s">
        <v>37</v>
      </c>
      <c r="K516" t="s">
        <v>49</v>
      </c>
      <c r="L516" t="s">
        <v>53</v>
      </c>
      <c r="M516" s="7">
        <v>53483</v>
      </c>
      <c r="N516">
        <v>0.05</v>
      </c>
      <c r="O516" s="7">
        <v>7436</v>
      </c>
      <c r="P516">
        <v>22</v>
      </c>
      <c r="Q516" t="s">
        <v>55</v>
      </c>
      <c r="R516" t="s">
        <v>62</v>
      </c>
      <c r="S516">
        <f t="shared" si="40"/>
        <v>2022</v>
      </c>
      <c r="T516" t="str">
        <f t="shared" si="41"/>
        <v>May</v>
      </c>
      <c r="U516">
        <f t="shared" si="42"/>
        <v>5</v>
      </c>
      <c r="V516">
        <f t="shared" si="43"/>
        <v>7</v>
      </c>
      <c r="W516" s="9">
        <f t="shared" si="44"/>
        <v>0.13903483349849485</v>
      </c>
    </row>
    <row r="517" spans="1:23">
      <c r="A517">
        <v>10516</v>
      </c>
      <c r="B517" s="5">
        <v>44712</v>
      </c>
      <c r="C517" s="5">
        <v>44714</v>
      </c>
      <c r="D517" s="5">
        <v>44715</v>
      </c>
      <c r="E517" t="s">
        <v>19</v>
      </c>
      <c r="F517" t="s">
        <v>22</v>
      </c>
      <c r="G517" t="s">
        <v>28</v>
      </c>
      <c r="H517" t="s">
        <v>32</v>
      </c>
      <c r="I517" t="s">
        <v>36</v>
      </c>
      <c r="J517" t="s">
        <v>37</v>
      </c>
      <c r="K517" t="s">
        <v>44</v>
      </c>
      <c r="L517" t="s">
        <v>52</v>
      </c>
      <c r="M517" s="7">
        <v>28890</v>
      </c>
      <c r="N517">
        <v>0.32</v>
      </c>
      <c r="O517" s="7">
        <v>5804</v>
      </c>
      <c r="P517">
        <v>5</v>
      </c>
      <c r="Q517" t="s">
        <v>57</v>
      </c>
      <c r="R517" t="s">
        <v>62</v>
      </c>
      <c r="S517">
        <f t="shared" si="40"/>
        <v>2022</v>
      </c>
      <c r="T517" t="str">
        <f t="shared" si="41"/>
        <v>May</v>
      </c>
      <c r="U517">
        <f t="shared" si="42"/>
        <v>2</v>
      </c>
      <c r="V517">
        <f t="shared" si="43"/>
        <v>3</v>
      </c>
      <c r="W517" s="9">
        <f t="shared" si="44"/>
        <v>0.2008999653859467</v>
      </c>
    </row>
    <row r="518" spans="1:23">
      <c r="A518">
        <v>10517</v>
      </c>
      <c r="B518" s="5">
        <v>44713</v>
      </c>
      <c r="C518" s="5">
        <v>44720</v>
      </c>
      <c r="D518" s="5">
        <v>44723</v>
      </c>
      <c r="E518" t="s">
        <v>21</v>
      </c>
      <c r="F518" t="s">
        <v>22</v>
      </c>
      <c r="G518" t="s">
        <v>27</v>
      </c>
      <c r="H518" t="s">
        <v>33</v>
      </c>
      <c r="I518" t="s">
        <v>36</v>
      </c>
      <c r="J518" t="s">
        <v>43</v>
      </c>
      <c r="K518" t="s">
        <v>46</v>
      </c>
      <c r="L518" t="s">
        <v>51</v>
      </c>
      <c r="M518" s="7">
        <v>14371</v>
      </c>
      <c r="N518">
        <v>0.08</v>
      </c>
      <c r="O518" s="7">
        <v>17957</v>
      </c>
      <c r="P518">
        <v>12</v>
      </c>
      <c r="Q518" t="s">
        <v>58</v>
      </c>
      <c r="R518" t="s">
        <v>61</v>
      </c>
      <c r="S518">
        <f t="shared" si="40"/>
        <v>2022</v>
      </c>
      <c r="T518" t="str">
        <f t="shared" si="41"/>
        <v>Jun</v>
      </c>
      <c r="U518">
        <f t="shared" si="42"/>
        <v>7</v>
      </c>
      <c r="V518">
        <f t="shared" si="43"/>
        <v>10</v>
      </c>
      <c r="W518" s="9">
        <f t="shared" si="44"/>
        <v>1.2495303040846149</v>
      </c>
    </row>
    <row r="519" spans="1:23">
      <c r="A519">
        <v>10518</v>
      </c>
      <c r="B519" s="5">
        <v>44714</v>
      </c>
      <c r="C519" s="5">
        <v>44721</v>
      </c>
      <c r="D519" s="5">
        <v>44725</v>
      </c>
      <c r="E519" t="s">
        <v>19</v>
      </c>
      <c r="F519" t="s">
        <v>22</v>
      </c>
      <c r="G519" t="s">
        <v>25</v>
      </c>
      <c r="H519" t="s">
        <v>29</v>
      </c>
      <c r="I519" t="s">
        <v>34</v>
      </c>
      <c r="J519" t="s">
        <v>38</v>
      </c>
      <c r="K519" t="s">
        <v>49</v>
      </c>
      <c r="L519" t="s">
        <v>51</v>
      </c>
      <c r="M519" s="7">
        <v>65307</v>
      </c>
      <c r="N519">
        <v>0.13</v>
      </c>
      <c r="O519" s="7">
        <v>313</v>
      </c>
      <c r="P519">
        <v>4</v>
      </c>
      <c r="Q519" t="s">
        <v>58</v>
      </c>
      <c r="R519" t="s">
        <v>59</v>
      </c>
      <c r="S519">
        <f t="shared" si="40"/>
        <v>2022</v>
      </c>
      <c r="T519" t="str">
        <f t="shared" si="41"/>
        <v>Jun</v>
      </c>
      <c r="U519">
        <f t="shared" si="42"/>
        <v>7</v>
      </c>
      <c r="V519">
        <f t="shared" si="43"/>
        <v>11</v>
      </c>
      <c r="W519" s="9">
        <f t="shared" si="44"/>
        <v>4.7927480974474402E-3</v>
      </c>
    </row>
    <row r="520" spans="1:23">
      <c r="A520">
        <v>10519</v>
      </c>
      <c r="B520" s="5">
        <v>44715</v>
      </c>
      <c r="C520" s="5">
        <v>44717</v>
      </c>
      <c r="D520" s="5">
        <v>44718</v>
      </c>
      <c r="E520" t="s">
        <v>21</v>
      </c>
      <c r="F520" t="s">
        <v>22</v>
      </c>
      <c r="G520" t="s">
        <v>24</v>
      </c>
      <c r="H520" t="s">
        <v>25</v>
      </c>
      <c r="I520" t="s">
        <v>36</v>
      </c>
      <c r="J520" t="s">
        <v>38</v>
      </c>
      <c r="K520" t="s">
        <v>49</v>
      </c>
      <c r="L520" t="s">
        <v>53</v>
      </c>
      <c r="M520" s="7">
        <v>27318</v>
      </c>
      <c r="N520">
        <v>0.15</v>
      </c>
      <c r="O520" s="7">
        <v>14971</v>
      </c>
      <c r="P520">
        <v>1</v>
      </c>
      <c r="Q520" t="s">
        <v>54</v>
      </c>
      <c r="R520" t="s">
        <v>62</v>
      </c>
      <c r="S520">
        <f t="shared" si="40"/>
        <v>2022</v>
      </c>
      <c r="T520" t="str">
        <f t="shared" si="41"/>
        <v>Jun</v>
      </c>
      <c r="U520">
        <f t="shared" si="42"/>
        <v>2</v>
      </c>
      <c r="V520">
        <f t="shared" si="43"/>
        <v>3</v>
      </c>
      <c r="W520" s="9">
        <f t="shared" si="44"/>
        <v>0.54802694194304125</v>
      </c>
    </row>
    <row r="521" spans="1:23">
      <c r="A521">
        <v>10520</v>
      </c>
      <c r="B521" s="5">
        <v>44716</v>
      </c>
      <c r="C521" s="5">
        <v>44722</v>
      </c>
      <c r="D521" s="5">
        <v>44725</v>
      </c>
      <c r="E521" t="s">
        <v>21</v>
      </c>
      <c r="F521" t="s">
        <v>22</v>
      </c>
      <c r="G521" t="s">
        <v>28</v>
      </c>
      <c r="H521" t="s">
        <v>25</v>
      </c>
      <c r="I521" t="s">
        <v>34</v>
      </c>
      <c r="J521" t="s">
        <v>41</v>
      </c>
      <c r="K521" t="s">
        <v>48</v>
      </c>
      <c r="L521" t="s">
        <v>51</v>
      </c>
      <c r="M521" s="7">
        <v>62326</v>
      </c>
      <c r="N521">
        <v>0.3</v>
      </c>
      <c r="O521" s="7">
        <v>8864</v>
      </c>
      <c r="P521">
        <v>13</v>
      </c>
      <c r="Q521" t="s">
        <v>54</v>
      </c>
      <c r="R521" t="s">
        <v>61</v>
      </c>
      <c r="S521">
        <f t="shared" si="40"/>
        <v>2022</v>
      </c>
      <c r="T521" t="str">
        <f t="shared" si="41"/>
        <v>Jun</v>
      </c>
      <c r="U521">
        <f t="shared" si="42"/>
        <v>6</v>
      </c>
      <c r="V521">
        <f t="shared" si="43"/>
        <v>9</v>
      </c>
      <c r="W521" s="9">
        <f t="shared" si="44"/>
        <v>0.14221994031383373</v>
      </c>
    </row>
    <row r="522" spans="1:23">
      <c r="A522">
        <v>10521</v>
      </c>
      <c r="B522" s="5">
        <v>44717</v>
      </c>
      <c r="C522" s="5">
        <v>44720</v>
      </c>
      <c r="D522" s="5">
        <v>44722</v>
      </c>
      <c r="E522" t="s">
        <v>20</v>
      </c>
      <c r="F522" t="s">
        <v>22</v>
      </c>
      <c r="G522" t="s">
        <v>28</v>
      </c>
      <c r="H522" t="s">
        <v>30</v>
      </c>
      <c r="I522" t="s">
        <v>36</v>
      </c>
      <c r="J522" t="s">
        <v>38</v>
      </c>
      <c r="K522" t="s">
        <v>44</v>
      </c>
      <c r="L522" t="s">
        <v>51</v>
      </c>
      <c r="M522" s="7">
        <v>72849</v>
      </c>
      <c r="N522">
        <v>0.04</v>
      </c>
      <c r="O522" s="7">
        <v>16358</v>
      </c>
      <c r="P522">
        <v>9</v>
      </c>
      <c r="Q522" t="s">
        <v>57</v>
      </c>
      <c r="R522" t="s">
        <v>62</v>
      </c>
      <c r="S522">
        <f t="shared" si="40"/>
        <v>2022</v>
      </c>
      <c r="T522" t="str">
        <f t="shared" si="41"/>
        <v>Jun</v>
      </c>
      <c r="U522">
        <f t="shared" si="42"/>
        <v>3</v>
      </c>
      <c r="V522">
        <f t="shared" si="43"/>
        <v>5</v>
      </c>
      <c r="W522" s="9">
        <f t="shared" si="44"/>
        <v>0.22454666501942375</v>
      </c>
    </row>
    <row r="523" spans="1:23">
      <c r="A523">
        <v>10522</v>
      </c>
      <c r="B523" s="5">
        <v>44718</v>
      </c>
      <c r="C523" s="5">
        <v>44725</v>
      </c>
      <c r="D523" s="5">
        <v>44727</v>
      </c>
      <c r="E523" t="s">
        <v>21</v>
      </c>
      <c r="F523" t="s">
        <v>22</v>
      </c>
      <c r="G523" t="s">
        <v>25</v>
      </c>
      <c r="H523" t="s">
        <v>31</v>
      </c>
      <c r="I523" t="s">
        <v>34</v>
      </c>
      <c r="J523" t="s">
        <v>38</v>
      </c>
      <c r="K523" t="s">
        <v>50</v>
      </c>
      <c r="L523" t="s">
        <v>51</v>
      </c>
      <c r="M523" s="7">
        <v>41614</v>
      </c>
      <c r="N523">
        <v>0.26</v>
      </c>
      <c r="O523" s="7">
        <v>7820</v>
      </c>
      <c r="P523">
        <v>20</v>
      </c>
      <c r="Q523" t="s">
        <v>58</v>
      </c>
      <c r="R523" t="s">
        <v>62</v>
      </c>
      <c r="S523">
        <f t="shared" si="40"/>
        <v>2022</v>
      </c>
      <c r="T523" t="str">
        <f t="shared" si="41"/>
        <v>Jun</v>
      </c>
      <c r="U523">
        <f t="shared" si="42"/>
        <v>7</v>
      </c>
      <c r="V523">
        <f t="shared" si="43"/>
        <v>9</v>
      </c>
      <c r="W523" s="9">
        <f t="shared" si="44"/>
        <v>0.18791752775508241</v>
      </c>
    </row>
    <row r="524" spans="1:23">
      <c r="A524">
        <v>10523</v>
      </c>
      <c r="B524" s="5">
        <v>44719</v>
      </c>
      <c r="C524" s="5">
        <v>44724</v>
      </c>
      <c r="D524" s="5">
        <v>44727</v>
      </c>
      <c r="E524" t="s">
        <v>21</v>
      </c>
      <c r="F524" t="s">
        <v>22</v>
      </c>
      <c r="G524" t="s">
        <v>27</v>
      </c>
      <c r="H524" t="s">
        <v>29</v>
      </c>
      <c r="I524" t="s">
        <v>34</v>
      </c>
      <c r="J524" t="s">
        <v>37</v>
      </c>
      <c r="K524" t="s">
        <v>48</v>
      </c>
      <c r="L524" t="s">
        <v>51</v>
      </c>
      <c r="M524" s="7">
        <v>60749</v>
      </c>
      <c r="N524">
        <v>0.34</v>
      </c>
      <c r="O524" s="7">
        <v>19068</v>
      </c>
      <c r="P524">
        <v>16</v>
      </c>
      <c r="Q524" t="s">
        <v>54</v>
      </c>
      <c r="R524" t="s">
        <v>60</v>
      </c>
      <c r="S524">
        <f t="shared" si="40"/>
        <v>2022</v>
      </c>
      <c r="T524" t="str">
        <f t="shared" si="41"/>
        <v>Jun</v>
      </c>
      <c r="U524">
        <f t="shared" si="42"/>
        <v>5</v>
      </c>
      <c r="V524">
        <f t="shared" si="43"/>
        <v>8</v>
      </c>
      <c r="W524" s="9">
        <f t="shared" si="44"/>
        <v>0.31388170998699566</v>
      </c>
    </row>
    <row r="525" spans="1:23">
      <c r="A525">
        <v>10524</v>
      </c>
      <c r="B525" s="5">
        <v>44720</v>
      </c>
      <c r="C525" s="5">
        <v>44727</v>
      </c>
      <c r="D525" s="5">
        <v>44729</v>
      </c>
      <c r="E525" t="s">
        <v>19</v>
      </c>
      <c r="F525" t="s">
        <v>22</v>
      </c>
      <c r="G525" t="s">
        <v>28</v>
      </c>
      <c r="H525" t="s">
        <v>29</v>
      </c>
      <c r="I525" t="s">
        <v>35</v>
      </c>
      <c r="J525" t="s">
        <v>38</v>
      </c>
      <c r="K525" t="s">
        <v>50</v>
      </c>
      <c r="L525" t="s">
        <v>51</v>
      </c>
      <c r="M525" s="7">
        <v>31457</v>
      </c>
      <c r="N525">
        <v>0.11</v>
      </c>
      <c r="O525" s="7">
        <v>2796</v>
      </c>
      <c r="P525">
        <v>13</v>
      </c>
      <c r="Q525" t="s">
        <v>55</v>
      </c>
      <c r="R525" t="s">
        <v>62</v>
      </c>
      <c r="S525">
        <f t="shared" si="40"/>
        <v>2022</v>
      </c>
      <c r="T525" t="str">
        <f t="shared" si="41"/>
        <v>Jun</v>
      </c>
      <c r="U525">
        <f t="shared" si="42"/>
        <v>7</v>
      </c>
      <c r="V525">
        <f t="shared" si="43"/>
        <v>9</v>
      </c>
      <c r="W525" s="9">
        <f t="shared" si="44"/>
        <v>8.8883237435229037E-2</v>
      </c>
    </row>
    <row r="526" spans="1:23">
      <c r="A526">
        <v>10525</v>
      </c>
      <c r="B526" s="5">
        <v>44721</v>
      </c>
      <c r="C526" s="5">
        <v>44723</v>
      </c>
      <c r="D526" s="5">
        <v>44728</v>
      </c>
      <c r="E526" t="s">
        <v>18</v>
      </c>
      <c r="F526" t="s">
        <v>22</v>
      </c>
      <c r="G526" t="s">
        <v>27</v>
      </c>
      <c r="H526" t="s">
        <v>31</v>
      </c>
      <c r="I526" t="s">
        <v>34</v>
      </c>
      <c r="J526" t="s">
        <v>37</v>
      </c>
      <c r="K526" t="s">
        <v>46</v>
      </c>
      <c r="L526" t="s">
        <v>52</v>
      </c>
      <c r="M526" s="7">
        <v>29642</v>
      </c>
      <c r="N526">
        <v>0.34</v>
      </c>
      <c r="O526" s="7">
        <v>391</v>
      </c>
      <c r="P526">
        <v>21</v>
      </c>
      <c r="Q526" t="s">
        <v>57</v>
      </c>
      <c r="R526" t="s">
        <v>62</v>
      </c>
      <c r="S526">
        <f t="shared" si="40"/>
        <v>2022</v>
      </c>
      <c r="T526" t="str">
        <f t="shared" si="41"/>
        <v>Jun</v>
      </c>
      <c r="U526">
        <f t="shared" si="42"/>
        <v>2</v>
      </c>
      <c r="V526">
        <f t="shared" si="43"/>
        <v>7</v>
      </c>
      <c r="W526" s="9">
        <f t="shared" si="44"/>
        <v>1.3190742864853923E-2</v>
      </c>
    </row>
    <row r="527" spans="1:23">
      <c r="A527">
        <v>10526</v>
      </c>
      <c r="B527" s="5">
        <v>44722</v>
      </c>
      <c r="C527" s="5">
        <v>44726</v>
      </c>
      <c r="D527" s="5">
        <v>44729</v>
      </c>
      <c r="E527" t="s">
        <v>20</v>
      </c>
      <c r="F527" t="s">
        <v>22</v>
      </c>
      <c r="G527" t="s">
        <v>25</v>
      </c>
      <c r="H527" t="s">
        <v>32</v>
      </c>
      <c r="I527" t="s">
        <v>35</v>
      </c>
      <c r="J527" t="s">
        <v>40</v>
      </c>
      <c r="K527" t="s">
        <v>45</v>
      </c>
      <c r="L527" t="s">
        <v>52</v>
      </c>
      <c r="M527" s="7">
        <v>48754</v>
      </c>
      <c r="N527">
        <v>0.31</v>
      </c>
      <c r="O527" s="7">
        <v>19105</v>
      </c>
      <c r="P527">
        <v>11</v>
      </c>
      <c r="Q527" t="s">
        <v>58</v>
      </c>
      <c r="R527" t="s">
        <v>62</v>
      </c>
      <c r="S527">
        <f t="shared" si="40"/>
        <v>2022</v>
      </c>
      <c r="T527" t="str">
        <f t="shared" si="41"/>
        <v>Jun</v>
      </c>
      <c r="U527">
        <f t="shared" si="42"/>
        <v>4</v>
      </c>
      <c r="V527">
        <f t="shared" si="43"/>
        <v>7</v>
      </c>
      <c r="W527" s="9">
        <f t="shared" si="44"/>
        <v>0.39186528284858679</v>
      </c>
    </row>
    <row r="528" spans="1:23">
      <c r="A528">
        <v>10527</v>
      </c>
      <c r="B528" s="5">
        <v>44723</v>
      </c>
      <c r="C528" s="5">
        <v>44730</v>
      </c>
      <c r="D528" s="5">
        <v>44731</v>
      </c>
      <c r="E528" t="s">
        <v>19</v>
      </c>
      <c r="F528" t="s">
        <v>22</v>
      </c>
      <c r="G528" t="s">
        <v>27</v>
      </c>
      <c r="H528" t="s">
        <v>29</v>
      </c>
      <c r="I528" t="s">
        <v>34</v>
      </c>
      <c r="J528" t="s">
        <v>39</v>
      </c>
      <c r="K528" t="s">
        <v>47</v>
      </c>
      <c r="L528" t="s">
        <v>52</v>
      </c>
      <c r="M528" s="7">
        <v>9913</v>
      </c>
      <c r="N528">
        <v>0.11</v>
      </c>
      <c r="O528" s="7">
        <v>11032</v>
      </c>
      <c r="P528">
        <v>17</v>
      </c>
      <c r="Q528" t="s">
        <v>57</v>
      </c>
      <c r="R528" t="s">
        <v>59</v>
      </c>
      <c r="S528">
        <f t="shared" si="40"/>
        <v>2022</v>
      </c>
      <c r="T528" t="str">
        <f t="shared" si="41"/>
        <v>Jun</v>
      </c>
      <c r="U528">
        <f t="shared" si="42"/>
        <v>7</v>
      </c>
      <c r="V528">
        <f t="shared" si="43"/>
        <v>8</v>
      </c>
      <c r="W528" s="9">
        <f t="shared" si="44"/>
        <v>1.1128820740441845</v>
      </c>
    </row>
    <row r="529" spans="1:23">
      <c r="A529">
        <v>10528</v>
      </c>
      <c r="B529" s="5">
        <v>44724</v>
      </c>
      <c r="C529" s="5">
        <v>44730</v>
      </c>
      <c r="D529" s="5">
        <v>44735</v>
      </c>
      <c r="E529" t="s">
        <v>20</v>
      </c>
      <c r="F529" t="s">
        <v>22</v>
      </c>
      <c r="G529" t="s">
        <v>25</v>
      </c>
      <c r="H529" t="s">
        <v>30</v>
      </c>
      <c r="I529" t="s">
        <v>35</v>
      </c>
      <c r="J529" t="s">
        <v>39</v>
      </c>
      <c r="K529" t="s">
        <v>47</v>
      </c>
      <c r="L529" t="s">
        <v>52</v>
      </c>
      <c r="M529" s="7">
        <v>62661</v>
      </c>
      <c r="N529">
        <v>0.1</v>
      </c>
      <c r="O529" s="7">
        <v>-1666</v>
      </c>
      <c r="P529">
        <v>7</v>
      </c>
      <c r="Q529" t="s">
        <v>54</v>
      </c>
      <c r="R529" t="s">
        <v>60</v>
      </c>
      <c r="S529">
        <f t="shared" si="40"/>
        <v>2022</v>
      </c>
      <c r="T529" t="str">
        <f t="shared" si="41"/>
        <v>Jun</v>
      </c>
      <c r="U529">
        <f t="shared" si="42"/>
        <v>6</v>
      </c>
      <c r="V529">
        <f t="shared" si="43"/>
        <v>11</v>
      </c>
      <c r="W529" s="9">
        <f t="shared" si="44"/>
        <v>-2.658751057276456E-2</v>
      </c>
    </row>
    <row r="530" spans="1:23">
      <c r="A530">
        <v>10529</v>
      </c>
      <c r="B530" s="5">
        <v>44725</v>
      </c>
      <c r="C530" s="5">
        <v>44728</v>
      </c>
      <c r="D530" s="5">
        <v>44732</v>
      </c>
      <c r="E530" t="s">
        <v>18</v>
      </c>
      <c r="F530" t="s">
        <v>22</v>
      </c>
      <c r="G530" t="s">
        <v>25</v>
      </c>
      <c r="H530" t="s">
        <v>29</v>
      </c>
      <c r="I530" t="s">
        <v>36</v>
      </c>
      <c r="J530" t="s">
        <v>40</v>
      </c>
      <c r="K530" t="s">
        <v>48</v>
      </c>
      <c r="L530" t="s">
        <v>53</v>
      </c>
      <c r="M530" s="7">
        <v>56430</v>
      </c>
      <c r="N530">
        <v>0.05</v>
      </c>
      <c r="O530" s="7">
        <v>19609</v>
      </c>
      <c r="P530">
        <v>22</v>
      </c>
      <c r="Q530" t="s">
        <v>58</v>
      </c>
      <c r="R530" t="s">
        <v>62</v>
      </c>
      <c r="S530">
        <f t="shared" si="40"/>
        <v>2022</v>
      </c>
      <c r="T530" t="str">
        <f t="shared" si="41"/>
        <v>Jun</v>
      </c>
      <c r="U530">
        <f t="shared" si="42"/>
        <v>3</v>
      </c>
      <c r="V530">
        <f t="shared" si="43"/>
        <v>7</v>
      </c>
      <c r="W530" s="9">
        <f t="shared" si="44"/>
        <v>0.34749246854510013</v>
      </c>
    </row>
    <row r="531" spans="1:23">
      <c r="A531">
        <v>10530</v>
      </c>
      <c r="B531" s="5">
        <v>44726</v>
      </c>
      <c r="C531" s="5">
        <v>44729</v>
      </c>
      <c r="D531" s="5">
        <v>44732</v>
      </c>
      <c r="E531" t="s">
        <v>19</v>
      </c>
      <c r="F531" t="s">
        <v>22</v>
      </c>
      <c r="G531" t="s">
        <v>28</v>
      </c>
      <c r="H531" t="s">
        <v>32</v>
      </c>
      <c r="I531" t="s">
        <v>35</v>
      </c>
      <c r="J531" t="s">
        <v>37</v>
      </c>
      <c r="K531" t="s">
        <v>44</v>
      </c>
      <c r="L531" t="s">
        <v>51</v>
      </c>
      <c r="M531" s="7">
        <v>61206</v>
      </c>
      <c r="N531">
        <v>0.14000000000000001</v>
      </c>
      <c r="O531" s="7">
        <v>3649</v>
      </c>
      <c r="P531">
        <v>4</v>
      </c>
      <c r="Q531" t="s">
        <v>55</v>
      </c>
      <c r="R531" t="s">
        <v>62</v>
      </c>
      <c r="S531">
        <f t="shared" si="40"/>
        <v>2022</v>
      </c>
      <c r="T531" t="str">
        <f t="shared" si="41"/>
        <v>Jun</v>
      </c>
      <c r="U531">
        <f t="shared" si="42"/>
        <v>3</v>
      </c>
      <c r="V531">
        <f t="shared" si="43"/>
        <v>6</v>
      </c>
      <c r="W531" s="9">
        <f t="shared" si="44"/>
        <v>5.9618338071430903E-2</v>
      </c>
    </row>
    <row r="532" spans="1:23">
      <c r="A532">
        <v>10531</v>
      </c>
      <c r="B532" s="5">
        <v>44727</v>
      </c>
      <c r="C532" s="5">
        <v>44729</v>
      </c>
      <c r="D532" s="5">
        <v>44730</v>
      </c>
      <c r="E532" t="s">
        <v>20</v>
      </c>
      <c r="F532" t="s">
        <v>22</v>
      </c>
      <c r="G532" t="s">
        <v>27</v>
      </c>
      <c r="H532" t="s">
        <v>33</v>
      </c>
      <c r="I532" t="s">
        <v>34</v>
      </c>
      <c r="J532" t="s">
        <v>38</v>
      </c>
      <c r="K532" t="s">
        <v>48</v>
      </c>
      <c r="L532" t="s">
        <v>52</v>
      </c>
      <c r="M532" s="7">
        <v>54717</v>
      </c>
      <c r="N532">
        <v>0.19</v>
      </c>
      <c r="O532" s="7">
        <v>4</v>
      </c>
      <c r="P532">
        <v>21</v>
      </c>
      <c r="Q532" t="s">
        <v>54</v>
      </c>
      <c r="R532" t="s">
        <v>60</v>
      </c>
      <c r="S532">
        <f t="shared" si="40"/>
        <v>2022</v>
      </c>
      <c r="T532" t="str">
        <f t="shared" si="41"/>
        <v>Jun</v>
      </c>
      <c r="U532">
        <f t="shared" si="42"/>
        <v>2</v>
      </c>
      <c r="V532">
        <f t="shared" si="43"/>
        <v>3</v>
      </c>
      <c r="W532" s="9">
        <f t="shared" si="44"/>
        <v>7.3103423067785145E-5</v>
      </c>
    </row>
    <row r="533" spans="1:23">
      <c r="A533">
        <v>10532</v>
      </c>
      <c r="B533" s="5">
        <v>44728</v>
      </c>
      <c r="C533" s="5">
        <v>44730</v>
      </c>
      <c r="D533" s="5">
        <v>44734</v>
      </c>
      <c r="E533" t="s">
        <v>21</v>
      </c>
      <c r="F533" t="s">
        <v>22</v>
      </c>
      <c r="G533" t="s">
        <v>24</v>
      </c>
      <c r="H533" t="s">
        <v>29</v>
      </c>
      <c r="I533" t="s">
        <v>35</v>
      </c>
      <c r="J533" t="s">
        <v>42</v>
      </c>
      <c r="K533" t="s">
        <v>45</v>
      </c>
      <c r="L533" t="s">
        <v>53</v>
      </c>
      <c r="M533" s="7">
        <v>8248</v>
      </c>
      <c r="N533">
        <v>0.31</v>
      </c>
      <c r="O533" s="7">
        <v>8186</v>
      </c>
      <c r="P533">
        <v>12</v>
      </c>
      <c r="Q533" t="s">
        <v>57</v>
      </c>
      <c r="R533" t="s">
        <v>60</v>
      </c>
      <c r="S533">
        <f t="shared" si="40"/>
        <v>2022</v>
      </c>
      <c r="T533" t="str">
        <f t="shared" si="41"/>
        <v>Jun</v>
      </c>
      <c r="U533">
        <f t="shared" si="42"/>
        <v>2</v>
      </c>
      <c r="V533">
        <f t="shared" si="43"/>
        <v>6</v>
      </c>
      <c r="W533" s="9">
        <f t="shared" si="44"/>
        <v>0.99248302618816686</v>
      </c>
    </row>
    <row r="534" spans="1:23">
      <c r="A534">
        <v>10533</v>
      </c>
      <c r="B534" s="5">
        <v>44729</v>
      </c>
      <c r="C534" s="5">
        <v>44735</v>
      </c>
      <c r="D534" s="5">
        <v>44740</v>
      </c>
      <c r="E534" t="s">
        <v>20</v>
      </c>
      <c r="F534" t="s">
        <v>22</v>
      </c>
      <c r="G534" t="s">
        <v>25</v>
      </c>
      <c r="H534" t="s">
        <v>30</v>
      </c>
      <c r="I534" t="s">
        <v>34</v>
      </c>
      <c r="J534" t="s">
        <v>43</v>
      </c>
      <c r="K534" t="s">
        <v>48</v>
      </c>
      <c r="L534" t="s">
        <v>53</v>
      </c>
      <c r="M534" s="7">
        <v>18396</v>
      </c>
      <c r="N534">
        <v>0.32</v>
      </c>
      <c r="O534" s="7">
        <v>14494</v>
      </c>
      <c r="P534">
        <v>16</v>
      </c>
      <c r="Q534" t="s">
        <v>58</v>
      </c>
      <c r="R534" t="s">
        <v>60</v>
      </c>
      <c r="S534">
        <f t="shared" si="40"/>
        <v>2022</v>
      </c>
      <c r="T534" t="str">
        <f t="shared" si="41"/>
        <v>Jun</v>
      </c>
      <c r="U534">
        <f t="shared" si="42"/>
        <v>6</v>
      </c>
      <c r="V534">
        <f t="shared" si="43"/>
        <v>11</v>
      </c>
      <c r="W534" s="9">
        <f t="shared" si="44"/>
        <v>0.78788867145031527</v>
      </c>
    </row>
    <row r="535" spans="1:23">
      <c r="A535">
        <v>10534</v>
      </c>
      <c r="B535" s="5">
        <v>44730</v>
      </c>
      <c r="C535" s="5">
        <v>44735</v>
      </c>
      <c r="D535" s="5">
        <v>44739</v>
      </c>
      <c r="E535" t="s">
        <v>20</v>
      </c>
      <c r="F535" t="s">
        <v>22</v>
      </c>
      <c r="G535" t="s">
        <v>23</v>
      </c>
      <c r="H535" t="s">
        <v>33</v>
      </c>
      <c r="I535" t="s">
        <v>36</v>
      </c>
      <c r="J535" t="s">
        <v>43</v>
      </c>
      <c r="K535" t="s">
        <v>48</v>
      </c>
      <c r="L535" t="s">
        <v>52</v>
      </c>
      <c r="M535" s="7">
        <v>6201</v>
      </c>
      <c r="N535">
        <v>0.02</v>
      </c>
      <c r="O535" s="7">
        <v>10358</v>
      </c>
      <c r="P535">
        <v>4</v>
      </c>
      <c r="Q535" t="s">
        <v>56</v>
      </c>
      <c r="R535" t="s">
        <v>61</v>
      </c>
      <c r="S535">
        <f t="shared" si="40"/>
        <v>2022</v>
      </c>
      <c r="T535" t="str">
        <f t="shared" si="41"/>
        <v>Jun</v>
      </c>
      <c r="U535">
        <f t="shared" si="42"/>
        <v>5</v>
      </c>
      <c r="V535">
        <f t="shared" si="43"/>
        <v>9</v>
      </c>
      <c r="W535" s="9">
        <f t="shared" si="44"/>
        <v>1.670375745847444</v>
      </c>
    </row>
    <row r="536" spans="1:23">
      <c r="A536">
        <v>10535</v>
      </c>
      <c r="B536" s="5">
        <v>44731</v>
      </c>
      <c r="C536" s="5">
        <v>44734</v>
      </c>
      <c r="D536" s="5">
        <v>44736</v>
      </c>
      <c r="E536" t="s">
        <v>20</v>
      </c>
      <c r="F536" t="s">
        <v>22</v>
      </c>
      <c r="G536" t="s">
        <v>27</v>
      </c>
      <c r="H536" t="s">
        <v>29</v>
      </c>
      <c r="I536" t="s">
        <v>34</v>
      </c>
      <c r="J536" t="s">
        <v>41</v>
      </c>
      <c r="K536" t="s">
        <v>46</v>
      </c>
      <c r="L536" t="s">
        <v>51</v>
      </c>
      <c r="M536" s="7">
        <v>21560</v>
      </c>
      <c r="N536">
        <v>0.31</v>
      </c>
      <c r="O536" s="7">
        <v>8513</v>
      </c>
      <c r="P536">
        <v>11</v>
      </c>
      <c r="Q536" t="s">
        <v>54</v>
      </c>
      <c r="R536" t="s">
        <v>61</v>
      </c>
      <c r="S536">
        <f t="shared" si="40"/>
        <v>2022</v>
      </c>
      <c r="T536" t="str">
        <f t="shared" si="41"/>
        <v>Jun</v>
      </c>
      <c r="U536">
        <f t="shared" si="42"/>
        <v>3</v>
      </c>
      <c r="V536">
        <f t="shared" si="43"/>
        <v>5</v>
      </c>
      <c r="W536" s="9">
        <f t="shared" si="44"/>
        <v>0.39485157699443413</v>
      </c>
    </row>
    <row r="537" spans="1:23">
      <c r="A537">
        <v>10536</v>
      </c>
      <c r="B537" s="5">
        <v>44732</v>
      </c>
      <c r="C537" s="5">
        <v>44738</v>
      </c>
      <c r="D537" s="5">
        <v>44739</v>
      </c>
      <c r="E537" t="s">
        <v>19</v>
      </c>
      <c r="F537" t="s">
        <v>22</v>
      </c>
      <c r="G537" t="s">
        <v>25</v>
      </c>
      <c r="H537" t="s">
        <v>33</v>
      </c>
      <c r="I537" t="s">
        <v>36</v>
      </c>
      <c r="J537" t="s">
        <v>42</v>
      </c>
      <c r="K537" t="s">
        <v>45</v>
      </c>
      <c r="L537" t="s">
        <v>52</v>
      </c>
      <c r="M537" s="7">
        <v>4362</v>
      </c>
      <c r="N537">
        <v>0.26</v>
      </c>
      <c r="O537" s="7">
        <v>7691</v>
      </c>
      <c r="P537">
        <v>6</v>
      </c>
      <c r="Q537" t="s">
        <v>58</v>
      </c>
      <c r="R537" t="s">
        <v>62</v>
      </c>
      <c r="S537">
        <f t="shared" si="40"/>
        <v>2022</v>
      </c>
      <c r="T537" t="str">
        <f t="shared" si="41"/>
        <v>Jun</v>
      </c>
      <c r="U537">
        <f t="shared" si="42"/>
        <v>6</v>
      </c>
      <c r="V537">
        <f t="shared" si="43"/>
        <v>7</v>
      </c>
      <c r="W537" s="9">
        <f t="shared" si="44"/>
        <v>1.7631820265933058</v>
      </c>
    </row>
    <row r="538" spans="1:23">
      <c r="A538">
        <v>10537</v>
      </c>
      <c r="B538" s="5">
        <v>44733</v>
      </c>
      <c r="C538" s="5">
        <v>44735</v>
      </c>
      <c r="D538" s="5">
        <v>44738</v>
      </c>
      <c r="E538" t="s">
        <v>19</v>
      </c>
      <c r="F538" t="s">
        <v>22</v>
      </c>
      <c r="G538" t="s">
        <v>23</v>
      </c>
      <c r="H538" t="s">
        <v>30</v>
      </c>
      <c r="I538" t="s">
        <v>34</v>
      </c>
      <c r="J538" t="s">
        <v>37</v>
      </c>
      <c r="K538" t="s">
        <v>50</v>
      </c>
      <c r="L538" t="s">
        <v>51</v>
      </c>
      <c r="M538" s="7">
        <v>46965</v>
      </c>
      <c r="N538">
        <v>0.23</v>
      </c>
      <c r="O538" s="7">
        <v>14027</v>
      </c>
      <c r="P538">
        <v>6</v>
      </c>
      <c r="Q538" t="s">
        <v>57</v>
      </c>
      <c r="R538" t="s">
        <v>61</v>
      </c>
      <c r="S538">
        <f t="shared" si="40"/>
        <v>2022</v>
      </c>
      <c r="T538" t="str">
        <f t="shared" si="41"/>
        <v>Jun</v>
      </c>
      <c r="U538">
        <f t="shared" si="42"/>
        <v>2</v>
      </c>
      <c r="V538">
        <f t="shared" si="43"/>
        <v>5</v>
      </c>
      <c r="W538" s="9">
        <f t="shared" si="44"/>
        <v>0.29866922176088578</v>
      </c>
    </row>
    <row r="539" spans="1:23">
      <c r="A539">
        <v>10538</v>
      </c>
      <c r="B539" s="5">
        <v>44734</v>
      </c>
      <c r="C539" s="5">
        <v>44736</v>
      </c>
      <c r="D539" s="5">
        <v>44740</v>
      </c>
      <c r="E539" t="s">
        <v>19</v>
      </c>
      <c r="F539" t="s">
        <v>22</v>
      </c>
      <c r="G539" t="s">
        <v>26</v>
      </c>
      <c r="H539" t="s">
        <v>29</v>
      </c>
      <c r="I539" t="s">
        <v>35</v>
      </c>
      <c r="J539" t="s">
        <v>41</v>
      </c>
      <c r="K539" t="s">
        <v>49</v>
      </c>
      <c r="L539" t="s">
        <v>52</v>
      </c>
      <c r="M539" s="7">
        <v>21779</v>
      </c>
      <c r="N539">
        <v>0.39</v>
      </c>
      <c r="O539" s="7">
        <v>16096</v>
      </c>
      <c r="P539">
        <v>2</v>
      </c>
      <c r="Q539" t="s">
        <v>55</v>
      </c>
      <c r="R539" t="s">
        <v>59</v>
      </c>
      <c r="S539">
        <f t="shared" si="40"/>
        <v>2022</v>
      </c>
      <c r="T539" t="str">
        <f t="shared" si="41"/>
        <v>Jun</v>
      </c>
      <c r="U539">
        <f t="shared" si="42"/>
        <v>2</v>
      </c>
      <c r="V539">
        <f t="shared" si="43"/>
        <v>6</v>
      </c>
      <c r="W539" s="9">
        <f t="shared" si="44"/>
        <v>0.73906056292759081</v>
      </c>
    </row>
    <row r="540" spans="1:23">
      <c r="A540">
        <v>10539</v>
      </c>
      <c r="B540" s="5">
        <v>44735</v>
      </c>
      <c r="C540" s="5">
        <v>44740</v>
      </c>
      <c r="D540" s="5">
        <v>44744</v>
      </c>
      <c r="E540" t="s">
        <v>21</v>
      </c>
      <c r="F540" t="s">
        <v>22</v>
      </c>
      <c r="G540" t="s">
        <v>24</v>
      </c>
      <c r="H540" t="s">
        <v>29</v>
      </c>
      <c r="I540" t="s">
        <v>34</v>
      </c>
      <c r="J540" t="s">
        <v>37</v>
      </c>
      <c r="K540" t="s">
        <v>50</v>
      </c>
      <c r="L540" t="s">
        <v>51</v>
      </c>
      <c r="M540" s="7">
        <v>25728</v>
      </c>
      <c r="N540">
        <v>0.17</v>
      </c>
      <c r="O540" s="7">
        <v>2706</v>
      </c>
      <c r="P540">
        <v>20</v>
      </c>
      <c r="Q540" t="s">
        <v>56</v>
      </c>
      <c r="R540" t="s">
        <v>60</v>
      </c>
      <c r="S540">
        <f t="shared" si="40"/>
        <v>2022</v>
      </c>
      <c r="T540" t="str">
        <f t="shared" si="41"/>
        <v>Jun</v>
      </c>
      <c r="U540">
        <f t="shared" si="42"/>
        <v>5</v>
      </c>
      <c r="V540">
        <f t="shared" si="43"/>
        <v>9</v>
      </c>
      <c r="W540" s="9">
        <f t="shared" si="44"/>
        <v>0.10517723880597014</v>
      </c>
    </row>
    <row r="541" spans="1:23">
      <c r="A541">
        <v>10540</v>
      </c>
      <c r="B541" s="5">
        <v>44736</v>
      </c>
      <c r="C541" s="5">
        <v>44743</v>
      </c>
      <c r="D541" s="5">
        <v>44745</v>
      </c>
      <c r="E541" t="s">
        <v>19</v>
      </c>
      <c r="F541" t="s">
        <v>22</v>
      </c>
      <c r="G541" t="s">
        <v>25</v>
      </c>
      <c r="H541" t="s">
        <v>32</v>
      </c>
      <c r="I541" t="s">
        <v>35</v>
      </c>
      <c r="J541" t="s">
        <v>41</v>
      </c>
      <c r="K541" t="s">
        <v>44</v>
      </c>
      <c r="L541" t="s">
        <v>52</v>
      </c>
      <c r="M541" s="7">
        <v>51420</v>
      </c>
      <c r="N541">
        <v>0.01</v>
      </c>
      <c r="O541" s="7">
        <v>19392</v>
      </c>
      <c r="P541">
        <v>1</v>
      </c>
      <c r="Q541" t="s">
        <v>58</v>
      </c>
      <c r="R541" t="s">
        <v>61</v>
      </c>
      <c r="S541">
        <f t="shared" si="40"/>
        <v>2022</v>
      </c>
      <c r="T541" t="str">
        <f t="shared" si="41"/>
        <v>Jun</v>
      </c>
      <c r="U541">
        <f t="shared" si="42"/>
        <v>7</v>
      </c>
      <c r="V541">
        <f t="shared" si="43"/>
        <v>9</v>
      </c>
      <c r="W541" s="9">
        <f t="shared" si="44"/>
        <v>0.37712952158693114</v>
      </c>
    </row>
    <row r="542" spans="1:23">
      <c r="A542">
        <v>10541</v>
      </c>
      <c r="B542" s="5">
        <v>44737</v>
      </c>
      <c r="C542" s="5">
        <v>44743</v>
      </c>
      <c r="D542" s="5">
        <v>44744</v>
      </c>
      <c r="E542" t="s">
        <v>21</v>
      </c>
      <c r="F542" t="s">
        <v>22</v>
      </c>
      <c r="G542" t="s">
        <v>23</v>
      </c>
      <c r="H542" t="s">
        <v>33</v>
      </c>
      <c r="I542" t="s">
        <v>35</v>
      </c>
      <c r="J542" t="s">
        <v>37</v>
      </c>
      <c r="K542" t="s">
        <v>47</v>
      </c>
      <c r="L542" t="s">
        <v>52</v>
      </c>
      <c r="M542" s="7">
        <v>12478</v>
      </c>
      <c r="N542">
        <v>0.14000000000000001</v>
      </c>
      <c r="O542" s="7">
        <v>12136</v>
      </c>
      <c r="P542">
        <v>22</v>
      </c>
      <c r="Q542" t="s">
        <v>57</v>
      </c>
      <c r="R542" t="s">
        <v>60</v>
      </c>
      <c r="S542">
        <f t="shared" si="40"/>
        <v>2022</v>
      </c>
      <c r="T542" t="str">
        <f t="shared" si="41"/>
        <v>Jun</v>
      </c>
      <c r="U542">
        <f t="shared" si="42"/>
        <v>6</v>
      </c>
      <c r="V542">
        <f t="shared" si="43"/>
        <v>7</v>
      </c>
      <c r="W542" s="9">
        <f t="shared" si="44"/>
        <v>0.9725917615002404</v>
      </c>
    </row>
    <row r="543" spans="1:23">
      <c r="A543">
        <v>10542</v>
      </c>
      <c r="B543" s="5">
        <v>44738</v>
      </c>
      <c r="C543" s="5">
        <v>44741</v>
      </c>
      <c r="D543" s="5">
        <v>44745</v>
      </c>
      <c r="E543" t="s">
        <v>20</v>
      </c>
      <c r="F543" t="s">
        <v>22</v>
      </c>
      <c r="G543" t="s">
        <v>28</v>
      </c>
      <c r="H543" t="s">
        <v>29</v>
      </c>
      <c r="I543" t="s">
        <v>36</v>
      </c>
      <c r="J543" t="s">
        <v>42</v>
      </c>
      <c r="K543" t="s">
        <v>50</v>
      </c>
      <c r="L543" t="s">
        <v>53</v>
      </c>
      <c r="M543" s="7">
        <v>41870</v>
      </c>
      <c r="N543">
        <v>0.32</v>
      </c>
      <c r="O543" s="7">
        <v>14036</v>
      </c>
      <c r="P543">
        <v>21</v>
      </c>
      <c r="Q543" t="s">
        <v>56</v>
      </c>
      <c r="R543" t="s">
        <v>59</v>
      </c>
      <c r="S543">
        <f t="shared" si="40"/>
        <v>2022</v>
      </c>
      <c r="T543" t="str">
        <f t="shared" si="41"/>
        <v>Jun</v>
      </c>
      <c r="U543">
        <f t="shared" si="42"/>
        <v>3</v>
      </c>
      <c r="V543">
        <f t="shared" si="43"/>
        <v>7</v>
      </c>
      <c r="W543" s="9">
        <f t="shared" si="44"/>
        <v>0.33522808693575351</v>
      </c>
    </row>
    <row r="544" spans="1:23">
      <c r="A544">
        <v>10543</v>
      </c>
      <c r="B544" s="5">
        <v>44739</v>
      </c>
      <c r="C544" s="5">
        <v>44744</v>
      </c>
      <c r="D544" s="5">
        <v>44747</v>
      </c>
      <c r="E544" t="s">
        <v>18</v>
      </c>
      <c r="F544" t="s">
        <v>22</v>
      </c>
      <c r="G544" t="s">
        <v>27</v>
      </c>
      <c r="H544" t="s">
        <v>32</v>
      </c>
      <c r="I544" t="s">
        <v>34</v>
      </c>
      <c r="J544" t="s">
        <v>42</v>
      </c>
      <c r="K544" t="s">
        <v>50</v>
      </c>
      <c r="L544" t="s">
        <v>52</v>
      </c>
      <c r="M544" s="7">
        <v>63044</v>
      </c>
      <c r="N544">
        <v>0.24</v>
      </c>
      <c r="O544" s="7">
        <v>12815</v>
      </c>
      <c r="P544">
        <v>18</v>
      </c>
      <c r="Q544" t="s">
        <v>56</v>
      </c>
      <c r="R544" t="s">
        <v>61</v>
      </c>
      <c r="S544">
        <f t="shared" si="40"/>
        <v>2022</v>
      </c>
      <c r="T544" t="str">
        <f t="shared" si="41"/>
        <v>Jun</v>
      </c>
      <c r="U544">
        <f t="shared" si="42"/>
        <v>5</v>
      </c>
      <c r="V544">
        <f t="shared" si="43"/>
        <v>8</v>
      </c>
      <c r="W544" s="9">
        <f t="shared" si="44"/>
        <v>0.20327073155256647</v>
      </c>
    </row>
    <row r="545" spans="1:23">
      <c r="A545">
        <v>10544</v>
      </c>
      <c r="B545" s="5">
        <v>44740</v>
      </c>
      <c r="C545" s="5">
        <v>44744</v>
      </c>
      <c r="D545" s="5">
        <v>44747</v>
      </c>
      <c r="E545" t="s">
        <v>18</v>
      </c>
      <c r="F545" t="s">
        <v>22</v>
      </c>
      <c r="G545" t="s">
        <v>28</v>
      </c>
      <c r="H545" t="s">
        <v>25</v>
      </c>
      <c r="I545" t="s">
        <v>36</v>
      </c>
      <c r="J545" t="s">
        <v>40</v>
      </c>
      <c r="K545" t="s">
        <v>50</v>
      </c>
      <c r="L545" t="s">
        <v>52</v>
      </c>
      <c r="M545" s="7">
        <v>18482</v>
      </c>
      <c r="N545">
        <v>0.12</v>
      </c>
      <c r="O545" s="7">
        <v>6280</v>
      </c>
      <c r="P545">
        <v>8</v>
      </c>
      <c r="Q545" t="s">
        <v>55</v>
      </c>
      <c r="R545" t="s">
        <v>60</v>
      </c>
      <c r="S545">
        <f t="shared" si="40"/>
        <v>2022</v>
      </c>
      <c r="T545" t="str">
        <f t="shared" si="41"/>
        <v>Jun</v>
      </c>
      <c r="U545">
        <f t="shared" si="42"/>
        <v>4</v>
      </c>
      <c r="V545">
        <f t="shared" si="43"/>
        <v>7</v>
      </c>
      <c r="W545" s="9">
        <f t="shared" si="44"/>
        <v>0.33979006601017203</v>
      </c>
    </row>
    <row r="546" spans="1:23">
      <c r="A546">
        <v>10545</v>
      </c>
      <c r="B546" s="5">
        <v>44741</v>
      </c>
      <c r="C546" s="5">
        <v>44747</v>
      </c>
      <c r="D546" s="5">
        <v>44751</v>
      </c>
      <c r="E546" t="s">
        <v>18</v>
      </c>
      <c r="F546" t="s">
        <v>22</v>
      </c>
      <c r="G546" t="s">
        <v>24</v>
      </c>
      <c r="H546" t="s">
        <v>32</v>
      </c>
      <c r="I546" t="s">
        <v>36</v>
      </c>
      <c r="J546" t="s">
        <v>40</v>
      </c>
      <c r="K546" t="s">
        <v>47</v>
      </c>
      <c r="L546" t="s">
        <v>51</v>
      </c>
      <c r="M546" s="7">
        <v>51910</v>
      </c>
      <c r="N546">
        <v>0.09</v>
      </c>
      <c r="O546" s="7">
        <v>4946</v>
      </c>
      <c r="P546">
        <v>5</v>
      </c>
      <c r="Q546" t="s">
        <v>56</v>
      </c>
      <c r="R546" t="s">
        <v>61</v>
      </c>
      <c r="S546">
        <f t="shared" si="40"/>
        <v>2022</v>
      </c>
      <c r="T546" t="str">
        <f t="shared" si="41"/>
        <v>Jun</v>
      </c>
      <c r="U546">
        <f t="shared" si="42"/>
        <v>6</v>
      </c>
      <c r="V546">
        <f t="shared" si="43"/>
        <v>10</v>
      </c>
      <c r="W546" s="9">
        <f t="shared" si="44"/>
        <v>9.5280292814486606E-2</v>
      </c>
    </row>
    <row r="547" spans="1:23">
      <c r="A547">
        <v>10546</v>
      </c>
      <c r="B547" s="5">
        <v>44742</v>
      </c>
      <c r="C547" s="5">
        <v>44748</v>
      </c>
      <c r="D547" s="5">
        <v>44751</v>
      </c>
      <c r="E547" t="s">
        <v>20</v>
      </c>
      <c r="F547" t="s">
        <v>22</v>
      </c>
      <c r="G547" t="s">
        <v>26</v>
      </c>
      <c r="H547" t="s">
        <v>30</v>
      </c>
      <c r="I547" t="s">
        <v>34</v>
      </c>
      <c r="J547" t="s">
        <v>39</v>
      </c>
      <c r="K547" t="s">
        <v>46</v>
      </c>
      <c r="L547" t="s">
        <v>53</v>
      </c>
      <c r="M547" s="7">
        <v>54738</v>
      </c>
      <c r="N547">
        <v>0.04</v>
      </c>
      <c r="O547" s="7">
        <v>14457</v>
      </c>
      <c r="P547">
        <v>7</v>
      </c>
      <c r="Q547" t="s">
        <v>56</v>
      </c>
      <c r="R547" t="s">
        <v>62</v>
      </c>
      <c r="S547">
        <f t="shared" si="40"/>
        <v>2022</v>
      </c>
      <c r="T547" t="str">
        <f t="shared" si="41"/>
        <v>Jun</v>
      </c>
      <c r="U547">
        <f t="shared" si="42"/>
        <v>6</v>
      </c>
      <c r="V547">
        <f t="shared" si="43"/>
        <v>9</v>
      </c>
      <c r="W547" s="9">
        <f t="shared" si="44"/>
        <v>0.26411268223172202</v>
      </c>
    </row>
    <row r="548" spans="1:23">
      <c r="A548">
        <v>10547</v>
      </c>
      <c r="B548" s="5">
        <v>44743</v>
      </c>
      <c r="C548" s="5">
        <v>44750</v>
      </c>
      <c r="D548" s="5">
        <v>44751</v>
      </c>
      <c r="E548" t="s">
        <v>21</v>
      </c>
      <c r="F548" t="s">
        <v>22</v>
      </c>
      <c r="G548" t="s">
        <v>23</v>
      </c>
      <c r="H548" t="s">
        <v>25</v>
      </c>
      <c r="I548" t="s">
        <v>36</v>
      </c>
      <c r="J548" t="s">
        <v>37</v>
      </c>
      <c r="K548" t="s">
        <v>50</v>
      </c>
      <c r="L548" t="s">
        <v>53</v>
      </c>
      <c r="M548" s="7">
        <v>72396</v>
      </c>
      <c r="N548">
        <v>0.39</v>
      </c>
      <c r="O548" s="7">
        <v>3510</v>
      </c>
      <c r="P548">
        <v>12</v>
      </c>
      <c r="Q548" t="s">
        <v>57</v>
      </c>
      <c r="R548" t="s">
        <v>62</v>
      </c>
      <c r="S548">
        <f t="shared" si="40"/>
        <v>2022</v>
      </c>
      <c r="T548" t="str">
        <f t="shared" si="41"/>
        <v>Jul</v>
      </c>
      <c r="U548">
        <f t="shared" si="42"/>
        <v>7</v>
      </c>
      <c r="V548">
        <f t="shared" si="43"/>
        <v>8</v>
      </c>
      <c r="W548" s="9">
        <f t="shared" si="44"/>
        <v>4.8483341621084038E-2</v>
      </c>
    </row>
    <row r="549" spans="1:23">
      <c r="A549">
        <v>10548</v>
      </c>
      <c r="B549" s="5">
        <v>44744</v>
      </c>
      <c r="C549" s="5">
        <v>44751</v>
      </c>
      <c r="D549" s="5">
        <v>44756</v>
      </c>
      <c r="E549" t="s">
        <v>21</v>
      </c>
      <c r="F549" t="s">
        <v>22</v>
      </c>
      <c r="G549" t="s">
        <v>26</v>
      </c>
      <c r="H549" t="s">
        <v>30</v>
      </c>
      <c r="I549" t="s">
        <v>34</v>
      </c>
      <c r="J549" t="s">
        <v>43</v>
      </c>
      <c r="K549" t="s">
        <v>44</v>
      </c>
      <c r="L549" t="s">
        <v>53</v>
      </c>
      <c r="M549" s="7">
        <v>8564</v>
      </c>
      <c r="N549">
        <v>0.4</v>
      </c>
      <c r="O549" s="7">
        <v>5485</v>
      </c>
      <c r="P549">
        <v>2</v>
      </c>
      <c r="Q549" t="s">
        <v>54</v>
      </c>
      <c r="R549" t="s">
        <v>61</v>
      </c>
      <c r="S549">
        <f t="shared" si="40"/>
        <v>2022</v>
      </c>
      <c r="T549" t="str">
        <f t="shared" si="41"/>
        <v>Jul</v>
      </c>
      <c r="U549">
        <f t="shared" si="42"/>
        <v>7</v>
      </c>
      <c r="V549">
        <f t="shared" si="43"/>
        <v>12</v>
      </c>
      <c r="W549" s="9">
        <f t="shared" si="44"/>
        <v>0.640471742176553</v>
      </c>
    </row>
    <row r="550" spans="1:23">
      <c r="A550">
        <v>10549</v>
      </c>
      <c r="B550" s="5">
        <v>44745</v>
      </c>
      <c r="C550" s="5">
        <v>44748</v>
      </c>
      <c r="D550" s="5">
        <v>44750</v>
      </c>
      <c r="E550" t="s">
        <v>21</v>
      </c>
      <c r="F550" t="s">
        <v>22</v>
      </c>
      <c r="G550" t="s">
        <v>28</v>
      </c>
      <c r="H550" t="s">
        <v>25</v>
      </c>
      <c r="I550" t="s">
        <v>34</v>
      </c>
      <c r="J550" t="s">
        <v>40</v>
      </c>
      <c r="K550" t="s">
        <v>45</v>
      </c>
      <c r="L550" t="s">
        <v>53</v>
      </c>
      <c r="M550" s="7">
        <v>57046</v>
      </c>
      <c r="N550">
        <v>0.12</v>
      </c>
      <c r="O550" s="7">
        <v>14998</v>
      </c>
      <c r="P550">
        <v>15</v>
      </c>
      <c r="Q550" t="s">
        <v>56</v>
      </c>
      <c r="R550" t="s">
        <v>60</v>
      </c>
      <c r="S550">
        <f t="shared" si="40"/>
        <v>2022</v>
      </c>
      <c r="T550" t="str">
        <f t="shared" si="41"/>
        <v>Jul</v>
      </c>
      <c r="U550">
        <f t="shared" si="42"/>
        <v>3</v>
      </c>
      <c r="V550">
        <f t="shared" si="43"/>
        <v>5</v>
      </c>
      <c r="W550" s="9">
        <f t="shared" si="44"/>
        <v>0.26291063352382288</v>
      </c>
    </row>
    <row r="551" spans="1:23">
      <c r="A551">
        <v>10550</v>
      </c>
      <c r="B551" s="5">
        <v>44746</v>
      </c>
      <c r="C551" s="5">
        <v>44753</v>
      </c>
      <c r="D551" s="5">
        <v>44758</v>
      </c>
      <c r="E551" t="s">
        <v>21</v>
      </c>
      <c r="F551" t="s">
        <v>22</v>
      </c>
      <c r="G551" t="s">
        <v>28</v>
      </c>
      <c r="H551" t="s">
        <v>25</v>
      </c>
      <c r="I551" t="s">
        <v>34</v>
      </c>
      <c r="J551" t="s">
        <v>38</v>
      </c>
      <c r="K551" t="s">
        <v>45</v>
      </c>
      <c r="L551" t="s">
        <v>51</v>
      </c>
      <c r="M551" s="7">
        <v>35206</v>
      </c>
      <c r="N551">
        <v>0.04</v>
      </c>
      <c r="O551" s="7">
        <v>6910</v>
      </c>
      <c r="P551">
        <v>7</v>
      </c>
      <c r="Q551" t="s">
        <v>57</v>
      </c>
      <c r="R551" t="s">
        <v>59</v>
      </c>
      <c r="S551">
        <f t="shared" si="40"/>
        <v>2022</v>
      </c>
      <c r="T551" t="str">
        <f t="shared" si="41"/>
        <v>Jul</v>
      </c>
      <c r="U551">
        <f t="shared" si="42"/>
        <v>7</v>
      </c>
      <c r="V551">
        <f t="shared" si="43"/>
        <v>12</v>
      </c>
      <c r="W551" s="9">
        <f t="shared" si="44"/>
        <v>0.19627336249502925</v>
      </c>
    </row>
    <row r="552" spans="1:23">
      <c r="A552">
        <v>10551</v>
      </c>
      <c r="B552" s="5">
        <v>44747</v>
      </c>
      <c r="C552" s="5">
        <v>44753</v>
      </c>
      <c r="D552" s="5">
        <v>44756</v>
      </c>
      <c r="E552" t="s">
        <v>19</v>
      </c>
      <c r="F552" t="s">
        <v>22</v>
      </c>
      <c r="G552" t="s">
        <v>28</v>
      </c>
      <c r="H552" t="s">
        <v>30</v>
      </c>
      <c r="I552" t="s">
        <v>36</v>
      </c>
      <c r="J552" t="s">
        <v>37</v>
      </c>
      <c r="K552" t="s">
        <v>44</v>
      </c>
      <c r="L552" t="s">
        <v>53</v>
      </c>
      <c r="M552" s="7">
        <v>37646</v>
      </c>
      <c r="N552">
        <v>0.33</v>
      </c>
      <c r="O552" s="7">
        <v>7903</v>
      </c>
      <c r="P552">
        <v>20</v>
      </c>
      <c r="Q552" t="s">
        <v>54</v>
      </c>
      <c r="R552" t="s">
        <v>60</v>
      </c>
      <c r="S552">
        <f t="shared" si="40"/>
        <v>2022</v>
      </c>
      <c r="T552" t="str">
        <f t="shared" si="41"/>
        <v>Jul</v>
      </c>
      <c r="U552">
        <f t="shared" si="42"/>
        <v>6</v>
      </c>
      <c r="V552">
        <f t="shared" si="43"/>
        <v>9</v>
      </c>
      <c r="W552" s="9">
        <f t="shared" si="44"/>
        <v>0.20992934176273709</v>
      </c>
    </row>
    <row r="553" spans="1:23">
      <c r="A553">
        <v>10552</v>
      </c>
      <c r="B553" s="5">
        <v>44748</v>
      </c>
      <c r="C553" s="5">
        <v>44755</v>
      </c>
      <c r="D553" s="5">
        <v>44758</v>
      </c>
      <c r="E553" t="s">
        <v>18</v>
      </c>
      <c r="F553" t="s">
        <v>22</v>
      </c>
      <c r="G553" t="s">
        <v>25</v>
      </c>
      <c r="H553" t="s">
        <v>25</v>
      </c>
      <c r="I553" t="s">
        <v>36</v>
      </c>
      <c r="J553" t="s">
        <v>38</v>
      </c>
      <c r="K553" t="s">
        <v>44</v>
      </c>
      <c r="L553" t="s">
        <v>53</v>
      </c>
      <c r="M553" s="7">
        <v>51784</v>
      </c>
      <c r="N553">
        <v>0.11</v>
      </c>
      <c r="O553" s="7">
        <v>16892</v>
      </c>
      <c r="P553">
        <v>12</v>
      </c>
      <c r="Q553" t="s">
        <v>57</v>
      </c>
      <c r="R553" t="s">
        <v>61</v>
      </c>
      <c r="S553">
        <f t="shared" si="40"/>
        <v>2022</v>
      </c>
      <c r="T553" t="str">
        <f t="shared" si="41"/>
        <v>Jul</v>
      </c>
      <c r="U553">
        <f t="shared" si="42"/>
        <v>7</v>
      </c>
      <c r="V553">
        <f t="shared" si="43"/>
        <v>10</v>
      </c>
      <c r="W553" s="9">
        <f t="shared" si="44"/>
        <v>0.326201143210258</v>
      </c>
    </row>
    <row r="554" spans="1:23">
      <c r="A554">
        <v>10553</v>
      </c>
      <c r="B554" s="5">
        <v>44749</v>
      </c>
      <c r="C554" s="5">
        <v>44753</v>
      </c>
      <c r="D554" s="5">
        <v>44755</v>
      </c>
      <c r="E554" t="s">
        <v>21</v>
      </c>
      <c r="F554" t="s">
        <v>22</v>
      </c>
      <c r="G554" t="s">
        <v>28</v>
      </c>
      <c r="H554" t="s">
        <v>25</v>
      </c>
      <c r="I554" t="s">
        <v>34</v>
      </c>
      <c r="J554" t="s">
        <v>38</v>
      </c>
      <c r="K554" t="s">
        <v>44</v>
      </c>
      <c r="L554" t="s">
        <v>53</v>
      </c>
      <c r="M554" s="7">
        <v>20016</v>
      </c>
      <c r="N554">
        <v>0.25</v>
      </c>
      <c r="O554" s="7">
        <v>-177</v>
      </c>
      <c r="P554">
        <v>12</v>
      </c>
      <c r="Q554" t="s">
        <v>54</v>
      </c>
      <c r="R554" t="s">
        <v>60</v>
      </c>
      <c r="S554">
        <f t="shared" si="40"/>
        <v>2022</v>
      </c>
      <c r="T554" t="str">
        <f t="shared" si="41"/>
        <v>Jul</v>
      </c>
      <c r="U554">
        <f t="shared" si="42"/>
        <v>4</v>
      </c>
      <c r="V554">
        <f t="shared" si="43"/>
        <v>6</v>
      </c>
      <c r="W554" s="9">
        <f t="shared" si="44"/>
        <v>-8.8429256594724226E-3</v>
      </c>
    </row>
    <row r="555" spans="1:23">
      <c r="A555">
        <v>10554</v>
      </c>
      <c r="B555" s="5">
        <v>44750</v>
      </c>
      <c r="C555" s="5">
        <v>44754</v>
      </c>
      <c r="D555" s="5">
        <v>44756</v>
      </c>
      <c r="E555" t="s">
        <v>19</v>
      </c>
      <c r="F555" t="s">
        <v>22</v>
      </c>
      <c r="G555" t="s">
        <v>27</v>
      </c>
      <c r="H555" t="s">
        <v>33</v>
      </c>
      <c r="I555" t="s">
        <v>35</v>
      </c>
      <c r="J555" t="s">
        <v>41</v>
      </c>
      <c r="K555" t="s">
        <v>48</v>
      </c>
      <c r="L555" t="s">
        <v>51</v>
      </c>
      <c r="M555" s="7">
        <v>50860</v>
      </c>
      <c r="N555">
        <v>0.02</v>
      </c>
      <c r="O555" s="7">
        <v>18851</v>
      </c>
      <c r="P555">
        <v>3</v>
      </c>
      <c r="Q555" t="s">
        <v>58</v>
      </c>
      <c r="R555" t="s">
        <v>59</v>
      </c>
      <c r="S555">
        <f t="shared" si="40"/>
        <v>2022</v>
      </c>
      <c r="T555" t="str">
        <f t="shared" si="41"/>
        <v>Jul</v>
      </c>
      <c r="U555">
        <f t="shared" si="42"/>
        <v>4</v>
      </c>
      <c r="V555">
        <f t="shared" si="43"/>
        <v>6</v>
      </c>
      <c r="W555" s="9">
        <f t="shared" si="44"/>
        <v>0.37064490758946128</v>
      </c>
    </row>
    <row r="556" spans="1:23">
      <c r="A556">
        <v>10555</v>
      </c>
      <c r="B556" s="5">
        <v>44751</v>
      </c>
      <c r="C556" s="5">
        <v>44756</v>
      </c>
      <c r="D556" s="5">
        <v>44758</v>
      </c>
      <c r="E556" t="s">
        <v>20</v>
      </c>
      <c r="F556" t="s">
        <v>22</v>
      </c>
      <c r="G556" t="s">
        <v>24</v>
      </c>
      <c r="H556" t="s">
        <v>32</v>
      </c>
      <c r="I556" t="s">
        <v>36</v>
      </c>
      <c r="J556" t="s">
        <v>41</v>
      </c>
      <c r="K556" t="s">
        <v>48</v>
      </c>
      <c r="L556" t="s">
        <v>51</v>
      </c>
      <c r="M556" s="7">
        <v>48076</v>
      </c>
      <c r="N556">
        <v>0.14000000000000001</v>
      </c>
      <c r="O556" s="7">
        <v>10643</v>
      </c>
      <c r="P556">
        <v>7</v>
      </c>
      <c r="Q556" t="s">
        <v>55</v>
      </c>
      <c r="R556" t="s">
        <v>60</v>
      </c>
      <c r="S556">
        <f t="shared" si="40"/>
        <v>2022</v>
      </c>
      <c r="T556" t="str">
        <f t="shared" si="41"/>
        <v>Jul</v>
      </c>
      <c r="U556">
        <f t="shared" si="42"/>
        <v>5</v>
      </c>
      <c r="V556">
        <f t="shared" si="43"/>
        <v>7</v>
      </c>
      <c r="W556" s="9">
        <f t="shared" si="44"/>
        <v>0.22137865047008903</v>
      </c>
    </row>
    <row r="557" spans="1:23">
      <c r="A557">
        <v>10556</v>
      </c>
      <c r="B557" s="5">
        <v>44752</v>
      </c>
      <c r="C557" s="5">
        <v>44759</v>
      </c>
      <c r="D557" s="5">
        <v>44760</v>
      </c>
      <c r="E557" t="s">
        <v>20</v>
      </c>
      <c r="F557" t="s">
        <v>22</v>
      </c>
      <c r="G557" t="s">
        <v>23</v>
      </c>
      <c r="H557" t="s">
        <v>29</v>
      </c>
      <c r="I557" t="s">
        <v>34</v>
      </c>
      <c r="J557" t="s">
        <v>43</v>
      </c>
      <c r="K557" t="s">
        <v>45</v>
      </c>
      <c r="L557" t="s">
        <v>51</v>
      </c>
      <c r="M557" s="7">
        <v>12196</v>
      </c>
      <c r="N557">
        <v>0.04</v>
      </c>
      <c r="O557" s="7">
        <v>865</v>
      </c>
      <c r="P557">
        <v>22</v>
      </c>
      <c r="Q557" t="s">
        <v>55</v>
      </c>
      <c r="R557" t="s">
        <v>60</v>
      </c>
      <c r="S557">
        <f t="shared" si="40"/>
        <v>2022</v>
      </c>
      <c r="T557" t="str">
        <f t="shared" si="41"/>
        <v>Jul</v>
      </c>
      <c r="U557">
        <f t="shared" si="42"/>
        <v>7</v>
      </c>
      <c r="V557">
        <f t="shared" si="43"/>
        <v>8</v>
      </c>
      <c r="W557" s="9">
        <f t="shared" si="44"/>
        <v>7.0924893407674647E-2</v>
      </c>
    </row>
    <row r="558" spans="1:23">
      <c r="A558">
        <v>10557</v>
      </c>
      <c r="B558" s="5">
        <v>44753</v>
      </c>
      <c r="C558" s="5">
        <v>44756</v>
      </c>
      <c r="D558" s="5">
        <v>44757</v>
      </c>
      <c r="E558" t="s">
        <v>21</v>
      </c>
      <c r="F558" t="s">
        <v>22</v>
      </c>
      <c r="G558" t="s">
        <v>24</v>
      </c>
      <c r="H558" t="s">
        <v>30</v>
      </c>
      <c r="I558" t="s">
        <v>34</v>
      </c>
      <c r="J558" t="s">
        <v>39</v>
      </c>
      <c r="K558" t="s">
        <v>45</v>
      </c>
      <c r="L558" t="s">
        <v>51</v>
      </c>
      <c r="M558" s="7">
        <v>14964</v>
      </c>
      <c r="N558">
        <v>0</v>
      </c>
      <c r="O558" s="7">
        <v>16470</v>
      </c>
      <c r="P558">
        <v>1</v>
      </c>
      <c r="Q558" t="s">
        <v>54</v>
      </c>
      <c r="R558" t="s">
        <v>59</v>
      </c>
      <c r="S558">
        <f t="shared" si="40"/>
        <v>2022</v>
      </c>
      <c r="T558" t="str">
        <f t="shared" si="41"/>
        <v>Jul</v>
      </c>
      <c r="U558">
        <f t="shared" si="42"/>
        <v>3</v>
      </c>
      <c r="V558">
        <f t="shared" si="43"/>
        <v>4</v>
      </c>
      <c r="W558" s="9">
        <f t="shared" si="44"/>
        <v>1.1006415396952687</v>
      </c>
    </row>
    <row r="559" spans="1:23">
      <c r="A559">
        <v>10558</v>
      </c>
      <c r="B559" s="5">
        <v>44754</v>
      </c>
      <c r="C559" s="5">
        <v>44761</v>
      </c>
      <c r="D559" s="5">
        <v>44766</v>
      </c>
      <c r="E559" t="s">
        <v>18</v>
      </c>
      <c r="F559" t="s">
        <v>22</v>
      </c>
      <c r="G559" t="s">
        <v>26</v>
      </c>
      <c r="H559" t="s">
        <v>32</v>
      </c>
      <c r="I559" t="s">
        <v>35</v>
      </c>
      <c r="J559" t="s">
        <v>38</v>
      </c>
      <c r="K559" t="s">
        <v>44</v>
      </c>
      <c r="L559" t="s">
        <v>51</v>
      </c>
      <c r="M559" s="7">
        <v>7500</v>
      </c>
      <c r="N559">
        <v>0.31</v>
      </c>
      <c r="O559" s="7">
        <v>1712</v>
      </c>
      <c r="P559">
        <v>15</v>
      </c>
      <c r="Q559" t="s">
        <v>55</v>
      </c>
      <c r="R559" t="s">
        <v>62</v>
      </c>
      <c r="S559">
        <f t="shared" si="40"/>
        <v>2022</v>
      </c>
      <c r="T559" t="str">
        <f t="shared" si="41"/>
        <v>Jul</v>
      </c>
      <c r="U559">
        <f t="shared" si="42"/>
        <v>7</v>
      </c>
      <c r="V559">
        <f t="shared" si="43"/>
        <v>12</v>
      </c>
      <c r="W559" s="9">
        <f t="shared" si="44"/>
        <v>0.22826666666666667</v>
      </c>
    </row>
    <row r="560" spans="1:23">
      <c r="A560">
        <v>10559</v>
      </c>
      <c r="B560" s="5">
        <v>44755</v>
      </c>
      <c r="C560" s="5">
        <v>44757</v>
      </c>
      <c r="D560" s="5">
        <v>44758</v>
      </c>
      <c r="E560" t="s">
        <v>20</v>
      </c>
      <c r="F560" t="s">
        <v>22</v>
      </c>
      <c r="G560" t="s">
        <v>27</v>
      </c>
      <c r="H560" t="s">
        <v>32</v>
      </c>
      <c r="I560" t="s">
        <v>35</v>
      </c>
      <c r="J560" t="s">
        <v>41</v>
      </c>
      <c r="K560" t="s">
        <v>50</v>
      </c>
      <c r="L560" t="s">
        <v>52</v>
      </c>
      <c r="M560" s="7">
        <v>3881</v>
      </c>
      <c r="N560">
        <v>0.05</v>
      </c>
      <c r="O560" s="7">
        <v>16259</v>
      </c>
      <c r="P560">
        <v>4</v>
      </c>
      <c r="Q560" t="s">
        <v>58</v>
      </c>
      <c r="R560" t="s">
        <v>59</v>
      </c>
      <c r="S560">
        <f t="shared" si="40"/>
        <v>2022</v>
      </c>
      <c r="T560" t="str">
        <f t="shared" si="41"/>
        <v>Jul</v>
      </c>
      <c r="U560">
        <f t="shared" si="42"/>
        <v>2</v>
      </c>
      <c r="V560">
        <f t="shared" si="43"/>
        <v>3</v>
      </c>
      <c r="W560" s="9">
        <f t="shared" si="44"/>
        <v>4.1893841793352227</v>
      </c>
    </row>
    <row r="561" spans="1:23">
      <c r="A561">
        <v>10560</v>
      </c>
      <c r="B561" s="5">
        <v>44756</v>
      </c>
      <c r="C561" s="5">
        <v>44759</v>
      </c>
      <c r="D561" s="5">
        <v>44760</v>
      </c>
      <c r="E561" t="s">
        <v>19</v>
      </c>
      <c r="F561" t="s">
        <v>22</v>
      </c>
      <c r="G561" t="s">
        <v>23</v>
      </c>
      <c r="H561" t="s">
        <v>29</v>
      </c>
      <c r="I561" t="s">
        <v>34</v>
      </c>
      <c r="J561" t="s">
        <v>39</v>
      </c>
      <c r="K561" t="s">
        <v>47</v>
      </c>
      <c r="L561" t="s">
        <v>51</v>
      </c>
      <c r="M561" s="7">
        <v>15846</v>
      </c>
      <c r="N561">
        <v>0</v>
      </c>
      <c r="O561" s="7">
        <v>15122</v>
      </c>
      <c r="P561">
        <v>4</v>
      </c>
      <c r="Q561" t="s">
        <v>58</v>
      </c>
      <c r="R561" t="s">
        <v>62</v>
      </c>
      <c r="S561">
        <f t="shared" si="40"/>
        <v>2022</v>
      </c>
      <c r="T561" t="str">
        <f t="shared" si="41"/>
        <v>Jul</v>
      </c>
      <c r="U561">
        <f t="shared" si="42"/>
        <v>3</v>
      </c>
      <c r="V561">
        <f t="shared" si="43"/>
        <v>4</v>
      </c>
      <c r="W561" s="9">
        <f t="shared" si="44"/>
        <v>0.95431023602170895</v>
      </c>
    </row>
    <row r="562" spans="1:23">
      <c r="A562">
        <v>10561</v>
      </c>
      <c r="B562" s="5">
        <v>44757</v>
      </c>
      <c r="C562" s="5">
        <v>44764</v>
      </c>
      <c r="D562" s="5">
        <v>44765</v>
      </c>
      <c r="E562" t="s">
        <v>18</v>
      </c>
      <c r="F562" t="s">
        <v>22</v>
      </c>
      <c r="G562" t="s">
        <v>26</v>
      </c>
      <c r="H562" t="s">
        <v>33</v>
      </c>
      <c r="I562" t="s">
        <v>36</v>
      </c>
      <c r="J562" t="s">
        <v>42</v>
      </c>
      <c r="K562" t="s">
        <v>49</v>
      </c>
      <c r="L562" t="s">
        <v>51</v>
      </c>
      <c r="M562" s="7">
        <v>43828</v>
      </c>
      <c r="N562">
        <v>0.35</v>
      </c>
      <c r="O562" s="7">
        <v>-1652</v>
      </c>
      <c r="P562">
        <v>20</v>
      </c>
      <c r="Q562" t="s">
        <v>55</v>
      </c>
      <c r="R562" t="s">
        <v>61</v>
      </c>
      <c r="S562">
        <f t="shared" si="40"/>
        <v>2022</v>
      </c>
      <c r="T562" t="str">
        <f t="shared" si="41"/>
        <v>Jul</v>
      </c>
      <c r="U562">
        <f t="shared" si="42"/>
        <v>7</v>
      </c>
      <c r="V562">
        <f t="shared" si="43"/>
        <v>8</v>
      </c>
      <c r="W562" s="9">
        <f t="shared" si="44"/>
        <v>-3.7692799123847771E-2</v>
      </c>
    </row>
    <row r="563" spans="1:23">
      <c r="A563">
        <v>10562</v>
      </c>
      <c r="B563" s="5">
        <v>44758</v>
      </c>
      <c r="C563" s="5">
        <v>44761</v>
      </c>
      <c r="D563" s="5">
        <v>44766</v>
      </c>
      <c r="E563" t="s">
        <v>21</v>
      </c>
      <c r="F563" t="s">
        <v>22</v>
      </c>
      <c r="G563" t="s">
        <v>25</v>
      </c>
      <c r="H563" t="s">
        <v>33</v>
      </c>
      <c r="I563" t="s">
        <v>34</v>
      </c>
      <c r="J563" t="s">
        <v>37</v>
      </c>
      <c r="K563" t="s">
        <v>46</v>
      </c>
      <c r="L563" t="s">
        <v>51</v>
      </c>
      <c r="M563" s="7">
        <v>63946</v>
      </c>
      <c r="N563">
        <v>0</v>
      </c>
      <c r="O563" s="7">
        <v>18590</v>
      </c>
      <c r="P563">
        <v>11</v>
      </c>
      <c r="Q563" t="s">
        <v>58</v>
      </c>
      <c r="R563" t="s">
        <v>61</v>
      </c>
      <c r="S563">
        <f t="shared" si="40"/>
        <v>2022</v>
      </c>
      <c r="T563" t="str">
        <f t="shared" si="41"/>
        <v>Jul</v>
      </c>
      <c r="U563">
        <f t="shared" si="42"/>
        <v>3</v>
      </c>
      <c r="V563">
        <f t="shared" si="43"/>
        <v>8</v>
      </c>
      <c r="W563" s="9">
        <f t="shared" si="44"/>
        <v>0.29071403997122575</v>
      </c>
    </row>
    <row r="564" spans="1:23">
      <c r="A564">
        <v>10563</v>
      </c>
      <c r="B564" s="5">
        <v>44759</v>
      </c>
      <c r="C564" s="5">
        <v>44761</v>
      </c>
      <c r="D564" s="5">
        <v>44762</v>
      </c>
      <c r="E564" t="s">
        <v>20</v>
      </c>
      <c r="F564" t="s">
        <v>22</v>
      </c>
      <c r="G564" t="s">
        <v>27</v>
      </c>
      <c r="H564" t="s">
        <v>32</v>
      </c>
      <c r="I564" t="s">
        <v>34</v>
      </c>
      <c r="J564" t="s">
        <v>38</v>
      </c>
      <c r="K564" t="s">
        <v>47</v>
      </c>
      <c r="L564" t="s">
        <v>52</v>
      </c>
      <c r="M564" s="7">
        <v>24759</v>
      </c>
      <c r="N564">
        <v>0.12</v>
      </c>
      <c r="O564" s="7">
        <v>15216</v>
      </c>
      <c r="P564">
        <v>9</v>
      </c>
      <c r="Q564" t="s">
        <v>57</v>
      </c>
      <c r="R564" t="s">
        <v>59</v>
      </c>
      <c r="S564">
        <f t="shared" si="40"/>
        <v>2022</v>
      </c>
      <c r="T564" t="str">
        <f t="shared" si="41"/>
        <v>Jul</v>
      </c>
      <c r="U564">
        <f t="shared" si="42"/>
        <v>2</v>
      </c>
      <c r="V564">
        <f t="shared" si="43"/>
        <v>3</v>
      </c>
      <c r="W564" s="9">
        <f t="shared" si="44"/>
        <v>0.61456440082394281</v>
      </c>
    </row>
    <row r="565" spans="1:23">
      <c r="A565">
        <v>10564</v>
      </c>
      <c r="B565" s="5">
        <v>44760</v>
      </c>
      <c r="C565" s="5">
        <v>44766</v>
      </c>
      <c r="D565" s="5">
        <v>44767</v>
      </c>
      <c r="E565" t="s">
        <v>21</v>
      </c>
      <c r="F565" t="s">
        <v>22</v>
      </c>
      <c r="G565" t="s">
        <v>27</v>
      </c>
      <c r="H565" t="s">
        <v>33</v>
      </c>
      <c r="I565" t="s">
        <v>35</v>
      </c>
      <c r="J565" t="s">
        <v>41</v>
      </c>
      <c r="K565" t="s">
        <v>48</v>
      </c>
      <c r="L565" t="s">
        <v>53</v>
      </c>
      <c r="M565" s="7">
        <v>4409</v>
      </c>
      <c r="N565">
        <v>0.16</v>
      </c>
      <c r="O565" s="7">
        <v>19396</v>
      </c>
      <c r="P565">
        <v>16</v>
      </c>
      <c r="Q565" t="s">
        <v>55</v>
      </c>
      <c r="R565" t="s">
        <v>61</v>
      </c>
      <c r="S565">
        <f t="shared" si="40"/>
        <v>2022</v>
      </c>
      <c r="T565" t="str">
        <f t="shared" si="41"/>
        <v>Jul</v>
      </c>
      <c r="U565">
        <f t="shared" si="42"/>
        <v>6</v>
      </c>
      <c r="V565">
        <f t="shared" si="43"/>
        <v>7</v>
      </c>
      <c r="W565" s="9">
        <f t="shared" si="44"/>
        <v>4.3991834883193466</v>
      </c>
    </row>
    <row r="566" spans="1:23">
      <c r="A566">
        <v>10565</v>
      </c>
      <c r="B566" s="5">
        <v>44761</v>
      </c>
      <c r="C566" s="5">
        <v>44764</v>
      </c>
      <c r="D566" s="5">
        <v>44769</v>
      </c>
      <c r="E566" t="s">
        <v>19</v>
      </c>
      <c r="F566" t="s">
        <v>22</v>
      </c>
      <c r="G566" t="s">
        <v>28</v>
      </c>
      <c r="H566" t="s">
        <v>29</v>
      </c>
      <c r="I566" t="s">
        <v>36</v>
      </c>
      <c r="J566" t="s">
        <v>38</v>
      </c>
      <c r="K566" t="s">
        <v>45</v>
      </c>
      <c r="L566" t="s">
        <v>52</v>
      </c>
      <c r="M566" s="7">
        <v>10013</v>
      </c>
      <c r="N566">
        <v>0.37</v>
      </c>
      <c r="O566" s="7">
        <v>-1682</v>
      </c>
      <c r="P566">
        <v>1</v>
      </c>
      <c r="Q566" t="s">
        <v>58</v>
      </c>
      <c r="R566" t="s">
        <v>59</v>
      </c>
      <c r="S566">
        <f t="shared" si="40"/>
        <v>2022</v>
      </c>
      <c r="T566" t="str">
        <f t="shared" si="41"/>
        <v>Jul</v>
      </c>
      <c r="U566">
        <f t="shared" si="42"/>
        <v>3</v>
      </c>
      <c r="V566">
        <f t="shared" si="43"/>
        <v>8</v>
      </c>
      <c r="W566" s="9">
        <f t="shared" si="44"/>
        <v>-0.16798162388894436</v>
      </c>
    </row>
    <row r="567" spans="1:23">
      <c r="A567">
        <v>10566</v>
      </c>
      <c r="B567" s="5">
        <v>44762</v>
      </c>
      <c r="C567" s="5">
        <v>44769</v>
      </c>
      <c r="D567" s="5">
        <v>44772</v>
      </c>
      <c r="E567" t="s">
        <v>20</v>
      </c>
      <c r="F567" t="s">
        <v>22</v>
      </c>
      <c r="G567" t="s">
        <v>28</v>
      </c>
      <c r="H567" t="s">
        <v>33</v>
      </c>
      <c r="I567" t="s">
        <v>34</v>
      </c>
      <c r="J567" t="s">
        <v>39</v>
      </c>
      <c r="K567" t="s">
        <v>49</v>
      </c>
      <c r="L567" t="s">
        <v>51</v>
      </c>
      <c r="M567" s="7">
        <v>10635</v>
      </c>
      <c r="N567">
        <v>0.39</v>
      </c>
      <c r="O567" s="7">
        <v>2449</v>
      </c>
      <c r="P567">
        <v>20</v>
      </c>
      <c r="Q567" t="s">
        <v>56</v>
      </c>
      <c r="R567" t="s">
        <v>61</v>
      </c>
      <c r="S567">
        <f t="shared" si="40"/>
        <v>2022</v>
      </c>
      <c r="T567" t="str">
        <f t="shared" si="41"/>
        <v>Jul</v>
      </c>
      <c r="U567">
        <f t="shared" si="42"/>
        <v>7</v>
      </c>
      <c r="V567">
        <f t="shared" si="43"/>
        <v>10</v>
      </c>
      <c r="W567" s="9">
        <f t="shared" si="44"/>
        <v>0.2302773859896568</v>
      </c>
    </row>
    <row r="568" spans="1:23">
      <c r="A568">
        <v>10567</v>
      </c>
      <c r="B568" s="5">
        <v>44763</v>
      </c>
      <c r="C568" s="5">
        <v>44770</v>
      </c>
      <c r="D568" s="5">
        <v>44772</v>
      </c>
      <c r="E568" t="s">
        <v>18</v>
      </c>
      <c r="F568" t="s">
        <v>22</v>
      </c>
      <c r="G568" t="s">
        <v>24</v>
      </c>
      <c r="H568" t="s">
        <v>25</v>
      </c>
      <c r="I568" t="s">
        <v>35</v>
      </c>
      <c r="J568" t="s">
        <v>42</v>
      </c>
      <c r="K568" t="s">
        <v>49</v>
      </c>
      <c r="L568" t="s">
        <v>51</v>
      </c>
      <c r="M568" s="7">
        <v>63478</v>
      </c>
      <c r="N568">
        <v>0.38</v>
      </c>
      <c r="O568" s="7">
        <v>7577</v>
      </c>
      <c r="P568">
        <v>19</v>
      </c>
      <c r="Q568" t="s">
        <v>55</v>
      </c>
      <c r="R568" t="s">
        <v>61</v>
      </c>
      <c r="S568">
        <f t="shared" si="40"/>
        <v>2022</v>
      </c>
      <c r="T568" t="str">
        <f t="shared" si="41"/>
        <v>Jul</v>
      </c>
      <c r="U568">
        <f t="shared" si="42"/>
        <v>7</v>
      </c>
      <c r="V568">
        <f t="shared" si="43"/>
        <v>9</v>
      </c>
      <c r="W568" s="9">
        <f t="shared" si="44"/>
        <v>0.11936418916790069</v>
      </c>
    </row>
    <row r="569" spans="1:23">
      <c r="A569">
        <v>10568</v>
      </c>
      <c r="B569" s="5">
        <v>44764</v>
      </c>
      <c r="C569" s="5">
        <v>44771</v>
      </c>
      <c r="D569" s="5">
        <v>44773</v>
      </c>
      <c r="E569" t="s">
        <v>21</v>
      </c>
      <c r="F569" t="s">
        <v>22</v>
      </c>
      <c r="G569" t="s">
        <v>26</v>
      </c>
      <c r="H569" t="s">
        <v>31</v>
      </c>
      <c r="I569" t="s">
        <v>35</v>
      </c>
      <c r="J569" t="s">
        <v>38</v>
      </c>
      <c r="K569" t="s">
        <v>50</v>
      </c>
      <c r="L569" t="s">
        <v>52</v>
      </c>
      <c r="M569" s="7">
        <v>8679</v>
      </c>
      <c r="N569">
        <v>0.32</v>
      </c>
      <c r="O569" s="7">
        <v>1211</v>
      </c>
      <c r="P569">
        <v>17</v>
      </c>
      <c r="Q569" t="s">
        <v>56</v>
      </c>
      <c r="R569" t="s">
        <v>59</v>
      </c>
      <c r="S569">
        <f t="shared" si="40"/>
        <v>2022</v>
      </c>
      <c r="T569" t="str">
        <f t="shared" si="41"/>
        <v>Jul</v>
      </c>
      <c r="U569">
        <f t="shared" si="42"/>
        <v>7</v>
      </c>
      <c r="V569">
        <f t="shared" si="43"/>
        <v>9</v>
      </c>
      <c r="W569" s="9">
        <f t="shared" si="44"/>
        <v>0.13953220417098744</v>
      </c>
    </row>
    <row r="570" spans="1:23">
      <c r="A570">
        <v>10569</v>
      </c>
      <c r="B570" s="5">
        <v>44765</v>
      </c>
      <c r="C570" s="5">
        <v>44769</v>
      </c>
      <c r="D570" s="5">
        <v>44770</v>
      </c>
      <c r="E570" t="s">
        <v>18</v>
      </c>
      <c r="F570" t="s">
        <v>22</v>
      </c>
      <c r="G570" t="s">
        <v>26</v>
      </c>
      <c r="H570" t="s">
        <v>33</v>
      </c>
      <c r="I570" t="s">
        <v>35</v>
      </c>
      <c r="J570" t="s">
        <v>39</v>
      </c>
      <c r="K570" t="s">
        <v>47</v>
      </c>
      <c r="L570" t="s">
        <v>51</v>
      </c>
      <c r="M570" s="7">
        <v>55546</v>
      </c>
      <c r="N570">
        <v>0.28999999999999998</v>
      </c>
      <c r="O570" s="7">
        <v>17085</v>
      </c>
      <c r="P570">
        <v>4</v>
      </c>
      <c r="Q570" t="s">
        <v>55</v>
      </c>
      <c r="R570" t="s">
        <v>60</v>
      </c>
      <c r="S570">
        <f t="shared" si="40"/>
        <v>2022</v>
      </c>
      <c r="T570" t="str">
        <f t="shared" si="41"/>
        <v>Jul</v>
      </c>
      <c r="U570">
        <f t="shared" si="42"/>
        <v>4</v>
      </c>
      <c r="V570">
        <f t="shared" si="43"/>
        <v>5</v>
      </c>
      <c r="W570" s="9">
        <f t="shared" si="44"/>
        <v>0.30758290425953266</v>
      </c>
    </row>
    <row r="571" spans="1:23">
      <c r="A571">
        <v>10570</v>
      </c>
      <c r="B571" s="5">
        <v>44766</v>
      </c>
      <c r="C571" s="5">
        <v>44771</v>
      </c>
      <c r="D571" s="5">
        <v>44774</v>
      </c>
      <c r="E571" t="s">
        <v>21</v>
      </c>
      <c r="F571" t="s">
        <v>22</v>
      </c>
      <c r="G571" t="s">
        <v>26</v>
      </c>
      <c r="H571" t="s">
        <v>32</v>
      </c>
      <c r="I571" t="s">
        <v>36</v>
      </c>
      <c r="J571" t="s">
        <v>43</v>
      </c>
      <c r="K571" t="s">
        <v>49</v>
      </c>
      <c r="L571" t="s">
        <v>53</v>
      </c>
      <c r="M571" s="7">
        <v>14905</v>
      </c>
      <c r="N571">
        <v>0.4</v>
      </c>
      <c r="O571" s="7">
        <v>-942</v>
      </c>
      <c r="P571">
        <v>1</v>
      </c>
      <c r="Q571" t="s">
        <v>56</v>
      </c>
      <c r="R571" t="s">
        <v>61</v>
      </c>
      <c r="S571">
        <f t="shared" si="40"/>
        <v>2022</v>
      </c>
      <c r="T571" t="str">
        <f t="shared" si="41"/>
        <v>Jul</v>
      </c>
      <c r="U571">
        <f t="shared" si="42"/>
        <v>5</v>
      </c>
      <c r="V571">
        <f t="shared" si="43"/>
        <v>8</v>
      </c>
      <c r="W571" s="9">
        <f t="shared" si="44"/>
        <v>-6.3200268366320034E-2</v>
      </c>
    </row>
    <row r="572" spans="1:23">
      <c r="A572">
        <v>10571</v>
      </c>
      <c r="B572" s="5">
        <v>44767</v>
      </c>
      <c r="C572" s="5">
        <v>44771</v>
      </c>
      <c r="D572" s="5">
        <v>44776</v>
      </c>
      <c r="E572" t="s">
        <v>21</v>
      </c>
      <c r="F572" t="s">
        <v>22</v>
      </c>
      <c r="G572" t="s">
        <v>26</v>
      </c>
      <c r="H572" t="s">
        <v>30</v>
      </c>
      <c r="I572" t="s">
        <v>34</v>
      </c>
      <c r="J572" t="s">
        <v>41</v>
      </c>
      <c r="K572" t="s">
        <v>47</v>
      </c>
      <c r="L572" t="s">
        <v>53</v>
      </c>
      <c r="M572" s="7">
        <v>44794</v>
      </c>
      <c r="N572">
        <v>0.15</v>
      </c>
      <c r="O572" s="7">
        <v>11025</v>
      </c>
      <c r="P572">
        <v>22</v>
      </c>
      <c r="Q572" t="s">
        <v>55</v>
      </c>
      <c r="R572" t="s">
        <v>62</v>
      </c>
      <c r="S572">
        <f t="shared" si="40"/>
        <v>2022</v>
      </c>
      <c r="T572" t="str">
        <f t="shared" si="41"/>
        <v>Jul</v>
      </c>
      <c r="U572">
        <f t="shared" si="42"/>
        <v>4</v>
      </c>
      <c r="V572">
        <f t="shared" si="43"/>
        <v>9</v>
      </c>
      <c r="W572" s="9">
        <f t="shared" si="44"/>
        <v>0.24612671339911596</v>
      </c>
    </row>
    <row r="573" spans="1:23">
      <c r="A573">
        <v>10572</v>
      </c>
      <c r="B573" s="5">
        <v>44768</v>
      </c>
      <c r="C573" s="5">
        <v>44773</v>
      </c>
      <c r="D573" s="5">
        <v>44776</v>
      </c>
      <c r="E573" t="s">
        <v>19</v>
      </c>
      <c r="F573" t="s">
        <v>22</v>
      </c>
      <c r="G573" t="s">
        <v>23</v>
      </c>
      <c r="H573" t="s">
        <v>31</v>
      </c>
      <c r="I573" t="s">
        <v>35</v>
      </c>
      <c r="J573" t="s">
        <v>38</v>
      </c>
      <c r="K573" t="s">
        <v>49</v>
      </c>
      <c r="L573" t="s">
        <v>51</v>
      </c>
      <c r="M573" s="7">
        <v>36548</v>
      </c>
      <c r="N573">
        <v>0.03</v>
      </c>
      <c r="O573" s="7">
        <v>17150</v>
      </c>
      <c r="P573">
        <v>21</v>
      </c>
      <c r="Q573" t="s">
        <v>57</v>
      </c>
      <c r="R573" t="s">
        <v>61</v>
      </c>
      <c r="S573">
        <f t="shared" si="40"/>
        <v>2022</v>
      </c>
      <c r="T573" t="str">
        <f t="shared" si="41"/>
        <v>Jul</v>
      </c>
      <c r="U573">
        <f t="shared" si="42"/>
        <v>5</v>
      </c>
      <c r="V573">
        <f t="shared" si="43"/>
        <v>8</v>
      </c>
      <c r="W573" s="9">
        <f t="shared" si="44"/>
        <v>0.46924592316953045</v>
      </c>
    </row>
    <row r="574" spans="1:23">
      <c r="A574">
        <v>10573</v>
      </c>
      <c r="B574" s="5">
        <v>44769</v>
      </c>
      <c r="C574" s="5">
        <v>44776</v>
      </c>
      <c r="D574" s="5">
        <v>44781</v>
      </c>
      <c r="E574" t="s">
        <v>18</v>
      </c>
      <c r="F574" t="s">
        <v>22</v>
      </c>
      <c r="G574" t="s">
        <v>25</v>
      </c>
      <c r="H574" t="s">
        <v>25</v>
      </c>
      <c r="I574" t="s">
        <v>35</v>
      </c>
      <c r="J574" t="s">
        <v>38</v>
      </c>
      <c r="K574" t="s">
        <v>47</v>
      </c>
      <c r="L574" t="s">
        <v>53</v>
      </c>
      <c r="M574" s="7">
        <v>621</v>
      </c>
      <c r="N574">
        <v>0.16</v>
      </c>
      <c r="O574" s="7">
        <v>2828</v>
      </c>
      <c r="P574">
        <v>6</v>
      </c>
      <c r="Q574" t="s">
        <v>55</v>
      </c>
      <c r="R574" t="s">
        <v>60</v>
      </c>
      <c r="S574">
        <f t="shared" si="40"/>
        <v>2022</v>
      </c>
      <c r="T574" t="str">
        <f t="shared" si="41"/>
        <v>Jul</v>
      </c>
      <c r="U574">
        <f t="shared" si="42"/>
        <v>7</v>
      </c>
      <c r="V574">
        <f t="shared" si="43"/>
        <v>12</v>
      </c>
      <c r="W574" s="9">
        <f t="shared" si="44"/>
        <v>4.5539452495974233</v>
      </c>
    </row>
    <row r="575" spans="1:23">
      <c r="A575">
        <v>10574</v>
      </c>
      <c r="B575" s="5">
        <v>44770</v>
      </c>
      <c r="C575" s="5">
        <v>44777</v>
      </c>
      <c r="D575" s="5">
        <v>44780</v>
      </c>
      <c r="E575" t="s">
        <v>19</v>
      </c>
      <c r="F575" t="s">
        <v>22</v>
      </c>
      <c r="G575" t="s">
        <v>28</v>
      </c>
      <c r="H575" t="s">
        <v>33</v>
      </c>
      <c r="I575" t="s">
        <v>36</v>
      </c>
      <c r="J575" t="s">
        <v>39</v>
      </c>
      <c r="K575" t="s">
        <v>49</v>
      </c>
      <c r="L575" t="s">
        <v>52</v>
      </c>
      <c r="M575" s="7">
        <v>3300</v>
      </c>
      <c r="N575">
        <v>0</v>
      </c>
      <c r="O575" s="7">
        <v>1550</v>
      </c>
      <c r="P575">
        <v>6</v>
      </c>
      <c r="Q575" t="s">
        <v>56</v>
      </c>
      <c r="R575" t="s">
        <v>60</v>
      </c>
      <c r="S575">
        <f t="shared" si="40"/>
        <v>2022</v>
      </c>
      <c r="T575" t="str">
        <f t="shared" si="41"/>
        <v>Jul</v>
      </c>
      <c r="U575">
        <f t="shared" si="42"/>
        <v>7</v>
      </c>
      <c r="V575">
        <f t="shared" si="43"/>
        <v>10</v>
      </c>
      <c r="W575" s="9">
        <f t="shared" si="44"/>
        <v>0.46969696969696972</v>
      </c>
    </row>
    <row r="576" spans="1:23">
      <c r="A576">
        <v>10575</v>
      </c>
      <c r="B576" s="5">
        <v>44771</v>
      </c>
      <c r="C576" s="5">
        <v>44775</v>
      </c>
      <c r="D576" s="5">
        <v>44778</v>
      </c>
      <c r="E576" t="s">
        <v>19</v>
      </c>
      <c r="F576" t="s">
        <v>22</v>
      </c>
      <c r="G576" t="s">
        <v>26</v>
      </c>
      <c r="H576" t="s">
        <v>33</v>
      </c>
      <c r="I576" t="s">
        <v>35</v>
      </c>
      <c r="J576" t="s">
        <v>42</v>
      </c>
      <c r="K576" t="s">
        <v>47</v>
      </c>
      <c r="L576" t="s">
        <v>51</v>
      </c>
      <c r="M576" s="7">
        <v>22174</v>
      </c>
      <c r="N576">
        <v>0.14000000000000001</v>
      </c>
      <c r="O576" s="7">
        <v>12486</v>
      </c>
      <c r="P576">
        <v>16</v>
      </c>
      <c r="Q576" t="s">
        <v>56</v>
      </c>
      <c r="R576" t="s">
        <v>60</v>
      </c>
      <c r="S576">
        <f t="shared" si="40"/>
        <v>2022</v>
      </c>
      <c r="T576" t="str">
        <f t="shared" si="41"/>
        <v>Jul</v>
      </c>
      <c r="U576">
        <f t="shared" si="42"/>
        <v>4</v>
      </c>
      <c r="V576">
        <f t="shared" si="43"/>
        <v>7</v>
      </c>
      <c r="W576" s="9">
        <f t="shared" si="44"/>
        <v>0.56309190944349241</v>
      </c>
    </row>
    <row r="577" spans="1:23">
      <c r="A577">
        <v>10576</v>
      </c>
      <c r="B577" s="5">
        <v>44772</v>
      </c>
      <c r="C577" s="5">
        <v>44777</v>
      </c>
      <c r="D577" s="5">
        <v>44781</v>
      </c>
      <c r="E577" t="s">
        <v>18</v>
      </c>
      <c r="F577" t="s">
        <v>22</v>
      </c>
      <c r="G577" t="s">
        <v>27</v>
      </c>
      <c r="H577" t="s">
        <v>33</v>
      </c>
      <c r="I577" t="s">
        <v>34</v>
      </c>
      <c r="J577" t="s">
        <v>43</v>
      </c>
      <c r="K577" t="s">
        <v>46</v>
      </c>
      <c r="L577" t="s">
        <v>51</v>
      </c>
      <c r="M577" s="7">
        <v>56347</v>
      </c>
      <c r="N577">
        <v>0.16</v>
      </c>
      <c r="O577" s="7">
        <v>-141</v>
      </c>
      <c r="P577">
        <v>23</v>
      </c>
      <c r="Q577" t="s">
        <v>56</v>
      </c>
      <c r="R577" t="s">
        <v>61</v>
      </c>
      <c r="S577">
        <f t="shared" si="40"/>
        <v>2022</v>
      </c>
      <c r="T577" t="str">
        <f t="shared" si="41"/>
        <v>Jul</v>
      </c>
      <c r="U577">
        <f t="shared" si="42"/>
        <v>5</v>
      </c>
      <c r="V577">
        <f t="shared" si="43"/>
        <v>9</v>
      </c>
      <c r="W577" s="9">
        <f t="shared" si="44"/>
        <v>-2.5023515005235418E-3</v>
      </c>
    </row>
    <row r="578" spans="1:23">
      <c r="A578">
        <v>10577</v>
      </c>
      <c r="B578" s="5">
        <v>44773</v>
      </c>
      <c r="C578" s="5">
        <v>44775</v>
      </c>
      <c r="D578" s="5">
        <v>44779</v>
      </c>
      <c r="E578" t="s">
        <v>21</v>
      </c>
      <c r="F578" t="s">
        <v>22</v>
      </c>
      <c r="G578" t="s">
        <v>26</v>
      </c>
      <c r="H578" t="s">
        <v>32</v>
      </c>
      <c r="I578" t="s">
        <v>36</v>
      </c>
      <c r="J578" t="s">
        <v>37</v>
      </c>
      <c r="K578" t="s">
        <v>47</v>
      </c>
      <c r="L578" t="s">
        <v>53</v>
      </c>
      <c r="M578" s="7">
        <v>74559</v>
      </c>
      <c r="N578">
        <v>0.12</v>
      </c>
      <c r="O578" s="7">
        <v>3515</v>
      </c>
      <c r="P578">
        <v>11</v>
      </c>
      <c r="Q578" t="s">
        <v>56</v>
      </c>
      <c r="R578" t="s">
        <v>61</v>
      </c>
      <c r="S578">
        <f t="shared" si="40"/>
        <v>2022</v>
      </c>
      <c r="T578" t="str">
        <f t="shared" si="41"/>
        <v>Jul</v>
      </c>
      <c r="U578">
        <f t="shared" si="42"/>
        <v>2</v>
      </c>
      <c r="V578">
        <f t="shared" si="43"/>
        <v>6</v>
      </c>
      <c r="W578" s="9">
        <f t="shared" si="44"/>
        <v>4.7143872637776793E-2</v>
      </c>
    </row>
    <row r="579" spans="1:23">
      <c r="A579">
        <v>10578</v>
      </c>
      <c r="B579" s="5">
        <v>44774</v>
      </c>
      <c r="C579" s="5">
        <v>44778</v>
      </c>
      <c r="D579" s="5">
        <v>44780</v>
      </c>
      <c r="E579" t="s">
        <v>21</v>
      </c>
      <c r="F579" t="s">
        <v>22</v>
      </c>
      <c r="G579" t="s">
        <v>26</v>
      </c>
      <c r="H579" t="s">
        <v>30</v>
      </c>
      <c r="I579" t="s">
        <v>34</v>
      </c>
      <c r="J579" t="s">
        <v>41</v>
      </c>
      <c r="K579" t="s">
        <v>46</v>
      </c>
      <c r="L579" t="s">
        <v>52</v>
      </c>
      <c r="M579" s="7">
        <v>41436</v>
      </c>
      <c r="N579">
        <v>0.24</v>
      </c>
      <c r="O579" s="7">
        <v>5522</v>
      </c>
      <c r="P579">
        <v>10</v>
      </c>
      <c r="Q579" t="s">
        <v>55</v>
      </c>
      <c r="R579" t="s">
        <v>59</v>
      </c>
      <c r="S579">
        <f t="shared" ref="S579:S642" si="45">YEAR(B579)</f>
        <v>2022</v>
      </c>
      <c r="T579" t="str">
        <f t="shared" ref="T579:T642" si="46">TEXT(B579,"mmm")</f>
        <v>Aug</v>
      </c>
      <c r="U579">
        <f t="shared" ref="U579:U642" si="47">C579-B579</f>
        <v>4</v>
      </c>
      <c r="V579">
        <f t="shared" ref="V579:V642" si="48">D579-B579</f>
        <v>6</v>
      </c>
      <c r="W579" s="9">
        <f t="shared" ref="W579:W642" si="49">IFERROR(O579/M579,0)</f>
        <v>0.13326575924317019</v>
      </c>
    </row>
    <row r="580" spans="1:23">
      <c r="A580">
        <v>10579</v>
      </c>
      <c r="B580" s="5">
        <v>44775</v>
      </c>
      <c r="C580" s="5">
        <v>44781</v>
      </c>
      <c r="D580" s="5">
        <v>44783</v>
      </c>
      <c r="E580" t="s">
        <v>19</v>
      </c>
      <c r="F580" t="s">
        <v>22</v>
      </c>
      <c r="G580" t="s">
        <v>24</v>
      </c>
      <c r="H580" t="s">
        <v>32</v>
      </c>
      <c r="I580" t="s">
        <v>34</v>
      </c>
      <c r="J580" t="s">
        <v>37</v>
      </c>
      <c r="K580" t="s">
        <v>47</v>
      </c>
      <c r="L580" t="s">
        <v>53</v>
      </c>
      <c r="M580" s="7">
        <v>68284</v>
      </c>
      <c r="N580">
        <v>0.2</v>
      </c>
      <c r="O580" s="7">
        <v>4171</v>
      </c>
      <c r="P580">
        <v>13</v>
      </c>
      <c r="Q580" t="s">
        <v>56</v>
      </c>
      <c r="R580" t="s">
        <v>60</v>
      </c>
      <c r="S580">
        <f t="shared" si="45"/>
        <v>2022</v>
      </c>
      <c r="T580" t="str">
        <f t="shared" si="46"/>
        <v>Aug</v>
      </c>
      <c r="U580">
        <f t="shared" si="47"/>
        <v>6</v>
      </c>
      <c r="V580">
        <f t="shared" si="48"/>
        <v>8</v>
      </c>
      <c r="W580" s="9">
        <f t="shared" si="49"/>
        <v>6.1083123425692692E-2</v>
      </c>
    </row>
    <row r="581" spans="1:23">
      <c r="A581">
        <v>10580</v>
      </c>
      <c r="B581" s="5">
        <v>44776</v>
      </c>
      <c r="C581" s="5">
        <v>44781</v>
      </c>
      <c r="D581" s="5">
        <v>44786</v>
      </c>
      <c r="E581" t="s">
        <v>21</v>
      </c>
      <c r="F581" t="s">
        <v>22</v>
      </c>
      <c r="G581" t="s">
        <v>24</v>
      </c>
      <c r="H581" t="s">
        <v>25</v>
      </c>
      <c r="I581" t="s">
        <v>36</v>
      </c>
      <c r="J581" t="s">
        <v>43</v>
      </c>
      <c r="K581" t="s">
        <v>44</v>
      </c>
      <c r="L581" t="s">
        <v>53</v>
      </c>
      <c r="M581" s="7">
        <v>68695</v>
      </c>
      <c r="N581">
        <v>0.26</v>
      </c>
      <c r="O581" s="7">
        <v>15309</v>
      </c>
      <c r="P581">
        <v>22</v>
      </c>
      <c r="Q581" t="s">
        <v>57</v>
      </c>
      <c r="R581" t="s">
        <v>60</v>
      </c>
      <c r="S581">
        <f t="shared" si="45"/>
        <v>2022</v>
      </c>
      <c r="T581" t="str">
        <f t="shared" si="46"/>
        <v>Aug</v>
      </c>
      <c r="U581">
        <f t="shared" si="47"/>
        <v>5</v>
      </c>
      <c r="V581">
        <f t="shared" si="48"/>
        <v>10</v>
      </c>
      <c r="W581" s="9">
        <f t="shared" si="49"/>
        <v>0.22285464735424704</v>
      </c>
    </row>
    <row r="582" spans="1:23">
      <c r="A582">
        <v>10581</v>
      </c>
      <c r="B582" s="5">
        <v>44777</v>
      </c>
      <c r="C582" s="5">
        <v>44780</v>
      </c>
      <c r="D582" s="5">
        <v>44783</v>
      </c>
      <c r="E582" t="s">
        <v>18</v>
      </c>
      <c r="F582" t="s">
        <v>22</v>
      </c>
      <c r="G582" t="s">
        <v>25</v>
      </c>
      <c r="H582" t="s">
        <v>25</v>
      </c>
      <c r="I582" t="s">
        <v>34</v>
      </c>
      <c r="J582" t="s">
        <v>40</v>
      </c>
      <c r="K582" t="s">
        <v>49</v>
      </c>
      <c r="L582" t="s">
        <v>52</v>
      </c>
      <c r="M582" s="7">
        <v>71491</v>
      </c>
      <c r="N582">
        <v>0.15</v>
      </c>
      <c r="O582" s="7">
        <v>17086</v>
      </c>
      <c r="P582">
        <v>12</v>
      </c>
      <c r="Q582" t="s">
        <v>54</v>
      </c>
      <c r="R582" t="s">
        <v>59</v>
      </c>
      <c r="S582">
        <f t="shared" si="45"/>
        <v>2022</v>
      </c>
      <c r="T582" t="str">
        <f t="shared" si="46"/>
        <v>Aug</v>
      </c>
      <c r="U582">
        <f t="shared" si="47"/>
        <v>3</v>
      </c>
      <c r="V582">
        <f t="shared" si="48"/>
        <v>6</v>
      </c>
      <c r="W582" s="9">
        <f t="shared" si="49"/>
        <v>0.23899511826663497</v>
      </c>
    </row>
    <row r="583" spans="1:23">
      <c r="A583">
        <v>10582</v>
      </c>
      <c r="B583" s="5">
        <v>44778</v>
      </c>
      <c r="C583" s="5">
        <v>44784</v>
      </c>
      <c r="D583" s="5">
        <v>44788</v>
      </c>
      <c r="E583" t="s">
        <v>19</v>
      </c>
      <c r="F583" t="s">
        <v>22</v>
      </c>
      <c r="G583" t="s">
        <v>25</v>
      </c>
      <c r="H583" t="s">
        <v>31</v>
      </c>
      <c r="I583" t="s">
        <v>36</v>
      </c>
      <c r="J583" t="s">
        <v>40</v>
      </c>
      <c r="K583" t="s">
        <v>45</v>
      </c>
      <c r="L583" t="s">
        <v>52</v>
      </c>
      <c r="M583" s="7">
        <v>43040</v>
      </c>
      <c r="N583">
        <v>0.33</v>
      </c>
      <c r="O583" s="7">
        <v>17735</v>
      </c>
      <c r="P583">
        <v>10</v>
      </c>
      <c r="Q583" t="s">
        <v>58</v>
      </c>
      <c r="R583" t="s">
        <v>61</v>
      </c>
      <c r="S583">
        <f t="shared" si="45"/>
        <v>2022</v>
      </c>
      <c r="T583" t="str">
        <f t="shared" si="46"/>
        <v>Aug</v>
      </c>
      <c r="U583">
        <f t="shared" si="47"/>
        <v>6</v>
      </c>
      <c r="V583">
        <f t="shared" si="48"/>
        <v>10</v>
      </c>
      <c r="W583" s="9">
        <f t="shared" si="49"/>
        <v>0.41205855018587362</v>
      </c>
    </row>
    <row r="584" spans="1:23">
      <c r="A584">
        <v>10583</v>
      </c>
      <c r="B584" s="5">
        <v>44779</v>
      </c>
      <c r="C584" s="5">
        <v>44785</v>
      </c>
      <c r="D584" s="5">
        <v>44788</v>
      </c>
      <c r="E584" t="s">
        <v>21</v>
      </c>
      <c r="F584" t="s">
        <v>22</v>
      </c>
      <c r="G584" t="s">
        <v>27</v>
      </c>
      <c r="H584" t="s">
        <v>31</v>
      </c>
      <c r="I584" t="s">
        <v>35</v>
      </c>
      <c r="J584" t="s">
        <v>40</v>
      </c>
      <c r="K584" t="s">
        <v>44</v>
      </c>
      <c r="L584" t="s">
        <v>53</v>
      </c>
      <c r="M584" s="7">
        <v>34876</v>
      </c>
      <c r="N584">
        <v>0.17</v>
      </c>
      <c r="O584" s="7">
        <v>19259</v>
      </c>
      <c r="P584">
        <v>13</v>
      </c>
      <c r="Q584" t="s">
        <v>56</v>
      </c>
      <c r="R584" t="s">
        <v>62</v>
      </c>
      <c r="S584">
        <f t="shared" si="45"/>
        <v>2022</v>
      </c>
      <c r="T584" t="str">
        <f t="shared" si="46"/>
        <v>Aug</v>
      </c>
      <c r="U584">
        <f t="shared" si="47"/>
        <v>6</v>
      </c>
      <c r="V584">
        <f t="shared" si="48"/>
        <v>9</v>
      </c>
      <c r="W584" s="9">
        <f t="shared" si="49"/>
        <v>0.55221355660052762</v>
      </c>
    </row>
    <row r="585" spans="1:23">
      <c r="A585">
        <v>10584</v>
      </c>
      <c r="B585" s="5">
        <v>44780</v>
      </c>
      <c r="C585" s="5">
        <v>44786</v>
      </c>
      <c r="D585" s="5">
        <v>44789</v>
      </c>
      <c r="E585" t="s">
        <v>19</v>
      </c>
      <c r="F585" t="s">
        <v>22</v>
      </c>
      <c r="G585" t="s">
        <v>24</v>
      </c>
      <c r="H585" t="s">
        <v>25</v>
      </c>
      <c r="I585" t="s">
        <v>35</v>
      </c>
      <c r="J585" t="s">
        <v>37</v>
      </c>
      <c r="K585" t="s">
        <v>50</v>
      </c>
      <c r="L585" t="s">
        <v>51</v>
      </c>
      <c r="M585" s="7">
        <v>62343</v>
      </c>
      <c r="N585">
        <v>0.01</v>
      </c>
      <c r="O585" s="7">
        <v>9507</v>
      </c>
      <c r="P585">
        <v>14</v>
      </c>
      <c r="Q585" t="s">
        <v>57</v>
      </c>
      <c r="R585" t="s">
        <v>60</v>
      </c>
      <c r="S585">
        <f t="shared" si="45"/>
        <v>2022</v>
      </c>
      <c r="T585" t="str">
        <f t="shared" si="46"/>
        <v>Aug</v>
      </c>
      <c r="U585">
        <f t="shared" si="47"/>
        <v>6</v>
      </c>
      <c r="V585">
        <f t="shared" si="48"/>
        <v>9</v>
      </c>
      <c r="W585" s="9">
        <f t="shared" si="49"/>
        <v>0.15249506760983592</v>
      </c>
    </row>
    <row r="586" spans="1:23">
      <c r="A586">
        <v>10585</v>
      </c>
      <c r="B586" s="5">
        <v>44781</v>
      </c>
      <c r="C586" s="5">
        <v>44785</v>
      </c>
      <c r="D586" s="5">
        <v>44786</v>
      </c>
      <c r="E586" t="s">
        <v>20</v>
      </c>
      <c r="F586" t="s">
        <v>22</v>
      </c>
      <c r="G586" t="s">
        <v>24</v>
      </c>
      <c r="H586" t="s">
        <v>29</v>
      </c>
      <c r="I586" t="s">
        <v>36</v>
      </c>
      <c r="J586" t="s">
        <v>38</v>
      </c>
      <c r="K586" t="s">
        <v>49</v>
      </c>
      <c r="L586" t="s">
        <v>53</v>
      </c>
      <c r="M586" s="7">
        <v>24063</v>
      </c>
      <c r="N586">
        <v>0.08</v>
      </c>
      <c r="O586" s="7">
        <v>5467</v>
      </c>
      <c r="P586">
        <v>19</v>
      </c>
      <c r="Q586" t="s">
        <v>55</v>
      </c>
      <c r="R586" t="s">
        <v>59</v>
      </c>
      <c r="S586">
        <f t="shared" si="45"/>
        <v>2022</v>
      </c>
      <c r="T586" t="str">
        <f t="shared" si="46"/>
        <v>Aug</v>
      </c>
      <c r="U586">
        <f t="shared" si="47"/>
        <v>4</v>
      </c>
      <c r="V586">
        <f t="shared" si="48"/>
        <v>5</v>
      </c>
      <c r="W586" s="9">
        <f t="shared" si="49"/>
        <v>0.22719527905913645</v>
      </c>
    </row>
    <row r="587" spans="1:23">
      <c r="A587">
        <v>10586</v>
      </c>
      <c r="B587" s="5">
        <v>44782</v>
      </c>
      <c r="C587" s="5">
        <v>44784</v>
      </c>
      <c r="D587" s="5">
        <v>44786</v>
      </c>
      <c r="E587" t="s">
        <v>19</v>
      </c>
      <c r="F587" t="s">
        <v>22</v>
      </c>
      <c r="G587" t="s">
        <v>27</v>
      </c>
      <c r="H587" t="s">
        <v>31</v>
      </c>
      <c r="I587" t="s">
        <v>35</v>
      </c>
      <c r="J587" t="s">
        <v>39</v>
      </c>
      <c r="K587" t="s">
        <v>47</v>
      </c>
      <c r="L587" t="s">
        <v>51</v>
      </c>
      <c r="M587" s="7">
        <v>14172</v>
      </c>
      <c r="N587">
        <v>0.21</v>
      </c>
      <c r="O587" s="7">
        <v>18812</v>
      </c>
      <c r="P587">
        <v>13</v>
      </c>
      <c r="Q587" t="s">
        <v>57</v>
      </c>
      <c r="R587" t="s">
        <v>61</v>
      </c>
      <c r="S587">
        <f t="shared" si="45"/>
        <v>2022</v>
      </c>
      <c r="T587" t="str">
        <f t="shared" si="46"/>
        <v>Aug</v>
      </c>
      <c r="U587">
        <f t="shared" si="47"/>
        <v>2</v>
      </c>
      <c r="V587">
        <f t="shared" si="48"/>
        <v>4</v>
      </c>
      <c r="W587" s="9">
        <f t="shared" si="49"/>
        <v>1.3274061529777026</v>
      </c>
    </row>
    <row r="588" spans="1:23">
      <c r="A588">
        <v>10587</v>
      </c>
      <c r="B588" s="5">
        <v>44783</v>
      </c>
      <c r="C588" s="5">
        <v>44786</v>
      </c>
      <c r="D588" s="5">
        <v>44787</v>
      </c>
      <c r="E588" t="s">
        <v>19</v>
      </c>
      <c r="F588" t="s">
        <v>22</v>
      </c>
      <c r="G588" t="s">
        <v>23</v>
      </c>
      <c r="H588" t="s">
        <v>30</v>
      </c>
      <c r="I588" t="s">
        <v>36</v>
      </c>
      <c r="J588" t="s">
        <v>37</v>
      </c>
      <c r="K588" t="s">
        <v>45</v>
      </c>
      <c r="L588" t="s">
        <v>52</v>
      </c>
      <c r="M588" s="7">
        <v>2478</v>
      </c>
      <c r="N588">
        <v>0.27</v>
      </c>
      <c r="O588" s="7">
        <v>13427</v>
      </c>
      <c r="P588">
        <v>7</v>
      </c>
      <c r="Q588" t="s">
        <v>58</v>
      </c>
      <c r="R588" t="s">
        <v>59</v>
      </c>
      <c r="S588">
        <f t="shared" si="45"/>
        <v>2022</v>
      </c>
      <c r="T588" t="str">
        <f t="shared" si="46"/>
        <v>Aug</v>
      </c>
      <c r="U588">
        <f t="shared" si="47"/>
        <v>3</v>
      </c>
      <c r="V588">
        <f t="shared" si="48"/>
        <v>4</v>
      </c>
      <c r="W588" s="9">
        <f t="shared" si="49"/>
        <v>5.4184826472962069</v>
      </c>
    </row>
    <row r="589" spans="1:23">
      <c r="A589">
        <v>10588</v>
      </c>
      <c r="B589" s="5">
        <v>44784</v>
      </c>
      <c r="C589" s="5">
        <v>44791</v>
      </c>
      <c r="D589" s="5">
        <v>44793</v>
      </c>
      <c r="E589" t="s">
        <v>19</v>
      </c>
      <c r="F589" t="s">
        <v>22</v>
      </c>
      <c r="G589" t="s">
        <v>28</v>
      </c>
      <c r="H589" t="s">
        <v>32</v>
      </c>
      <c r="I589" t="s">
        <v>35</v>
      </c>
      <c r="J589" t="s">
        <v>42</v>
      </c>
      <c r="K589" t="s">
        <v>44</v>
      </c>
      <c r="L589" t="s">
        <v>53</v>
      </c>
      <c r="M589" s="7">
        <v>63207</v>
      </c>
      <c r="N589">
        <v>0.25</v>
      </c>
      <c r="O589" s="7">
        <v>7754</v>
      </c>
      <c r="P589">
        <v>3</v>
      </c>
      <c r="Q589" t="s">
        <v>54</v>
      </c>
      <c r="R589" t="s">
        <v>61</v>
      </c>
      <c r="S589">
        <f t="shared" si="45"/>
        <v>2022</v>
      </c>
      <c r="T589" t="str">
        <f t="shared" si="46"/>
        <v>Aug</v>
      </c>
      <c r="U589">
        <f t="shared" si="47"/>
        <v>7</v>
      </c>
      <c r="V589">
        <f t="shared" si="48"/>
        <v>9</v>
      </c>
      <c r="W589" s="9">
        <f t="shared" si="49"/>
        <v>0.12267628585441485</v>
      </c>
    </row>
    <row r="590" spans="1:23">
      <c r="A590">
        <v>10589</v>
      </c>
      <c r="B590" s="5">
        <v>44785</v>
      </c>
      <c r="C590" s="5">
        <v>44788</v>
      </c>
      <c r="D590" s="5">
        <v>44792</v>
      </c>
      <c r="E590" t="s">
        <v>20</v>
      </c>
      <c r="F590" t="s">
        <v>22</v>
      </c>
      <c r="G590" t="s">
        <v>24</v>
      </c>
      <c r="H590" t="s">
        <v>31</v>
      </c>
      <c r="I590" t="s">
        <v>34</v>
      </c>
      <c r="J590" t="s">
        <v>37</v>
      </c>
      <c r="K590" t="s">
        <v>50</v>
      </c>
      <c r="L590" t="s">
        <v>53</v>
      </c>
      <c r="M590" s="7">
        <v>70939</v>
      </c>
      <c r="N590">
        <v>0.18</v>
      </c>
      <c r="O590" s="7">
        <v>16118</v>
      </c>
      <c r="P590">
        <v>7</v>
      </c>
      <c r="Q590" t="s">
        <v>57</v>
      </c>
      <c r="R590" t="s">
        <v>59</v>
      </c>
      <c r="S590">
        <f t="shared" si="45"/>
        <v>2022</v>
      </c>
      <c r="T590" t="str">
        <f t="shared" si="46"/>
        <v>Aug</v>
      </c>
      <c r="U590">
        <f t="shared" si="47"/>
        <v>3</v>
      </c>
      <c r="V590">
        <f t="shared" si="48"/>
        <v>7</v>
      </c>
      <c r="W590" s="9">
        <f t="shared" si="49"/>
        <v>0.22720929249073146</v>
      </c>
    </row>
    <row r="591" spans="1:23">
      <c r="A591">
        <v>10590</v>
      </c>
      <c r="B591" s="5">
        <v>44786</v>
      </c>
      <c r="C591" s="5">
        <v>44793</v>
      </c>
      <c r="D591" s="5">
        <v>44798</v>
      </c>
      <c r="E591" t="s">
        <v>18</v>
      </c>
      <c r="F591" t="s">
        <v>22</v>
      </c>
      <c r="G591" t="s">
        <v>23</v>
      </c>
      <c r="H591" t="s">
        <v>31</v>
      </c>
      <c r="I591" t="s">
        <v>35</v>
      </c>
      <c r="J591" t="s">
        <v>38</v>
      </c>
      <c r="K591" t="s">
        <v>47</v>
      </c>
      <c r="L591" t="s">
        <v>53</v>
      </c>
      <c r="M591" s="7">
        <v>32730</v>
      </c>
      <c r="N591">
        <v>0.35</v>
      </c>
      <c r="O591" s="7">
        <v>4000</v>
      </c>
      <c r="P591">
        <v>22</v>
      </c>
      <c r="Q591" t="s">
        <v>56</v>
      </c>
      <c r="R591" t="s">
        <v>61</v>
      </c>
      <c r="S591">
        <f t="shared" si="45"/>
        <v>2022</v>
      </c>
      <c r="T591" t="str">
        <f t="shared" si="46"/>
        <v>Aug</v>
      </c>
      <c r="U591">
        <f t="shared" si="47"/>
        <v>7</v>
      </c>
      <c r="V591">
        <f t="shared" si="48"/>
        <v>12</v>
      </c>
      <c r="W591" s="9">
        <f t="shared" si="49"/>
        <v>0.12221203788573175</v>
      </c>
    </row>
    <row r="592" spans="1:23">
      <c r="A592">
        <v>10591</v>
      </c>
      <c r="B592" s="5">
        <v>44787</v>
      </c>
      <c r="C592" s="5">
        <v>44792</v>
      </c>
      <c r="D592" s="5">
        <v>44795</v>
      </c>
      <c r="E592" t="s">
        <v>19</v>
      </c>
      <c r="F592" t="s">
        <v>22</v>
      </c>
      <c r="G592" t="s">
        <v>23</v>
      </c>
      <c r="H592" t="s">
        <v>33</v>
      </c>
      <c r="I592" t="s">
        <v>35</v>
      </c>
      <c r="J592" t="s">
        <v>40</v>
      </c>
      <c r="K592" t="s">
        <v>47</v>
      </c>
      <c r="L592" t="s">
        <v>53</v>
      </c>
      <c r="M592" s="7">
        <v>39306</v>
      </c>
      <c r="N592">
        <v>0.1</v>
      </c>
      <c r="O592" s="7">
        <v>19591</v>
      </c>
      <c r="P592">
        <v>24</v>
      </c>
      <c r="Q592" t="s">
        <v>57</v>
      </c>
      <c r="R592" t="s">
        <v>61</v>
      </c>
      <c r="S592">
        <f t="shared" si="45"/>
        <v>2022</v>
      </c>
      <c r="T592" t="str">
        <f t="shared" si="46"/>
        <v>Aug</v>
      </c>
      <c r="U592">
        <f t="shared" si="47"/>
        <v>5</v>
      </c>
      <c r="V592">
        <f t="shared" si="48"/>
        <v>8</v>
      </c>
      <c r="W592" s="9">
        <f t="shared" si="49"/>
        <v>0.49842263267694498</v>
      </c>
    </row>
    <row r="593" spans="1:23">
      <c r="A593">
        <v>10592</v>
      </c>
      <c r="B593" s="5">
        <v>44788</v>
      </c>
      <c r="C593" s="5">
        <v>44793</v>
      </c>
      <c r="D593" s="5">
        <v>44794</v>
      </c>
      <c r="E593" t="s">
        <v>19</v>
      </c>
      <c r="F593" t="s">
        <v>22</v>
      </c>
      <c r="G593" t="s">
        <v>28</v>
      </c>
      <c r="H593" t="s">
        <v>32</v>
      </c>
      <c r="I593" t="s">
        <v>34</v>
      </c>
      <c r="J593" t="s">
        <v>39</v>
      </c>
      <c r="K593" t="s">
        <v>45</v>
      </c>
      <c r="L593" t="s">
        <v>51</v>
      </c>
      <c r="M593" s="7">
        <v>44844</v>
      </c>
      <c r="N593">
        <v>0.16</v>
      </c>
      <c r="O593" s="7">
        <v>2596</v>
      </c>
      <c r="P593">
        <v>19</v>
      </c>
      <c r="Q593" t="s">
        <v>58</v>
      </c>
      <c r="R593" t="s">
        <v>61</v>
      </c>
      <c r="S593">
        <f t="shared" si="45"/>
        <v>2022</v>
      </c>
      <c r="T593" t="str">
        <f t="shared" si="46"/>
        <v>Aug</v>
      </c>
      <c r="U593">
        <f t="shared" si="47"/>
        <v>5</v>
      </c>
      <c r="V593">
        <f t="shared" si="48"/>
        <v>6</v>
      </c>
      <c r="W593" s="9">
        <f t="shared" si="49"/>
        <v>5.7889572741057889E-2</v>
      </c>
    </row>
    <row r="594" spans="1:23">
      <c r="A594">
        <v>10593</v>
      </c>
      <c r="B594" s="5">
        <v>44789</v>
      </c>
      <c r="C594" s="5">
        <v>44793</v>
      </c>
      <c r="D594" s="5">
        <v>44797</v>
      </c>
      <c r="E594" t="s">
        <v>20</v>
      </c>
      <c r="F594" t="s">
        <v>22</v>
      </c>
      <c r="G594" t="s">
        <v>23</v>
      </c>
      <c r="H594" t="s">
        <v>33</v>
      </c>
      <c r="I594" t="s">
        <v>35</v>
      </c>
      <c r="J594" t="s">
        <v>40</v>
      </c>
      <c r="K594" t="s">
        <v>47</v>
      </c>
      <c r="L594" t="s">
        <v>51</v>
      </c>
      <c r="M594" s="7">
        <v>42851</v>
      </c>
      <c r="N594">
        <v>0.09</v>
      </c>
      <c r="O594" s="7">
        <v>5960</v>
      </c>
      <c r="P594">
        <v>6</v>
      </c>
      <c r="Q594" t="s">
        <v>58</v>
      </c>
      <c r="R594" t="s">
        <v>60</v>
      </c>
      <c r="S594">
        <f t="shared" si="45"/>
        <v>2022</v>
      </c>
      <c r="T594" t="str">
        <f t="shared" si="46"/>
        <v>Aug</v>
      </c>
      <c r="U594">
        <f t="shared" si="47"/>
        <v>4</v>
      </c>
      <c r="V594">
        <f t="shared" si="48"/>
        <v>8</v>
      </c>
      <c r="W594" s="9">
        <f t="shared" si="49"/>
        <v>0.13908660241301254</v>
      </c>
    </row>
    <row r="595" spans="1:23">
      <c r="A595">
        <v>10594</v>
      </c>
      <c r="B595" s="5">
        <v>44790</v>
      </c>
      <c r="C595" s="5">
        <v>44796</v>
      </c>
      <c r="D595" s="5">
        <v>44799</v>
      </c>
      <c r="E595" t="s">
        <v>20</v>
      </c>
      <c r="F595" t="s">
        <v>22</v>
      </c>
      <c r="G595" t="s">
        <v>26</v>
      </c>
      <c r="H595" t="s">
        <v>30</v>
      </c>
      <c r="I595" t="s">
        <v>35</v>
      </c>
      <c r="J595" t="s">
        <v>38</v>
      </c>
      <c r="K595" t="s">
        <v>47</v>
      </c>
      <c r="L595" t="s">
        <v>52</v>
      </c>
      <c r="M595" s="7">
        <v>65468</v>
      </c>
      <c r="N595">
        <v>0.31</v>
      </c>
      <c r="O595" s="7">
        <v>11243</v>
      </c>
      <c r="P595">
        <v>18</v>
      </c>
      <c r="Q595" t="s">
        <v>54</v>
      </c>
      <c r="R595" t="s">
        <v>61</v>
      </c>
      <c r="S595">
        <f t="shared" si="45"/>
        <v>2022</v>
      </c>
      <c r="T595" t="str">
        <f t="shared" si="46"/>
        <v>Aug</v>
      </c>
      <c r="U595">
        <f t="shared" si="47"/>
        <v>6</v>
      </c>
      <c r="V595">
        <f t="shared" si="48"/>
        <v>9</v>
      </c>
      <c r="W595" s="9">
        <f t="shared" si="49"/>
        <v>0.17173275493370807</v>
      </c>
    </row>
    <row r="596" spans="1:23">
      <c r="A596">
        <v>10595</v>
      </c>
      <c r="B596" s="5">
        <v>44791</v>
      </c>
      <c r="C596" s="5">
        <v>44794</v>
      </c>
      <c r="D596" s="5">
        <v>44795</v>
      </c>
      <c r="E596" t="s">
        <v>18</v>
      </c>
      <c r="F596" t="s">
        <v>22</v>
      </c>
      <c r="G596" t="s">
        <v>24</v>
      </c>
      <c r="H596" t="s">
        <v>33</v>
      </c>
      <c r="I596" t="s">
        <v>34</v>
      </c>
      <c r="J596" t="s">
        <v>40</v>
      </c>
      <c r="K596" t="s">
        <v>47</v>
      </c>
      <c r="L596" t="s">
        <v>53</v>
      </c>
      <c r="M596" s="7">
        <v>71067</v>
      </c>
      <c r="N596">
        <v>0.26</v>
      </c>
      <c r="O596" s="7">
        <v>7079</v>
      </c>
      <c r="P596">
        <v>23</v>
      </c>
      <c r="Q596" t="s">
        <v>54</v>
      </c>
      <c r="R596" t="s">
        <v>61</v>
      </c>
      <c r="S596">
        <f t="shared" si="45"/>
        <v>2022</v>
      </c>
      <c r="T596" t="str">
        <f t="shared" si="46"/>
        <v>Aug</v>
      </c>
      <c r="U596">
        <f t="shared" si="47"/>
        <v>3</v>
      </c>
      <c r="V596">
        <f t="shared" si="48"/>
        <v>4</v>
      </c>
      <c r="W596" s="9">
        <f t="shared" si="49"/>
        <v>9.9610226968916651E-2</v>
      </c>
    </row>
    <row r="597" spans="1:23">
      <c r="A597">
        <v>10596</v>
      </c>
      <c r="B597" s="5">
        <v>44792</v>
      </c>
      <c r="C597" s="5">
        <v>44797</v>
      </c>
      <c r="D597" s="5">
        <v>44799</v>
      </c>
      <c r="E597" t="s">
        <v>19</v>
      </c>
      <c r="F597" t="s">
        <v>22</v>
      </c>
      <c r="G597" t="s">
        <v>24</v>
      </c>
      <c r="H597" t="s">
        <v>30</v>
      </c>
      <c r="I597" t="s">
        <v>34</v>
      </c>
      <c r="J597" t="s">
        <v>39</v>
      </c>
      <c r="K597" t="s">
        <v>47</v>
      </c>
      <c r="L597" t="s">
        <v>53</v>
      </c>
      <c r="M597" s="7">
        <v>2691</v>
      </c>
      <c r="N597">
        <v>0.17</v>
      </c>
      <c r="O597" s="7">
        <v>3359</v>
      </c>
      <c r="P597">
        <v>20</v>
      </c>
      <c r="Q597" t="s">
        <v>58</v>
      </c>
      <c r="R597" t="s">
        <v>61</v>
      </c>
      <c r="S597">
        <f t="shared" si="45"/>
        <v>2022</v>
      </c>
      <c r="T597" t="str">
        <f t="shared" si="46"/>
        <v>Aug</v>
      </c>
      <c r="U597">
        <f t="shared" si="47"/>
        <v>5</v>
      </c>
      <c r="V597">
        <f t="shared" si="48"/>
        <v>7</v>
      </c>
      <c r="W597" s="9">
        <f t="shared" si="49"/>
        <v>1.2482348569305091</v>
      </c>
    </row>
    <row r="598" spans="1:23">
      <c r="A598">
        <v>10597</v>
      </c>
      <c r="B598" s="5">
        <v>44793</v>
      </c>
      <c r="C598" s="5">
        <v>44797</v>
      </c>
      <c r="D598" s="5">
        <v>44799</v>
      </c>
      <c r="E598" t="s">
        <v>20</v>
      </c>
      <c r="F598" t="s">
        <v>22</v>
      </c>
      <c r="G598" t="s">
        <v>24</v>
      </c>
      <c r="H598" t="s">
        <v>33</v>
      </c>
      <c r="I598" t="s">
        <v>35</v>
      </c>
      <c r="J598" t="s">
        <v>39</v>
      </c>
      <c r="K598" t="s">
        <v>47</v>
      </c>
      <c r="L598" t="s">
        <v>52</v>
      </c>
      <c r="M598" s="7">
        <v>30389</v>
      </c>
      <c r="N598">
        <v>0.11</v>
      </c>
      <c r="O598" s="7">
        <v>10020</v>
      </c>
      <c r="P598">
        <v>7</v>
      </c>
      <c r="Q598" t="s">
        <v>56</v>
      </c>
      <c r="R598" t="s">
        <v>59</v>
      </c>
      <c r="S598">
        <f t="shared" si="45"/>
        <v>2022</v>
      </c>
      <c r="T598" t="str">
        <f t="shared" si="46"/>
        <v>Aug</v>
      </c>
      <c r="U598">
        <f t="shared" si="47"/>
        <v>4</v>
      </c>
      <c r="V598">
        <f t="shared" si="48"/>
        <v>6</v>
      </c>
      <c r="W598" s="9">
        <f t="shared" si="49"/>
        <v>0.32972457139096384</v>
      </c>
    </row>
    <row r="599" spans="1:23">
      <c r="A599">
        <v>10598</v>
      </c>
      <c r="B599" s="5">
        <v>44794</v>
      </c>
      <c r="C599" s="5">
        <v>44797</v>
      </c>
      <c r="D599" s="5">
        <v>44799</v>
      </c>
      <c r="E599" t="s">
        <v>19</v>
      </c>
      <c r="F599" t="s">
        <v>22</v>
      </c>
      <c r="G599" t="s">
        <v>23</v>
      </c>
      <c r="H599" t="s">
        <v>33</v>
      </c>
      <c r="I599" t="s">
        <v>35</v>
      </c>
      <c r="J599" t="s">
        <v>40</v>
      </c>
      <c r="K599" t="s">
        <v>50</v>
      </c>
      <c r="L599" t="s">
        <v>51</v>
      </c>
      <c r="M599" s="7">
        <v>25609</v>
      </c>
      <c r="N599">
        <v>0.28000000000000003</v>
      </c>
      <c r="O599" s="7">
        <v>12029</v>
      </c>
      <c r="P599">
        <v>1</v>
      </c>
      <c r="Q599" t="s">
        <v>56</v>
      </c>
      <c r="R599" t="s">
        <v>60</v>
      </c>
      <c r="S599">
        <f t="shared" si="45"/>
        <v>2022</v>
      </c>
      <c r="T599" t="str">
        <f t="shared" si="46"/>
        <v>Aug</v>
      </c>
      <c r="U599">
        <f t="shared" si="47"/>
        <v>3</v>
      </c>
      <c r="V599">
        <f t="shared" si="48"/>
        <v>5</v>
      </c>
      <c r="W599" s="9">
        <f t="shared" si="49"/>
        <v>0.46971767737904641</v>
      </c>
    </row>
    <row r="600" spans="1:23">
      <c r="A600">
        <v>10599</v>
      </c>
      <c r="B600" s="5">
        <v>44795</v>
      </c>
      <c r="C600" s="5">
        <v>44798</v>
      </c>
      <c r="D600" s="5">
        <v>44802</v>
      </c>
      <c r="E600" t="s">
        <v>21</v>
      </c>
      <c r="F600" t="s">
        <v>22</v>
      </c>
      <c r="G600" t="s">
        <v>26</v>
      </c>
      <c r="H600" t="s">
        <v>30</v>
      </c>
      <c r="I600" t="s">
        <v>35</v>
      </c>
      <c r="J600" t="s">
        <v>38</v>
      </c>
      <c r="K600" t="s">
        <v>45</v>
      </c>
      <c r="L600" t="s">
        <v>53</v>
      </c>
      <c r="M600" s="7">
        <v>22534</v>
      </c>
      <c r="N600">
        <v>0.38</v>
      </c>
      <c r="O600" s="7">
        <v>830</v>
      </c>
      <c r="P600">
        <v>17</v>
      </c>
      <c r="Q600" t="s">
        <v>58</v>
      </c>
      <c r="R600" t="s">
        <v>62</v>
      </c>
      <c r="S600">
        <f t="shared" si="45"/>
        <v>2022</v>
      </c>
      <c r="T600" t="str">
        <f t="shared" si="46"/>
        <v>Aug</v>
      </c>
      <c r="U600">
        <f t="shared" si="47"/>
        <v>3</v>
      </c>
      <c r="V600">
        <f t="shared" si="48"/>
        <v>7</v>
      </c>
      <c r="W600" s="9">
        <f t="shared" si="49"/>
        <v>3.6833229786101006E-2</v>
      </c>
    </row>
    <row r="601" spans="1:23">
      <c r="A601">
        <v>10600</v>
      </c>
      <c r="B601" s="5">
        <v>44796</v>
      </c>
      <c r="C601" s="5">
        <v>44802</v>
      </c>
      <c r="D601" s="5">
        <v>44807</v>
      </c>
      <c r="E601" t="s">
        <v>21</v>
      </c>
      <c r="F601" t="s">
        <v>22</v>
      </c>
      <c r="G601" t="s">
        <v>23</v>
      </c>
      <c r="H601" t="s">
        <v>25</v>
      </c>
      <c r="I601" t="s">
        <v>35</v>
      </c>
      <c r="J601" t="s">
        <v>39</v>
      </c>
      <c r="K601" t="s">
        <v>47</v>
      </c>
      <c r="L601" t="s">
        <v>51</v>
      </c>
      <c r="M601" s="7">
        <v>24892</v>
      </c>
      <c r="N601">
        <v>0.35</v>
      </c>
      <c r="O601" s="7">
        <v>6540</v>
      </c>
      <c r="P601">
        <v>2</v>
      </c>
      <c r="Q601" t="s">
        <v>57</v>
      </c>
      <c r="R601" t="s">
        <v>61</v>
      </c>
      <c r="S601">
        <f t="shared" si="45"/>
        <v>2022</v>
      </c>
      <c r="T601" t="str">
        <f t="shared" si="46"/>
        <v>Aug</v>
      </c>
      <c r="U601">
        <f t="shared" si="47"/>
        <v>6</v>
      </c>
      <c r="V601">
        <f t="shared" si="48"/>
        <v>11</v>
      </c>
      <c r="W601" s="9">
        <f t="shared" si="49"/>
        <v>0.26273501526594889</v>
      </c>
    </row>
    <row r="602" spans="1:23">
      <c r="A602">
        <v>10601</v>
      </c>
      <c r="B602" s="5">
        <v>44797</v>
      </c>
      <c r="C602" s="5">
        <v>44803</v>
      </c>
      <c r="D602" s="5">
        <v>44807</v>
      </c>
      <c r="E602" t="s">
        <v>21</v>
      </c>
      <c r="F602" t="s">
        <v>22</v>
      </c>
      <c r="G602" t="s">
        <v>24</v>
      </c>
      <c r="H602" t="s">
        <v>32</v>
      </c>
      <c r="I602" t="s">
        <v>34</v>
      </c>
      <c r="J602" t="s">
        <v>41</v>
      </c>
      <c r="K602" t="s">
        <v>49</v>
      </c>
      <c r="L602" t="s">
        <v>52</v>
      </c>
      <c r="M602" s="7">
        <v>66243</v>
      </c>
      <c r="N602">
        <v>0.11</v>
      </c>
      <c r="O602" s="7">
        <v>3428</v>
      </c>
      <c r="P602">
        <v>20</v>
      </c>
      <c r="Q602" t="s">
        <v>58</v>
      </c>
      <c r="R602" t="s">
        <v>61</v>
      </c>
      <c r="S602">
        <f t="shared" si="45"/>
        <v>2022</v>
      </c>
      <c r="T602" t="str">
        <f t="shared" si="46"/>
        <v>Aug</v>
      </c>
      <c r="U602">
        <f t="shared" si="47"/>
        <v>6</v>
      </c>
      <c r="V602">
        <f t="shared" si="48"/>
        <v>10</v>
      </c>
      <c r="W602" s="9">
        <f t="shared" si="49"/>
        <v>5.1748864030916476E-2</v>
      </c>
    </row>
    <row r="603" spans="1:23">
      <c r="A603">
        <v>10602</v>
      </c>
      <c r="B603" s="5">
        <v>44798</v>
      </c>
      <c r="C603" s="5">
        <v>44805</v>
      </c>
      <c r="D603" s="5">
        <v>44808</v>
      </c>
      <c r="E603" t="s">
        <v>21</v>
      </c>
      <c r="F603" t="s">
        <v>22</v>
      </c>
      <c r="G603" t="s">
        <v>24</v>
      </c>
      <c r="H603" t="s">
        <v>32</v>
      </c>
      <c r="I603" t="s">
        <v>34</v>
      </c>
      <c r="J603" t="s">
        <v>38</v>
      </c>
      <c r="K603" t="s">
        <v>47</v>
      </c>
      <c r="L603" t="s">
        <v>53</v>
      </c>
      <c r="M603" s="7">
        <v>583</v>
      </c>
      <c r="N603">
        <v>0.05</v>
      </c>
      <c r="O603" s="7">
        <v>17600</v>
      </c>
      <c r="P603">
        <v>24</v>
      </c>
      <c r="Q603" t="s">
        <v>56</v>
      </c>
      <c r="R603" t="s">
        <v>62</v>
      </c>
      <c r="S603">
        <f t="shared" si="45"/>
        <v>2022</v>
      </c>
      <c r="T603" t="str">
        <f t="shared" si="46"/>
        <v>Aug</v>
      </c>
      <c r="U603">
        <f t="shared" si="47"/>
        <v>7</v>
      </c>
      <c r="V603">
        <f t="shared" si="48"/>
        <v>10</v>
      </c>
      <c r="W603" s="9">
        <f t="shared" si="49"/>
        <v>30.188679245283019</v>
      </c>
    </row>
    <row r="604" spans="1:23">
      <c r="A604">
        <v>10603</v>
      </c>
      <c r="B604" s="5">
        <v>44799</v>
      </c>
      <c r="C604" s="5">
        <v>44803</v>
      </c>
      <c r="D604" s="5">
        <v>44808</v>
      </c>
      <c r="E604" t="s">
        <v>19</v>
      </c>
      <c r="F604" t="s">
        <v>22</v>
      </c>
      <c r="G604" t="s">
        <v>24</v>
      </c>
      <c r="H604" t="s">
        <v>30</v>
      </c>
      <c r="I604" t="s">
        <v>35</v>
      </c>
      <c r="J604" t="s">
        <v>42</v>
      </c>
      <c r="K604" t="s">
        <v>49</v>
      </c>
      <c r="L604" t="s">
        <v>53</v>
      </c>
      <c r="M604" s="7">
        <v>73981</v>
      </c>
      <c r="N604">
        <v>0.01</v>
      </c>
      <c r="O604" s="7">
        <v>7116</v>
      </c>
      <c r="P604">
        <v>17</v>
      </c>
      <c r="Q604" t="s">
        <v>56</v>
      </c>
      <c r="R604" t="s">
        <v>61</v>
      </c>
      <c r="S604">
        <f t="shared" si="45"/>
        <v>2022</v>
      </c>
      <c r="T604" t="str">
        <f t="shared" si="46"/>
        <v>Aug</v>
      </c>
      <c r="U604">
        <f t="shared" si="47"/>
        <v>4</v>
      </c>
      <c r="V604">
        <f t="shared" si="48"/>
        <v>9</v>
      </c>
      <c r="W604" s="9">
        <f t="shared" si="49"/>
        <v>9.6186858788067209E-2</v>
      </c>
    </row>
    <row r="605" spans="1:23">
      <c r="A605">
        <v>10604</v>
      </c>
      <c r="B605" s="5">
        <v>44800</v>
      </c>
      <c r="C605" s="5">
        <v>44805</v>
      </c>
      <c r="D605" s="5">
        <v>44809</v>
      </c>
      <c r="E605" t="s">
        <v>21</v>
      </c>
      <c r="F605" t="s">
        <v>22</v>
      </c>
      <c r="G605" t="s">
        <v>27</v>
      </c>
      <c r="H605" t="s">
        <v>33</v>
      </c>
      <c r="I605" t="s">
        <v>35</v>
      </c>
      <c r="J605" t="s">
        <v>42</v>
      </c>
      <c r="K605" t="s">
        <v>44</v>
      </c>
      <c r="L605" t="s">
        <v>51</v>
      </c>
      <c r="M605" s="7">
        <v>31472</v>
      </c>
      <c r="N605">
        <v>0.14000000000000001</v>
      </c>
      <c r="O605" s="7">
        <v>2691</v>
      </c>
      <c r="P605">
        <v>14</v>
      </c>
      <c r="Q605" t="s">
        <v>57</v>
      </c>
      <c r="R605" t="s">
        <v>61</v>
      </c>
      <c r="S605">
        <f t="shared" si="45"/>
        <v>2022</v>
      </c>
      <c r="T605" t="str">
        <f t="shared" si="46"/>
        <v>Aug</v>
      </c>
      <c r="U605">
        <f t="shared" si="47"/>
        <v>5</v>
      </c>
      <c r="V605">
        <f t="shared" si="48"/>
        <v>9</v>
      </c>
      <c r="W605" s="9">
        <f t="shared" si="49"/>
        <v>8.5504575495678692E-2</v>
      </c>
    </row>
    <row r="606" spans="1:23">
      <c r="A606">
        <v>10605</v>
      </c>
      <c r="B606" s="5">
        <v>44801</v>
      </c>
      <c r="C606" s="5">
        <v>44807</v>
      </c>
      <c r="D606" s="5">
        <v>44811</v>
      </c>
      <c r="E606" t="s">
        <v>19</v>
      </c>
      <c r="F606" t="s">
        <v>22</v>
      </c>
      <c r="G606" t="s">
        <v>27</v>
      </c>
      <c r="H606" t="s">
        <v>31</v>
      </c>
      <c r="I606" t="s">
        <v>34</v>
      </c>
      <c r="J606" t="s">
        <v>38</v>
      </c>
      <c r="K606" t="s">
        <v>47</v>
      </c>
      <c r="L606" t="s">
        <v>52</v>
      </c>
      <c r="M606" s="7">
        <v>19661</v>
      </c>
      <c r="N606">
        <v>0.36</v>
      </c>
      <c r="O606" s="7">
        <v>-1987</v>
      </c>
      <c r="P606">
        <v>8</v>
      </c>
      <c r="Q606" t="s">
        <v>57</v>
      </c>
      <c r="R606" t="s">
        <v>61</v>
      </c>
      <c r="S606">
        <f t="shared" si="45"/>
        <v>2022</v>
      </c>
      <c r="T606" t="str">
        <f t="shared" si="46"/>
        <v>Aug</v>
      </c>
      <c r="U606">
        <f t="shared" si="47"/>
        <v>6</v>
      </c>
      <c r="V606">
        <f t="shared" si="48"/>
        <v>10</v>
      </c>
      <c r="W606" s="9">
        <f t="shared" si="49"/>
        <v>-0.10106301815777427</v>
      </c>
    </row>
    <row r="607" spans="1:23">
      <c r="A607">
        <v>10606</v>
      </c>
      <c r="B607" s="5">
        <v>44802</v>
      </c>
      <c r="C607" s="5">
        <v>44804</v>
      </c>
      <c r="D607" s="5">
        <v>44806</v>
      </c>
      <c r="E607" t="s">
        <v>18</v>
      </c>
      <c r="F607" t="s">
        <v>22</v>
      </c>
      <c r="G607" t="s">
        <v>24</v>
      </c>
      <c r="H607" t="s">
        <v>25</v>
      </c>
      <c r="I607" t="s">
        <v>36</v>
      </c>
      <c r="J607" t="s">
        <v>40</v>
      </c>
      <c r="K607" t="s">
        <v>46</v>
      </c>
      <c r="L607" t="s">
        <v>53</v>
      </c>
      <c r="M607" s="7">
        <v>40576</v>
      </c>
      <c r="N607">
        <v>0.37</v>
      </c>
      <c r="O607" s="7">
        <v>10995</v>
      </c>
      <c r="P607">
        <v>14</v>
      </c>
      <c r="Q607" t="s">
        <v>54</v>
      </c>
      <c r="R607" t="s">
        <v>59</v>
      </c>
      <c r="S607">
        <f t="shared" si="45"/>
        <v>2022</v>
      </c>
      <c r="T607" t="str">
        <f t="shared" si="46"/>
        <v>Aug</v>
      </c>
      <c r="U607">
        <f t="shared" si="47"/>
        <v>2</v>
      </c>
      <c r="V607">
        <f t="shared" si="48"/>
        <v>4</v>
      </c>
      <c r="W607" s="9">
        <f t="shared" si="49"/>
        <v>0.27097298895899052</v>
      </c>
    </row>
    <row r="608" spans="1:23">
      <c r="A608">
        <v>10607</v>
      </c>
      <c r="B608" s="5">
        <v>44803</v>
      </c>
      <c r="C608" s="5">
        <v>44806</v>
      </c>
      <c r="D608" s="5">
        <v>44811</v>
      </c>
      <c r="E608" t="s">
        <v>19</v>
      </c>
      <c r="F608" t="s">
        <v>22</v>
      </c>
      <c r="G608" t="s">
        <v>24</v>
      </c>
      <c r="H608" t="s">
        <v>29</v>
      </c>
      <c r="I608" t="s">
        <v>36</v>
      </c>
      <c r="J608" t="s">
        <v>38</v>
      </c>
      <c r="K608" t="s">
        <v>44</v>
      </c>
      <c r="L608" t="s">
        <v>52</v>
      </c>
      <c r="M608" s="7">
        <v>4407</v>
      </c>
      <c r="N608">
        <v>0.35</v>
      </c>
      <c r="O608" s="7">
        <v>9864</v>
      </c>
      <c r="P608">
        <v>1</v>
      </c>
      <c r="Q608" t="s">
        <v>55</v>
      </c>
      <c r="R608" t="s">
        <v>62</v>
      </c>
      <c r="S608">
        <f t="shared" si="45"/>
        <v>2022</v>
      </c>
      <c r="T608" t="str">
        <f t="shared" si="46"/>
        <v>Aug</v>
      </c>
      <c r="U608">
        <f t="shared" si="47"/>
        <v>3</v>
      </c>
      <c r="V608">
        <f t="shared" si="48"/>
        <v>8</v>
      </c>
      <c r="W608" s="9">
        <f t="shared" si="49"/>
        <v>2.2382573179033356</v>
      </c>
    </row>
    <row r="609" spans="1:23">
      <c r="A609">
        <v>10608</v>
      </c>
      <c r="B609" s="5">
        <v>44804</v>
      </c>
      <c r="C609" s="5">
        <v>44807</v>
      </c>
      <c r="D609" s="5">
        <v>44808</v>
      </c>
      <c r="E609" t="s">
        <v>20</v>
      </c>
      <c r="F609" t="s">
        <v>22</v>
      </c>
      <c r="G609" t="s">
        <v>27</v>
      </c>
      <c r="H609" t="s">
        <v>29</v>
      </c>
      <c r="I609" t="s">
        <v>36</v>
      </c>
      <c r="J609" t="s">
        <v>41</v>
      </c>
      <c r="K609" t="s">
        <v>45</v>
      </c>
      <c r="L609" t="s">
        <v>53</v>
      </c>
      <c r="M609" s="7">
        <v>19621</v>
      </c>
      <c r="N609">
        <v>0.06</v>
      </c>
      <c r="O609" s="7">
        <v>3808</v>
      </c>
      <c r="P609">
        <v>19</v>
      </c>
      <c r="Q609" t="s">
        <v>57</v>
      </c>
      <c r="R609" t="s">
        <v>59</v>
      </c>
      <c r="S609">
        <f t="shared" si="45"/>
        <v>2022</v>
      </c>
      <c r="T609" t="str">
        <f t="shared" si="46"/>
        <v>Aug</v>
      </c>
      <c r="U609">
        <f t="shared" si="47"/>
        <v>3</v>
      </c>
      <c r="V609">
        <f t="shared" si="48"/>
        <v>4</v>
      </c>
      <c r="W609" s="9">
        <f t="shared" si="49"/>
        <v>0.19407777381377095</v>
      </c>
    </row>
    <row r="610" spans="1:23">
      <c r="A610">
        <v>10609</v>
      </c>
      <c r="B610" s="5">
        <v>44805</v>
      </c>
      <c r="C610" s="5">
        <v>44812</v>
      </c>
      <c r="D610" s="5">
        <v>44816</v>
      </c>
      <c r="E610" t="s">
        <v>21</v>
      </c>
      <c r="F610" t="s">
        <v>22</v>
      </c>
      <c r="G610" t="s">
        <v>25</v>
      </c>
      <c r="H610" t="s">
        <v>30</v>
      </c>
      <c r="I610" t="s">
        <v>34</v>
      </c>
      <c r="J610" t="s">
        <v>41</v>
      </c>
      <c r="K610" t="s">
        <v>44</v>
      </c>
      <c r="L610" t="s">
        <v>51</v>
      </c>
      <c r="M610" s="7">
        <v>3868</v>
      </c>
      <c r="N610">
        <v>0.13</v>
      </c>
      <c r="O610" s="7">
        <v>5596</v>
      </c>
      <c r="P610">
        <v>22</v>
      </c>
      <c r="Q610" t="s">
        <v>54</v>
      </c>
      <c r="R610" t="s">
        <v>61</v>
      </c>
      <c r="S610">
        <f t="shared" si="45"/>
        <v>2022</v>
      </c>
      <c r="T610" t="str">
        <f t="shared" si="46"/>
        <v>Sep</v>
      </c>
      <c r="U610">
        <f t="shared" si="47"/>
        <v>7</v>
      </c>
      <c r="V610">
        <f t="shared" si="48"/>
        <v>11</v>
      </c>
      <c r="W610" s="9">
        <f t="shared" si="49"/>
        <v>1.4467425025853153</v>
      </c>
    </row>
    <row r="611" spans="1:23">
      <c r="A611">
        <v>10610</v>
      </c>
      <c r="B611" s="5">
        <v>44806</v>
      </c>
      <c r="C611" s="5">
        <v>44809</v>
      </c>
      <c r="D611" s="5">
        <v>44812</v>
      </c>
      <c r="E611" t="s">
        <v>19</v>
      </c>
      <c r="F611" t="s">
        <v>22</v>
      </c>
      <c r="G611" t="s">
        <v>23</v>
      </c>
      <c r="H611" t="s">
        <v>33</v>
      </c>
      <c r="I611" t="s">
        <v>34</v>
      </c>
      <c r="J611" t="s">
        <v>37</v>
      </c>
      <c r="K611" t="s">
        <v>50</v>
      </c>
      <c r="L611" t="s">
        <v>51</v>
      </c>
      <c r="M611" s="7">
        <v>52969</v>
      </c>
      <c r="N611">
        <v>0.04</v>
      </c>
      <c r="O611" s="7">
        <v>17857</v>
      </c>
      <c r="P611">
        <v>15</v>
      </c>
      <c r="Q611" t="s">
        <v>57</v>
      </c>
      <c r="R611" t="s">
        <v>62</v>
      </c>
      <c r="S611">
        <f t="shared" si="45"/>
        <v>2022</v>
      </c>
      <c r="T611" t="str">
        <f t="shared" si="46"/>
        <v>Sep</v>
      </c>
      <c r="U611">
        <f t="shared" si="47"/>
        <v>3</v>
      </c>
      <c r="V611">
        <f t="shared" si="48"/>
        <v>6</v>
      </c>
      <c r="W611" s="9">
        <f t="shared" si="49"/>
        <v>0.33712171269988106</v>
      </c>
    </row>
    <row r="612" spans="1:23">
      <c r="A612">
        <v>10611</v>
      </c>
      <c r="B612" s="5">
        <v>44807</v>
      </c>
      <c r="C612" s="5">
        <v>44810</v>
      </c>
      <c r="D612" s="5">
        <v>44812</v>
      </c>
      <c r="E612" t="s">
        <v>19</v>
      </c>
      <c r="F612" t="s">
        <v>22</v>
      </c>
      <c r="G612" t="s">
        <v>24</v>
      </c>
      <c r="H612" t="s">
        <v>31</v>
      </c>
      <c r="I612" t="s">
        <v>35</v>
      </c>
      <c r="J612" t="s">
        <v>43</v>
      </c>
      <c r="K612" t="s">
        <v>48</v>
      </c>
      <c r="L612" t="s">
        <v>53</v>
      </c>
      <c r="M612" s="7">
        <v>13846</v>
      </c>
      <c r="N612">
        <v>0.37</v>
      </c>
      <c r="O612" s="7">
        <v>4427</v>
      </c>
      <c r="P612">
        <v>13</v>
      </c>
      <c r="Q612" t="s">
        <v>54</v>
      </c>
      <c r="R612" t="s">
        <v>62</v>
      </c>
      <c r="S612">
        <f t="shared" si="45"/>
        <v>2022</v>
      </c>
      <c r="T612" t="str">
        <f t="shared" si="46"/>
        <v>Sep</v>
      </c>
      <c r="U612">
        <f t="shared" si="47"/>
        <v>3</v>
      </c>
      <c r="V612">
        <f t="shared" si="48"/>
        <v>5</v>
      </c>
      <c r="W612" s="9">
        <f t="shared" si="49"/>
        <v>0.31973133034811496</v>
      </c>
    </row>
    <row r="613" spans="1:23">
      <c r="A613">
        <v>10612</v>
      </c>
      <c r="B613" s="5">
        <v>44808</v>
      </c>
      <c r="C613" s="5">
        <v>44811</v>
      </c>
      <c r="D613" s="5">
        <v>44815</v>
      </c>
      <c r="E613" t="s">
        <v>21</v>
      </c>
      <c r="F613" t="s">
        <v>22</v>
      </c>
      <c r="G613" t="s">
        <v>28</v>
      </c>
      <c r="H613" t="s">
        <v>33</v>
      </c>
      <c r="I613" t="s">
        <v>34</v>
      </c>
      <c r="J613" t="s">
        <v>38</v>
      </c>
      <c r="K613" t="s">
        <v>45</v>
      </c>
      <c r="L613" t="s">
        <v>52</v>
      </c>
      <c r="M613" s="7">
        <v>22031</v>
      </c>
      <c r="N613">
        <v>0.28000000000000003</v>
      </c>
      <c r="O613" s="7">
        <v>7061</v>
      </c>
      <c r="P613">
        <v>17</v>
      </c>
      <c r="Q613" t="s">
        <v>58</v>
      </c>
      <c r="R613" t="s">
        <v>60</v>
      </c>
      <c r="S613">
        <f t="shared" si="45"/>
        <v>2022</v>
      </c>
      <c r="T613" t="str">
        <f t="shared" si="46"/>
        <v>Sep</v>
      </c>
      <c r="U613">
        <f t="shared" si="47"/>
        <v>3</v>
      </c>
      <c r="V613">
        <f t="shared" si="48"/>
        <v>7</v>
      </c>
      <c r="W613" s="9">
        <f t="shared" si="49"/>
        <v>0.32050292769279654</v>
      </c>
    </row>
    <row r="614" spans="1:23">
      <c r="A614">
        <v>10613</v>
      </c>
      <c r="B614" s="5">
        <v>44809</v>
      </c>
      <c r="C614" s="5">
        <v>44812</v>
      </c>
      <c r="D614" s="5">
        <v>44814</v>
      </c>
      <c r="E614" t="s">
        <v>18</v>
      </c>
      <c r="F614" t="s">
        <v>22</v>
      </c>
      <c r="G614" t="s">
        <v>23</v>
      </c>
      <c r="H614" t="s">
        <v>31</v>
      </c>
      <c r="I614" t="s">
        <v>34</v>
      </c>
      <c r="J614" t="s">
        <v>37</v>
      </c>
      <c r="K614" t="s">
        <v>45</v>
      </c>
      <c r="L614" t="s">
        <v>52</v>
      </c>
      <c r="M614" s="7">
        <v>31503</v>
      </c>
      <c r="N614">
        <v>0.23</v>
      </c>
      <c r="O614" s="7">
        <v>3117</v>
      </c>
      <c r="P614">
        <v>9</v>
      </c>
      <c r="Q614" t="s">
        <v>58</v>
      </c>
      <c r="R614" t="s">
        <v>59</v>
      </c>
      <c r="S614">
        <f t="shared" si="45"/>
        <v>2022</v>
      </c>
      <c r="T614" t="str">
        <f t="shared" si="46"/>
        <v>Sep</v>
      </c>
      <c r="U614">
        <f t="shared" si="47"/>
        <v>3</v>
      </c>
      <c r="V614">
        <f t="shared" si="48"/>
        <v>5</v>
      </c>
      <c r="W614" s="9">
        <f t="shared" si="49"/>
        <v>9.8942957813541565E-2</v>
      </c>
    </row>
    <row r="615" spans="1:23">
      <c r="A615">
        <v>10614</v>
      </c>
      <c r="B615" s="5">
        <v>44810</v>
      </c>
      <c r="C615" s="5">
        <v>44817</v>
      </c>
      <c r="D615" s="5">
        <v>44819</v>
      </c>
      <c r="E615" t="s">
        <v>18</v>
      </c>
      <c r="F615" t="s">
        <v>22</v>
      </c>
      <c r="G615" t="s">
        <v>23</v>
      </c>
      <c r="H615" t="s">
        <v>25</v>
      </c>
      <c r="I615" t="s">
        <v>36</v>
      </c>
      <c r="J615" t="s">
        <v>40</v>
      </c>
      <c r="K615" t="s">
        <v>47</v>
      </c>
      <c r="L615" t="s">
        <v>52</v>
      </c>
      <c r="M615" s="7">
        <v>60595</v>
      </c>
      <c r="N615">
        <v>0.27</v>
      </c>
      <c r="O615" s="7">
        <v>-605</v>
      </c>
      <c r="P615">
        <v>7</v>
      </c>
      <c r="Q615" t="s">
        <v>54</v>
      </c>
      <c r="R615" t="s">
        <v>60</v>
      </c>
      <c r="S615">
        <f t="shared" si="45"/>
        <v>2022</v>
      </c>
      <c r="T615" t="str">
        <f t="shared" si="46"/>
        <v>Sep</v>
      </c>
      <c r="U615">
        <f t="shared" si="47"/>
        <v>7</v>
      </c>
      <c r="V615">
        <f t="shared" si="48"/>
        <v>9</v>
      </c>
      <c r="W615" s="9">
        <f t="shared" si="49"/>
        <v>-9.9843221387903285E-3</v>
      </c>
    </row>
    <row r="616" spans="1:23">
      <c r="A616">
        <v>10615</v>
      </c>
      <c r="B616" s="5">
        <v>44811</v>
      </c>
      <c r="C616" s="5">
        <v>44817</v>
      </c>
      <c r="D616" s="5">
        <v>44822</v>
      </c>
      <c r="E616" t="s">
        <v>21</v>
      </c>
      <c r="F616" t="s">
        <v>22</v>
      </c>
      <c r="G616" t="s">
        <v>23</v>
      </c>
      <c r="H616" t="s">
        <v>25</v>
      </c>
      <c r="I616" t="s">
        <v>35</v>
      </c>
      <c r="J616" t="s">
        <v>38</v>
      </c>
      <c r="K616" t="s">
        <v>49</v>
      </c>
      <c r="L616" t="s">
        <v>51</v>
      </c>
      <c r="M616" s="7">
        <v>28683</v>
      </c>
      <c r="N616">
        <v>0.04</v>
      </c>
      <c r="O616" s="7">
        <v>-1376</v>
      </c>
      <c r="P616">
        <v>14</v>
      </c>
      <c r="Q616" t="s">
        <v>55</v>
      </c>
      <c r="R616" t="s">
        <v>61</v>
      </c>
      <c r="S616">
        <f t="shared" si="45"/>
        <v>2022</v>
      </c>
      <c r="T616" t="str">
        <f t="shared" si="46"/>
        <v>Sep</v>
      </c>
      <c r="U616">
        <f t="shared" si="47"/>
        <v>6</v>
      </c>
      <c r="V616">
        <f t="shared" si="48"/>
        <v>11</v>
      </c>
      <c r="W616" s="9">
        <f t="shared" si="49"/>
        <v>-4.797266673639438E-2</v>
      </c>
    </row>
    <row r="617" spans="1:23">
      <c r="A617">
        <v>10616</v>
      </c>
      <c r="B617" s="5">
        <v>44812</v>
      </c>
      <c r="C617" s="5">
        <v>44819</v>
      </c>
      <c r="D617" s="5">
        <v>44822</v>
      </c>
      <c r="E617" t="s">
        <v>19</v>
      </c>
      <c r="F617" t="s">
        <v>22</v>
      </c>
      <c r="G617" t="s">
        <v>27</v>
      </c>
      <c r="H617" t="s">
        <v>25</v>
      </c>
      <c r="I617" t="s">
        <v>36</v>
      </c>
      <c r="J617" t="s">
        <v>41</v>
      </c>
      <c r="K617" t="s">
        <v>50</v>
      </c>
      <c r="L617" t="s">
        <v>53</v>
      </c>
      <c r="M617" s="7">
        <v>43858</v>
      </c>
      <c r="N617">
        <v>0.03</v>
      </c>
      <c r="O617" s="7">
        <v>14134</v>
      </c>
      <c r="P617">
        <v>24</v>
      </c>
      <c r="Q617" t="s">
        <v>58</v>
      </c>
      <c r="R617" t="s">
        <v>61</v>
      </c>
      <c r="S617">
        <f t="shared" si="45"/>
        <v>2022</v>
      </c>
      <c r="T617" t="str">
        <f t="shared" si="46"/>
        <v>Sep</v>
      </c>
      <c r="U617">
        <f t="shared" si="47"/>
        <v>7</v>
      </c>
      <c r="V617">
        <f t="shared" si="48"/>
        <v>10</v>
      </c>
      <c r="W617" s="9">
        <f t="shared" si="49"/>
        <v>0.32226731725112862</v>
      </c>
    </row>
    <row r="618" spans="1:23">
      <c r="A618">
        <v>10617</v>
      </c>
      <c r="B618" s="5">
        <v>44813</v>
      </c>
      <c r="C618" s="5">
        <v>44818</v>
      </c>
      <c r="D618" s="5">
        <v>44823</v>
      </c>
      <c r="E618" t="s">
        <v>20</v>
      </c>
      <c r="F618" t="s">
        <v>22</v>
      </c>
      <c r="G618" t="s">
        <v>27</v>
      </c>
      <c r="H618" t="s">
        <v>30</v>
      </c>
      <c r="I618" t="s">
        <v>35</v>
      </c>
      <c r="J618" t="s">
        <v>43</v>
      </c>
      <c r="K618" t="s">
        <v>44</v>
      </c>
      <c r="L618" t="s">
        <v>53</v>
      </c>
      <c r="M618" s="7">
        <v>61133</v>
      </c>
      <c r="N618">
        <v>0.27</v>
      </c>
      <c r="O618" s="7">
        <v>6901</v>
      </c>
      <c r="P618">
        <v>9</v>
      </c>
      <c r="Q618" t="s">
        <v>55</v>
      </c>
      <c r="R618" t="s">
        <v>61</v>
      </c>
      <c r="S618">
        <f t="shared" si="45"/>
        <v>2022</v>
      </c>
      <c r="T618" t="str">
        <f t="shared" si="46"/>
        <v>Sep</v>
      </c>
      <c r="U618">
        <f t="shared" si="47"/>
        <v>5</v>
      </c>
      <c r="V618">
        <f t="shared" si="48"/>
        <v>10</v>
      </c>
      <c r="W618" s="9">
        <f t="shared" si="49"/>
        <v>0.11288502118332161</v>
      </c>
    </row>
    <row r="619" spans="1:23">
      <c r="A619">
        <v>10618</v>
      </c>
      <c r="B619" s="5">
        <v>44814</v>
      </c>
      <c r="C619" s="5">
        <v>44819</v>
      </c>
      <c r="D619" s="5">
        <v>44823</v>
      </c>
      <c r="E619" t="s">
        <v>18</v>
      </c>
      <c r="F619" t="s">
        <v>22</v>
      </c>
      <c r="G619" t="s">
        <v>28</v>
      </c>
      <c r="H619" t="s">
        <v>29</v>
      </c>
      <c r="I619" t="s">
        <v>36</v>
      </c>
      <c r="J619" t="s">
        <v>41</v>
      </c>
      <c r="K619" t="s">
        <v>44</v>
      </c>
      <c r="L619" t="s">
        <v>51</v>
      </c>
      <c r="M619" s="7">
        <v>66135</v>
      </c>
      <c r="N619">
        <v>0.05</v>
      </c>
      <c r="O619" s="7">
        <v>12717</v>
      </c>
      <c r="P619">
        <v>6</v>
      </c>
      <c r="Q619" t="s">
        <v>56</v>
      </c>
      <c r="R619" t="s">
        <v>59</v>
      </c>
      <c r="S619">
        <f t="shared" si="45"/>
        <v>2022</v>
      </c>
      <c r="T619" t="str">
        <f t="shared" si="46"/>
        <v>Sep</v>
      </c>
      <c r="U619">
        <f t="shared" si="47"/>
        <v>5</v>
      </c>
      <c r="V619">
        <f t="shared" si="48"/>
        <v>9</v>
      </c>
      <c r="W619" s="9">
        <f t="shared" si="49"/>
        <v>0.19228850079383081</v>
      </c>
    </row>
    <row r="620" spans="1:23">
      <c r="A620">
        <v>10619</v>
      </c>
      <c r="B620" s="5">
        <v>44815</v>
      </c>
      <c r="C620" s="5">
        <v>44817</v>
      </c>
      <c r="D620" s="5">
        <v>44819</v>
      </c>
      <c r="E620" t="s">
        <v>20</v>
      </c>
      <c r="F620" t="s">
        <v>22</v>
      </c>
      <c r="G620" t="s">
        <v>23</v>
      </c>
      <c r="H620" t="s">
        <v>32</v>
      </c>
      <c r="I620" t="s">
        <v>35</v>
      </c>
      <c r="J620" t="s">
        <v>41</v>
      </c>
      <c r="K620" t="s">
        <v>48</v>
      </c>
      <c r="L620" t="s">
        <v>53</v>
      </c>
      <c r="M620" s="7">
        <v>68999</v>
      </c>
      <c r="N620">
        <v>0.11</v>
      </c>
      <c r="O620" s="7">
        <v>-146</v>
      </c>
      <c r="P620">
        <v>11</v>
      </c>
      <c r="Q620" t="s">
        <v>58</v>
      </c>
      <c r="R620" t="s">
        <v>62</v>
      </c>
      <c r="S620">
        <f t="shared" si="45"/>
        <v>2022</v>
      </c>
      <c r="T620" t="str">
        <f t="shared" si="46"/>
        <v>Sep</v>
      </c>
      <c r="U620">
        <f t="shared" si="47"/>
        <v>2</v>
      </c>
      <c r="V620">
        <f t="shared" si="48"/>
        <v>4</v>
      </c>
      <c r="W620" s="9">
        <f t="shared" si="49"/>
        <v>-2.1159726952564529E-3</v>
      </c>
    </row>
    <row r="621" spans="1:23">
      <c r="A621">
        <v>10620</v>
      </c>
      <c r="B621" s="5">
        <v>44816</v>
      </c>
      <c r="C621" s="5">
        <v>44820</v>
      </c>
      <c r="D621" s="5">
        <v>44825</v>
      </c>
      <c r="E621" t="s">
        <v>21</v>
      </c>
      <c r="F621" t="s">
        <v>22</v>
      </c>
      <c r="G621" t="s">
        <v>23</v>
      </c>
      <c r="H621" t="s">
        <v>30</v>
      </c>
      <c r="I621" t="s">
        <v>35</v>
      </c>
      <c r="J621" t="s">
        <v>38</v>
      </c>
      <c r="K621" t="s">
        <v>48</v>
      </c>
      <c r="L621" t="s">
        <v>52</v>
      </c>
      <c r="M621" s="7">
        <v>53801</v>
      </c>
      <c r="N621">
        <v>0.18</v>
      </c>
      <c r="O621" s="7">
        <v>657</v>
      </c>
      <c r="P621">
        <v>24</v>
      </c>
      <c r="Q621" t="s">
        <v>57</v>
      </c>
      <c r="R621" t="s">
        <v>61</v>
      </c>
      <c r="S621">
        <f t="shared" si="45"/>
        <v>2022</v>
      </c>
      <c r="T621" t="str">
        <f t="shared" si="46"/>
        <v>Sep</v>
      </c>
      <c r="U621">
        <f t="shared" si="47"/>
        <v>4</v>
      </c>
      <c r="V621">
        <f t="shared" si="48"/>
        <v>9</v>
      </c>
      <c r="W621" s="9">
        <f t="shared" si="49"/>
        <v>1.2211668928086838E-2</v>
      </c>
    </row>
    <row r="622" spans="1:23">
      <c r="A622">
        <v>10621</v>
      </c>
      <c r="B622" s="5">
        <v>44817</v>
      </c>
      <c r="C622" s="5">
        <v>44823</v>
      </c>
      <c r="D622" s="5">
        <v>44828</v>
      </c>
      <c r="E622" t="s">
        <v>20</v>
      </c>
      <c r="F622" t="s">
        <v>22</v>
      </c>
      <c r="G622" t="s">
        <v>27</v>
      </c>
      <c r="H622" t="s">
        <v>33</v>
      </c>
      <c r="I622" t="s">
        <v>34</v>
      </c>
      <c r="J622" t="s">
        <v>38</v>
      </c>
      <c r="K622" t="s">
        <v>48</v>
      </c>
      <c r="L622" t="s">
        <v>53</v>
      </c>
      <c r="M622" s="7">
        <v>28325</v>
      </c>
      <c r="N622">
        <v>0.27</v>
      </c>
      <c r="O622" s="7">
        <v>2557</v>
      </c>
      <c r="P622">
        <v>15</v>
      </c>
      <c r="Q622" t="s">
        <v>55</v>
      </c>
      <c r="R622" t="s">
        <v>61</v>
      </c>
      <c r="S622">
        <f t="shared" si="45"/>
        <v>2022</v>
      </c>
      <c r="T622" t="str">
        <f t="shared" si="46"/>
        <v>Sep</v>
      </c>
      <c r="U622">
        <f t="shared" si="47"/>
        <v>6</v>
      </c>
      <c r="V622">
        <f t="shared" si="48"/>
        <v>11</v>
      </c>
      <c r="W622" s="9">
        <f t="shared" si="49"/>
        <v>9.027360988526037E-2</v>
      </c>
    </row>
    <row r="623" spans="1:23">
      <c r="A623">
        <v>10622</v>
      </c>
      <c r="B623" s="5">
        <v>44818</v>
      </c>
      <c r="C623" s="5">
        <v>44825</v>
      </c>
      <c r="D623" s="5">
        <v>44828</v>
      </c>
      <c r="E623" t="s">
        <v>19</v>
      </c>
      <c r="F623" t="s">
        <v>22</v>
      </c>
      <c r="G623" t="s">
        <v>26</v>
      </c>
      <c r="H623" t="s">
        <v>31</v>
      </c>
      <c r="I623" t="s">
        <v>35</v>
      </c>
      <c r="J623" t="s">
        <v>39</v>
      </c>
      <c r="K623" t="s">
        <v>46</v>
      </c>
      <c r="L623" t="s">
        <v>52</v>
      </c>
      <c r="M623" s="7">
        <v>18828</v>
      </c>
      <c r="N623">
        <v>0.28000000000000003</v>
      </c>
      <c r="O623" s="7">
        <v>-366</v>
      </c>
      <c r="P623">
        <v>1</v>
      </c>
      <c r="Q623" t="s">
        <v>57</v>
      </c>
      <c r="R623" t="s">
        <v>60</v>
      </c>
      <c r="S623">
        <f t="shared" si="45"/>
        <v>2022</v>
      </c>
      <c r="T623" t="str">
        <f t="shared" si="46"/>
        <v>Sep</v>
      </c>
      <c r="U623">
        <f t="shared" si="47"/>
        <v>7</v>
      </c>
      <c r="V623">
        <f t="shared" si="48"/>
        <v>10</v>
      </c>
      <c r="W623" s="9">
        <f t="shared" si="49"/>
        <v>-1.9439133205863608E-2</v>
      </c>
    </row>
    <row r="624" spans="1:23">
      <c r="A624">
        <v>10623</v>
      </c>
      <c r="B624" s="5">
        <v>44819</v>
      </c>
      <c r="C624" s="5">
        <v>44822</v>
      </c>
      <c r="D624" s="5">
        <v>44827</v>
      </c>
      <c r="E624" t="s">
        <v>19</v>
      </c>
      <c r="F624" t="s">
        <v>22</v>
      </c>
      <c r="G624" t="s">
        <v>23</v>
      </c>
      <c r="H624" t="s">
        <v>30</v>
      </c>
      <c r="I624" t="s">
        <v>34</v>
      </c>
      <c r="J624" t="s">
        <v>37</v>
      </c>
      <c r="K624" t="s">
        <v>44</v>
      </c>
      <c r="L624" t="s">
        <v>51</v>
      </c>
      <c r="M624" s="7">
        <v>50078</v>
      </c>
      <c r="N624">
        <v>0.1</v>
      </c>
      <c r="O624" s="7">
        <v>14517</v>
      </c>
      <c r="P624">
        <v>8</v>
      </c>
      <c r="Q624" t="s">
        <v>58</v>
      </c>
      <c r="R624" t="s">
        <v>59</v>
      </c>
      <c r="S624">
        <f t="shared" si="45"/>
        <v>2022</v>
      </c>
      <c r="T624" t="str">
        <f t="shared" si="46"/>
        <v>Sep</v>
      </c>
      <c r="U624">
        <f t="shared" si="47"/>
        <v>3</v>
      </c>
      <c r="V624">
        <f t="shared" si="48"/>
        <v>8</v>
      </c>
      <c r="W624" s="9">
        <f t="shared" si="49"/>
        <v>0.28988777507088942</v>
      </c>
    </row>
    <row r="625" spans="1:23">
      <c r="A625">
        <v>10624</v>
      </c>
      <c r="B625" s="5">
        <v>44820</v>
      </c>
      <c r="C625" s="5">
        <v>44823</v>
      </c>
      <c r="D625" s="5">
        <v>44827</v>
      </c>
      <c r="E625" t="s">
        <v>21</v>
      </c>
      <c r="F625" t="s">
        <v>22</v>
      </c>
      <c r="G625" t="s">
        <v>24</v>
      </c>
      <c r="H625" t="s">
        <v>33</v>
      </c>
      <c r="I625" t="s">
        <v>35</v>
      </c>
      <c r="J625" t="s">
        <v>39</v>
      </c>
      <c r="K625" t="s">
        <v>46</v>
      </c>
      <c r="L625" t="s">
        <v>52</v>
      </c>
      <c r="M625" s="7">
        <v>22365</v>
      </c>
      <c r="N625">
        <v>0.35</v>
      </c>
      <c r="O625" s="7">
        <v>15303</v>
      </c>
      <c r="P625">
        <v>12</v>
      </c>
      <c r="Q625" t="s">
        <v>56</v>
      </c>
      <c r="R625" t="s">
        <v>60</v>
      </c>
      <c r="S625">
        <f t="shared" si="45"/>
        <v>2022</v>
      </c>
      <c r="T625" t="str">
        <f t="shared" si="46"/>
        <v>Sep</v>
      </c>
      <c r="U625">
        <f t="shared" si="47"/>
        <v>3</v>
      </c>
      <c r="V625">
        <f t="shared" si="48"/>
        <v>7</v>
      </c>
      <c r="W625" s="9">
        <f t="shared" si="49"/>
        <v>0.68423876592890676</v>
      </c>
    </row>
    <row r="626" spans="1:23">
      <c r="A626">
        <v>10625</v>
      </c>
      <c r="B626" s="5">
        <v>44821</v>
      </c>
      <c r="C626" s="5">
        <v>44825</v>
      </c>
      <c r="D626" s="5">
        <v>44826</v>
      </c>
      <c r="E626" t="s">
        <v>18</v>
      </c>
      <c r="F626" t="s">
        <v>22</v>
      </c>
      <c r="G626" t="s">
        <v>27</v>
      </c>
      <c r="H626" t="s">
        <v>33</v>
      </c>
      <c r="I626" t="s">
        <v>35</v>
      </c>
      <c r="J626" t="s">
        <v>39</v>
      </c>
      <c r="K626" t="s">
        <v>50</v>
      </c>
      <c r="L626" t="s">
        <v>52</v>
      </c>
      <c r="M626" s="7">
        <v>29755</v>
      </c>
      <c r="N626">
        <v>0.18</v>
      </c>
      <c r="O626" s="7">
        <v>2246</v>
      </c>
      <c r="P626">
        <v>11</v>
      </c>
      <c r="Q626" t="s">
        <v>54</v>
      </c>
      <c r="R626" t="s">
        <v>59</v>
      </c>
      <c r="S626">
        <f t="shared" si="45"/>
        <v>2022</v>
      </c>
      <c r="T626" t="str">
        <f t="shared" si="46"/>
        <v>Sep</v>
      </c>
      <c r="U626">
        <f t="shared" si="47"/>
        <v>4</v>
      </c>
      <c r="V626">
        <f t="shared" si="48"/>
        <v>5</v>
      </c>
      <c r="W626" s="9">
        <f t="shared" si="49"/>
        <v>7.548311208200302E-2</v>
      </c>
    </row>
    <row r="627" spans="1:23">
      <c r="A627">
        <v>10626</v>
      </c>
      <c r="B627" s="5">
        <v>44822</v>
      </c>
      <c r="C627" s="5">
        <v>44828</v>
      </c>
      <c r="D627" s="5">
        <v>44829</v>
      </c>
      <c r="E627" t="s">
        <v>19</v>
      </c>
      <c r="F627" t="s">
        <v>22</v>
      </c>
      <c r="G627" t="s">
        <v>24</v>
      </c>
      <c r="H627" t="s">
        <v>29</v>
      </c>
      <c r="I627" t="s">
        <v>35</v>
      </c>
      <c r="J627" t="s">
        <v>37</v>
      </c>
      <c r="K627" t="s">
        <v>45</v>
      </c>
      <c r="L627" t="s">
        <v>52</v>
      </c>
      <c r="M627" s="7">
        <v>73750</v>
      </c>
      <c r="N627">
        <v>0.16</v>
      </c>
      <c r="O627" s="7">
        <v>12993</v>
      </c>
      <c r="P627">
        <v>22</v>
      </c>
      <c r="Q627" t="s">
        <v>56</v>
      </c>
      <c r="R627" t="s">
        <v>61</v>
      </c>
      <c r="S627">
        <f t="shared" si="45"/>
        <v>2022</v>
      </c>
      <c r="T627" t="str">
        <f t="shared" si="46"/>
        <v>Sep</v>
      </c>
      <c r="U627">
        <f t="shared" si="47"/>
        <v>6</v>
      </c>
      <c r="V627">
        <f t="shared" si="48"/>
        <v>7</v>
      </c>
      <c r="W627" s="9">
        <f t="shared" si="49"/>
        <v>0.17617627118644069</v>
      </c>
    </row>
    <row r="628" spans="1:23">
      <c r="A628">
        <v>10627</v>
      </c>
      <c r="B628" s="5">
        <v>44823</v>
      </c>
      <c r="C628" s="5">
        <v>44828</v>
      </c>
      <c r="D628" s="5">
        <v>44832</v>
      </c>
      <c r="E628" t="s">
        <v>18</v>
      </c>
      <c r="F628" t="s">
        <v>22</v>
      </c>
      <c r="G628" t="s">
        <v>23</v>
      </c>
      <c r="H628" t="s">
        <v>25</v>
      </c>
      <c r="I628" t="s">
        <v>34</v>
      </c>
      <c r="J628" t="s">
        <v>38</v>
      </c>
      <c r="K628" t="s">
        <v>44</v>
      </c>
      <c r="L628" t="s">
        <v>51</v>
      </c>
      <c r="M628" s="7">
        <v>24368</v>
      </c>
      <c r="N628">
        <v>0.1</v>
      </c>
      <c r="O628" s="7">
        <v>3968</v>
      </c>
      <c r="P628">
        <v>6</v>
      </c>
      <c r="Q628" t="s">
        <v>58</v>
      </c>
      <c r="R628" t="s">
        <v>62</v>
      </c>
      <c r="S628">
        <f t="shared" si="45"/>
        <v>2022</v>
      </c>
      <c r="T628" t="str">
        <f t="shared" si="46"/>
        <v>Sep</v>
      </c>
      <c r="U628">
        <f t="shared" si="47"/>
        <v>5</v>
      </c>
      <c r="V628">
        <f t="shared" si="48"/>
        <v>9</v>
      </c>
      <c r="W628" s="9">
        <f t="shared" si="49"/>
        <v>0.16283650689428758</v>
      </c>
    </row>
    <row r="629" spans="1:23">
      <c r="A629">
        <v>10628</v>
      </c>
      <c r="B629" s="5">
        <v>44824</v>
      </c>
      <c r="C629" s="5">
        <v>44827</v>
      </c>
      <c r="D629" s="5">
        <v>44832</v>
      </c>
      <c r="E629" t="s">
        <v>18</v>
      </c>
      <c r="F629" t="s">
        <v>22</v>
      </c>
      <c r="G629" t="s">
        <v>26</v>
      </c>
      <c r="H629" t="s">
        <v>31</v>
      </c>
      <c r="I629" t="s">
        <v>36</v>
      </c>
      <c r="J629" t="s">
        <v>38</v>
      </c>
      <c r="K629" t="s">
        <v>48</v>
      </c>
      <c r="L629" t="s">
        <v>52</v>
      </c>
      <c r="M629" s="7">
        <v>63149</v>
      </c>
      <c r="N629">
        <v>0.13</v>
      </c>
      <c r="O629" s="7">
        <v>1866</v>
      </c>
      <c r="P629">
        <v>15</v>
      </c>
      <c r="Q629" t="s">
        <v>55</v>
      </c>
      <c r="R629" t="s">
        <v>61</v>
      </c>
      <c r="S629">
        <f t="shared" si="45"/>
        <v>2022</v>
      </c>
      <c r="T629" t="str">
        <f t="shared" si="46"/>
        <v>Sep</v>
      </c>
      <c r="U629">
        <f t="shared" si="47"/>
        <v>3</v>
      </c>
      <c r="V629">
        <f t="shared" si="48"/>
        <v>8</v>
      </c>
      <c r="W629" s="9">
        <f t="shared" si="49"/>
        <v>2.9549161506912225E-2</v>
      </c>
    </row>
    <row r="630" spans="1:23">
      <c r="A630">
        <v>10629</v>
      </c>
      <c r="B630" s="5">
        <v>44825</v>
      </c>
      <c r="C630" s="5">
        <v>44829</v>
      </c>
      <c r="D630" s="5">
        <v>44834</v>
      </c>
      <c r="E630" t="s">
        <v>19</v>
      </c>
      <c r="F630" t="s">
        <v>22</v>
      </c>
      <c r="G630" t="s">
        <v>23</v>
      </c>
      <c r="H630" t="s">
        <v>25</v>
      </c>
      <c r="I630" t="s">
        <v>36</v>
      </c>
      <c r="J630" t="s">
        <v>41</v>
      </c>
      <c r="K630" t="s">
        <v>50</v>
      </c>
      <c r="L630" t="s">
        <v>51</v>
      </c>
      <c r="M630" s="7">
        <v>58632</v>
      </c>
      <c r="N630">
        <v>0.21</v>
      </c>
      <c r="O630" s="7">
        <v>778</v>
      </c>
      <c r="P630">
        <v>5</v>
      </c>
      <c r="Q630" t="s">
        <v>55</v>
      </c>
      <c r="R630" t="s">
        <v>60</v>
      </c>
      <c r="S630">
        <f t="shared" si="45"/>
        <v>2022</v>
      </c>
      <c r="T630" t="str">
        <f t="shared" si="46"/>
        <v>Sep</v>
      </c>
      <c r="U630">
        <f t="shared" si="47"/>
        <v>4</v>
      </c>
      <c r="V630">
        <f t="shared" si="48"/>
        <v>9</v>
      </c>
      <c r="W630" s="9">
        <f t="shared" si="49"/>
        <v>1.3269204529949516E-2</v>
      </c>
    </row>
    <row r="631" spans="1:23">
      <c r="A631">
        <v>10630</v>
      </c>
      <c r="B631" s="5">
        <v>44826</v>
      </c>
      <c r="C631" s="5">
        <v>44833</v>
      </c>
      <c r="D631" s="5">
        <v>44834</v>
      </c>
      <c r="E631" t="s">
        <v>18</v>
      </c>
      <c r="F631" t="s">
        <v>22</v>
      </c>
      <c r="G631" t="s">
        <v>27</v>
      </c>
      <c r="H631" t="s">
        <v>32</v>
      </c>
      <c r="I631" t="s">
        <v>35</v>
      </c>
      <c r="J631" t="s">
        <v>41</v>
      </c>
      <c r="K631" t="s">
        <v>48</v>
      </c>
      <c r="L631" t="s">
        <v>52</v>
      </c>
      <c r="M631" s="7">
        <v>34448</v>
      </c>
      <c r="N631">
        <v>0.08</v>
      </c>
      <c r="O631" s="7">
        <v>4475</v>
      </c>
      <c r="P631">
        <v>16</v>
      </c>
      <c r="Q631" t="s">
        <v>54</v>
      </c>
      <c r="R631" t="s">
        <v>59</v>
      </c>
      <c r="S631">
        <f t="shared" si="45"/>
        <v>2022</v>
      </c>
      <c r="T631" t="str">
        <f t="shared" si="46"/>
        <v>Sep</v>
      </c>
      <c r="U631">
        <f t="shared" si="47"/>
        <v>7</v>
      </c>
      <c r="V631">
        <f t="shared" si="48"/>
        <v>8</v>
      </c>
      <c r="W631" s="9">
        <f t="shared" si="49"/>
        <v>0.12990594519275431</v>
      </c>
    </row>
    <row r="632" spans="1:23">
      <c r="A632">
        <v>10631</v>
      </c>
      <c r="B632" s="5">
        <v>44827</v>
      </c>
      <c r="C632" s="5">
        <v>44832</v>
      </c>
      <c r="D632" s="5">
        <v>44835</v>
      </c>
      <c r="E632" t="s">
        <v>20</v>
      </c>
      <c r="F632" t="s">
        <v>22</v>
      </c>
      <c r="G632" t="s">
        <v>28</v>
      </c>
      <c r="H632" t="s">
        <v>25</v>
      </c>
      <c r="I632" t="s">
        <v>34</v>
      </c>
      <c r="J632" t="s">
        <v>43</v>
      </c>
      <c r="K632" t="s">
        <v>49</v>
      </c>
      <c r="L632" t="s">
        <v>53</v>
      </c>
      <c r="M632" s="7">
        <v>4838</v>
      </c>
      <c r="N632">
        <v>0.25</v>
      </c>
      <c r="O632" s="7">
        <v>10274</v>
      </c>
      <c r="P632">
        <v>10</v>
      </c>
      <c r="Q632" t="s">
        <v>57</v>
      </c>
      <c r="R632" t="s">
        <v>61</v>
      </c>
      <c r="S632">
        <f t="shared" si="45"/>
        <v>2022</v>
      </c>
      <c r="T632" t="str">
        <f t="shared" si="46"/>
        <v>Sep</v>
      </c>
      <c r="U632">
        <f t="shared" si="47"/>
        <v>5</v>
      </c>
      <c r="V632">
        <f t="shared" si="48"/>
        <v>8</v>
      </c>
      <c r="W632" s="9">
        <f t="shared" si="49"/>
        <v>2.1236047953699875</v>
      </c>
    </row>
    <row r="633" spans="1:23">
      <c r="A633">
        <v>10632</v>
      </c>
      <c r="B633" s="5">
        <v>44828</v>
      </c>
      <c r="C633" s="5">
        <v>44835</v>
      </c>
      <c r="D633" s="5">
        <v>44838</v>
      </c>
      <c r="E633" t="s">
        <v>21</v>
      </c>
      <c r="F633" t="s">
        <v>22</v>
      </c>
      <c r="G633" t="s">
        <v>25</v>
      </c>
      <c r="H633" t="s">
        <v>33</v>
      </c>
      <c r="I633" t="s">
        <v>35</v>
      </c>
      <c r="J633" t="s">
        <v>39</v>
      </c>
      <c r="K633" t="s">
        <v>50</v>
      </c>
      <c r="L633" t="s">
        <v>51</v>
      </c>
      <c r="M633" s="7">
        <v>3780</v>
      </c>
      <c r="N633">
        <v>0.17</v>
      </c>
      <c r="O633" s="7">
        <v>13445</v>
      </c>
      <c r="P633">
        <v>23</v>
      </c>
      <c r="Q633" t="s">
        <v>54</v>
      </c>
      <c r="R633" t="s">
        <v>61</v>
      </c>
      <c r="S633">
        <f t="shared" si="45"/>
        <v>2022</v>
      </c>
      <c r="T633" t="str">
        <f t="shared" si="46"/>
        <v>Sep</v>
      </c>
      <c r="U633">
        <f t="shared" si="47"/>
        <v>7</v>
      </c>
      <c r="V633">
        <f t="shared" si="48"/>
        <v>10</v>
      </c>
      <c r="W633" s="9">
        <f t="shared" si="49"/>
        <v>3.556878306878307</v>
      </c>
    </row>
    <row r="634" spans="1:23">
      <c r="A634">
        <v>10633</v>
      </c>
      <c r="B634" s="5">
        <v>44829</v>
      </c>
      <c r="C634" s="5">
        <v>44831</v>
      </c>
      <c r="D634" s="5">
        <v>44833</v>
      </c>
      <c r="E634" t="s">
        <v>19</v>
      </c>
      <c r="F634" t="s">
        <v>22</v>
      </c>
      <c r="G634" t="s">
        <v>25</v>
      </c>
      <c r="H634" t="s">
        <v>25</v>
      </c>
      <c r="I634" t="s">
        <v>36</v>
      </c>
      <c r="J634" t="s">
        <v>40</v>
      </c>
      <c r="K634" t="s">
        <v>46</v>
      </c>
      <c r="L634" t="s">
        <v>51</v>
      </c>
      <c r="M634" s="7">
        <v>53415</v>
      </c>
      <c r="N634">
        <v>0.27</v>
      </c>
      <c r="O634" s="7">
        <v>2053</v>
      </c>
      <c r="P634">
        <v>24</v>
      </c>
      <c r="Q634" t="s">
        <v>57</v>
      </c>
      <c r="R634" t="s">
        <v>62</v>
      </c>
      <c r="S634">
        <f t="shared" si="45"/>
        <v>2022</v>
      </c>
      <c r="T634" t="str">
        <f t="shared" si="46"/>
        <v>Sep</v>
      </c>
      <c r="U634">
        <f t="shared" si="47"/>
        <v>2</v>
      </c>
      <c r="V634">
        <f t="shared" si="48"/>
        <v>4</v>
      </c>
      <c r="W634" s="9">
        <f t="shared" si="49"/>
        <v>3.8434896564635404E-2</v>
      </c>
    </row>
    <row r="635" spans="1:23">
      <c r="A635">
        <v>10634</v>
      </c>
      <c r="B635" s="5">
        <v>44830</v>
      </c>
      <c r="C635" s="5">
        <v>44834</v>
      </c>
      <c r="D635" s="5">
        <v>44838</v>
      </c>
      <c r="E635" t="s">
        <v>19</v>
      </c>
      <c r="F635" t="s">
        <v>22</v>
      </c>
      <c r="G635" t="s">
        <v>23</v>
      </c>
      <c r="H635" t="s">
        <v>29</v>
      </c>
      <c r="I635" t="s">
        <v>35</v>
      </c>
      <c r="J635" t="s">
        <v>42</v>
      </c>
      <c r="K635" t="s">
        <v>47</v>
      </c>
      <c r="L635" t="s">
        <v>51</v>
      </c>
      <c r="M635" s="7">
        <v>68627</v>
      </c>
      <c r="N635">
        <v>0.39</v>
      </c>
      <c r="O635" s="7">
        <v>19310</v>
      </c>
      <c r="P635">
        <v>21</v>
      </c>
      <c r="Q635" t="s">
        <v>55</v>
      </c>
      <c r="R635" t="s">
        <v>60</v>
      </c>
      <c r="S635">
        <f t="shared" si="45"/>
        <v>2022</v>
      </c>
      <c r="T635" t="str">
        <f t="shared" si="46"/>
        <v>Sep</v>
      </c>
      <c r="U635">
        <f t="shared" si="47"/>
        <v>4</v>
      </c>
      <c r="V635">
        <f t="shared" si="48"/>
        <v>8</v>
      </c>
      <c r="W635" s="9">
        <f t="shared" si="49"/>
        <v>0.28137613475745699</v>
      </c>
    </row>
    <row r="636" spans="1:23">
      <c r="A636">
        <v>10635</v>
      </c>
      <c r="B636" s="5">
        <v>44831</v>
      </c>
      <c r="C636" s="5">
        <v>44837</v>
      </c>
      <c r="D636" s="5">
        <v>44840</v>
      </c>
      <c r="E636" t="s">
        <v>21</v>
      </c>
      <c r="F636" t="s">
        <v>22</v>
      </c>
      <c r="G636" t="s">
        <v>26</v>
      </c>
      <c r="H636" t="s">
        <v>25</v>
      </c>
      <c r="I636" t="s">
        <v>35</v>
      </c>
      <c r="J636" t="s">
        <v>41</v>
      </c>
      <c r="K636" t="s">
        <v>50</v>
      </c>
      <c r="L636" t="s">
        <v>51</v>
      </c>
      <c r="M636" s="7">
        <v>57034</v>
      </c>
      <c r="N636">
        <v>0.34</v>
      </c>
      <c r="O636" s="7">
        <v>561</v>
      </c>
      <c r="P636">
        <v>7</v>
      </c>
      <c r="Q636" t="s">
        <v>54</v>
      </c>
      <c r="R636" t="s">
        <v>62</v>
      </c>
      <c r="S636">
        <f t="shared" si="45"/>
        <v>2022</v>
      </c>
      <c r="T636" t="str">
        <f t="shared" si="46"/>
        <v>Sep</v>
      </c>
      <c r="U636">
        <f t="shared" si="47"/>
        <v>6</v>
      </c>
      <c r="V636">
        <f t="shared" si="48"/>
        <v>9</v>
      </c>
      <c r="W636" s="9">
        <f t="shared" si="49"/>
        <v>9.83623803345373E-3</v>
      </c>
    </row>
    <row r="637" spans="1:23">
      <c r="A637">
        <v>10636</v>
      </c>
      <c r="B637" s="5">
        <v>44832</v>
      </c>
      <c r="C637" s="5">
        <v>44836</v>
      </c>
      <c r="D637" s="5">
        <v>44837</v>
      </c>
      <c r="E637" t="s">
        <v>20</v>
      </c>
      <c r="F637" t="s">
        <v>22</v>
      </c>
      <c r="G637" t="s">
        <v>27</v>
      </c>
      <c r="H637" t="s">
        <v>33</v>
      </c>
      <c r="I637" t="s">
        <v>36</v>
      </c>
      <c r="J637" t="s">
        <v>38</v>
      </c>
      <c r="K637" t="s">
        <v>44</v>
      </c>
      <c r="L637" t="s">
        <v>51</v>
      </c>
      <c r="M637" s="7">
        <v>6185</v>
      </c>
      <c r="N637">
        <v>0.25</v>
      </c>
      <c r="O637" s="7">
        <v>14453</v>
      </c>
      <c r="P637">
        <v>8</v>
      </c>
      <c r="Q637" t="s">
        <v>56</v>
      </c>
      <c r="R637" t="s">
        <v>62</v>
      </c>
      <c r="S637">
        <f t="shared" si="45"/>
        <v>2022</v>
      </c>
      <c r="T637" t="str">
        <f t="shared" si="46"/>
        <v>Sep</v>
      </c>
      <c r="U637">
        <f t="shared" si="47"/>
        <v>4</v>
      </c>
      <c r="V637">
        <f t="shared" si="48"/>
        <v>5</v>
      </c>
      <c r="W637" s="9">
        <f t="shared" si="49"/>
        <v>2.3367825383993535</v>
      </c>
    </row>
    <row r="638" spans="1:23">
      <c r="A638">
        <v>10637</v>
      </c>
      <c r="B638" s="5">
        <v>44833</v>
      </c>
      <c r="C638" s="5">
        <v>44836</v>
      </c>
      <c r="D638" s="5">
        <v>44840</v>
      </c>
      <c r="E638" t="s">
        <v>18</v>
      </c>
      <c r="F638" t="s">
        <v>22</v>
      </c>
      <c r="G638" t="s">
        <v>25</v>
      </c>
      <c r="H638" t="s">
        <v>32</v>
      </c>
      <c r="I638" t="s">
        <v>36</v>
      </c>
      <c r="J638" t="s">
        <v>39</v>
      </c>
      <c r="K638" t="s">
        <v>46</v>
      </c>
      <c r="L638" t="s">
        <v>51</v>
      </c>
      <c r="M638" s="7">
        <v>24717</v>
      </c>
      <c r="N638">
        <v>0.39</v>
      </c>
      <c r="O638" s="7">
        <v>-252</v>
      </c>
      <c r="P638">
        <v>19</v>
      </c>
      <c r="Q638" t="s">
        <v>58</v>
      </c>
      <c r="R638" t="s">
        <v>59</v>
      </c>
      <c r="S638">
        <f t="shared" si="45"/>
        <v>2022</v>
      </c>
      <c r="T638" t="str">
        <f t="shared" si="46"/>
        <v>Sep</v>
      </c>
      <c r="U638">
        <f t="shared" si="47"/>
        <v>3</v>
      </c>
      <c r="V638">
        <f t="shared" si="48"/>
        <v>7</v>
      </c>
      <c r="W638" s="9">
        <f t="shared" si="49"/>
        <v>-1.0195412064570943E-2</v>
      </c>
    </row>
    <row r="639" spans="1:23">
      <c r="A639">
        <v>10638</v>
      </c>
      <c r="B639" s="5">
        <v>44834</v>
      </c>
      <c r="C639" s="5">
        <v>44839</v>
      </c>
      <c r="D639" s="5">
        <v>44842</v>
      </c>
      <c r="E639" t="s">
        <v>20</v>
      </c>
      <c r="F639" t="s">
        <v>22</v>
      </c>
      <c r="G639" t="s">
        <v>26</v>
      </c>
      <c r="H639" t="s">
        <v>29</v>
      </c>
      <c r="I639" t="s">
        <v>34</v>
      </c>
      <c r="J639" t="s">
        <v>37</v>
      </c>
      <c r="K639" t="s">
        <v>49</v>
      </c>
      <c r="L639" t="s">
        <v>53</v>
      </c>
      <c r="M639" s="7">
        <v>9351</v>
      </c>
      <c r="N639">
        <v>0.04</v>
      </c>
      <c r="O639" s="7">
        <v>17447</v>
      </c>
      <c r="P639">
        <v>8</v>
      </c>
      <c r="Q639" t="s">
        <v>54</v>
      </c>
      <c r="R639" t="s">
        <v>62</v>
      </c>
      <c r="S639">
        <f t="shared" si="45"/>
        <v>2022</v>
      </c>
      <c r="T639" t="str">
        <f t="shared" si="46"/>
        <v>Sep</v>
      </c>
      <c r="U639">
        <f t="shared" si="47"/>
        <v>5</v>
      </c>
      <c r="V639">
        <f t="shared" si="48"/>
        <v>8</v>
      </c>
      <c r="W639" s="9">
        <f t="shared" si="49"/>
        <v>1.8657897551064058</v>
      </c>
    </row>
    <row r="640" spans="1:23">
      <c r="A640">
        <v>10639</v>
      </c>
      <c r="B640" s="5">
        <v>44835</v>
      </c>
      <c r="C640" s="5">
        <v>44837</v>
      </c>
      <c r="D640" s="5">
        <v>44840</v>
      </c>
      <c r="E640" t="s">
        <v>21</v>
      </c>
      <c r="F640" t="s">
        <v>22</v>
      </c>
      <c r="G640" t="s">
        <v>26</v>
      </c>
      <c r="H640" t="s">
        <v>33</v>
      </c>
      <c r="I640" t="s">
        <v>36</v>
      </c>
      <c r="J640" t="s">
        <v>42</v>
      </c>
      <c r="K640" t="s">
        <v>49</v>
      </c>
      <c r="L640" t="s">
        <v>51</v>
      </c>
      <c r="M640" s="7">
        <v>19421</v>
      </c>
      <c r="N640">
        <v>0.03</v>
      </c>
      <c r="O640" s="7">
        <v>4095</v>
      </c>
      <c r="P640">
        <v>24</v>
      </c>
      <c r="Q640" t="s">
        <v>54</v>
      </c>
      <c r="R640" t="s">
        <v>59</v>
      </c>
      <c r="S640">
        <f t="shared" si="45"/>
        <v>2022</v>
      </c>
      <c r="T640" t="str">
        <f t="shared" si="46"/>
        <v>Oct</v>
      </c>
      <c r="U640">
        <f t="shared" si="47"/>
        <v>2</v>
      </c>
      <c r="V640">
        <f t="shared" si="48"/>
        <v>5</v>
      </c>
      <c r="W640" s="9">
        <f t="shared" si="49"/>
        <v>0.21085422995726275</v>
      </c>
    </row>
    <row r="641" spans="1:23">
      <c r="A641">
        <v>10640</v>
      </c>
      <c r="B641" s="5">
        <v>44836</v>
      </c>
      <c r="C641" s="5">
        <v>44840</v>
      </c>
      <c r="D641" s="5">
        <v>44845</v>
      </c>
      <c r="E641" t="s">
        <v>21</v>
      </c>
      <c r="F641" t="s">
        <v>22</v>
      </c>
      <c r="G641" t="s">
        <v>28</v>
      </c>
      <c r="H641" t="s">
        <v>32</v>
      </c>
      <c r="I641" t="s">
        <v>34</v>
      </c>
      <c r="J641" t="s">
        <v>37</v>
      </c>
      <c r="K641" t="s">
        <v>44</v>
      </c>
      <c r="L641" t="s">
        <v>51</v>
      </c>
      <c r="M641" s="7">
        <v>1204</v>
      </c>
      <c r="N641">
        <v>0.27</v>
      </c>
      <c r="O641" s="7">
        <v>5098</v>
      </c>
      <c r="P641">
        <v>22</v>
      </c>
      <c r="Q641" t="s">
        <v>55</v>
      </c>
      <c r="R641" t="s">
        <v>59</v>
      </c>
      <c r="S641">
        <f t="shared" si="45"/>
        <v>2022</v>
      </c>
      <c r="T641" t="str">
        <f t="shared" si="46"/>
        <v>Oct</v>
      </c>
      <c r="U641">
        <f t="shared" si="47"/>
        <v>4</v>
      </c>
      <c r="V641">
        <f t="shared" si="48"/>
        <v>9</v>
      </c>
      <c r="W641" s="9">
        <f t="shared" si="49"/>
        <v>4.2342192691029901</v>
      </c>
    </row>
    <row r="642" spans="1:23">
      <c r="A642">
        <v>10641</v>
      </c>
      <c r="B642" s="5">
        <v>44837</v>
      </c>
      <c r="C642" s="5">
        <v>44842</v>
      </c>
      <c r="D642" s="5">
        <v>44844</v>
      </c>
      <c r="E642" t="s">
        <v>21</v>
      </c>
      <c r="F642" t="s">
        <v>22</v>
      </c>
      <c r="G642" t="s">
        <v>23</v>
      </c>
      <c r="H642" t="s">
        <v>31</v>
      </c>
      <c r="I642" t="s">
        <v>34</v>
      </c>
      <c r="J642" t="s">
        <v>42</v>
      </c>
      <c r="K642" t="s">
        <v>45</v>
      </c>
      <c r="L642" t="s">
        <v>51</v>
      </c>
      <c r="M642" s="7">
        <v>45281</v>
      </c>
      <c r="N642">
        <v>0.24</v>
      </c>
      <c r="O642" s="7">
        <v>2689</v>
      </c>
      <c r="P642">
        <v>3</v>
      </c>
      <c r="Q642" t="s">
        <v>55</v>
      </c>
      <c r="R642" t="s">
        <v>59</v>
      </c>
      <c r="S642">
        <f t="shared" si="45"/>
        <v>2022</v>
      </c>
      <c r="T642" t="str">
        <f t="shared" si="46"/>
        <v>Oct</v>
      </c>
      <c r="U642">
        <f t="shared" si="47"/>
        <v>5</v>
      </c>
      <c r="V642">
        <f t="shared" si="48"/>
        <v>7</v>
      </c>
      <c r="W642" s="9">
        <f t="shared" si="49"/>
        <v>5.9384730902586072E-2</v>
      </c>
    </row>
    <row r="643" spans="1:23">
      <c r="A643">
        <v>10642</v>
      </c>
      <c r="B643" s="5">
        <v>44838</v>
      </c>
      <c r="C643" s="5">
        <v>44841</v>
      </c>
      <c r="D643" s="5">
        <v>44842</v>
      </c>
      <c r="E643" t="s">
        <v>19</v>
      </c>
      <c r="F643" t="s">
        <v>22</v>
      </c>
      <c r="G643" t="s">
        <v>23</v>
      </c>
      <c r="H643" t="s">
        <v>32</v>
      </c>
      <c r="I643" t="s">
        <v>36</v>
      </c>
      <c r="J643" t="s">
        <v>41</v>
      </c>
      <c r="K643" t="s">
        <v>46</v>
      </c>
      <c r="L643" t="s">
        <v>51</v>
      </c>
      <c r="M643" s="7">
        <v>57196</v>
      </c>
      <c r="N643">
        <v>0.1</v>
      </c>
      <c r="O643" s="7">
        <v>-1154</v>
      </c>
      <c r="P643">
        <v>10</v>
      </c>
      <c r="Q643" t="s">
        <v>58</v>
      </c>
      <c r="R643" t="s">
        <v>62</v>
      </c>
      <c r="S643">
        <f t="shared" ref="S643:S706" si="50">YEAR(B643)</f>
        <v>2022</v>
      </c>
      <c r="T643" t="str">
        <f t="shared" ref="T643:T706" si="51">TEXT(B643,"mmm")</f>
        <v>Oct</v>
      </c>
      <c r="U643">
        <f t="shared" ref="U643:U706" si="52">C643-B643</f>
        <v>3</v>
      </c>
      <c r="V643">
        <f t="shared" ref="V643:V706" si="53">D643-B643</f>
        <v>4</v>
      </c>
      <c r="W643" s="9">
        <f t="shared" ref="W643:W706" si="54">IFERROR(O643/M643,0)</f>
        <v>-2.0176236100426605E-2</v>
      </c>
    </row>
    <row r="644" spans="1:23">
      <c r="A644">
        <v>10643</v>
      </c>
      <c r="B644" s="5">
        <v>44839</v>
      </c>
      <c r="C644" s="5">
        <v>44842</v>
      </c>
      <c r="D644" s="5">
        <v>44846</v>
      </c>
      <c r="E644" t="s">
        <v>21</v>
      </c>
      <c r="F644" t="s">
        <v>22</v>
      </c>
      <c r="G644" t="s">
        <v>24</v>
      </c>
      <c r="H644" t="s">
        <v>33</v>
      </c>
      <c r="I644" t="s">
        <v>35</v>
      </c>
      <c r="J644" t="s">
        <v>40</v>
      </c>
      <c r="K644" t="s">
        <v>44</v>
      </c>
      <c r="L644" t="s">
        <v>51</v>
      </c>
      <c r="M644" s="7">
        <v>36141</v>
      </c>
      <c r="N644">
        <v>0.37</v>
      </c>
      <c r="O644" s="7">
        <v>13230</v>
      </c>
      <c r="P644">
        <v>11</v>
      </c>
      <c r="Q644" t="s">
        <v>57</v>
      </c>
      <c r="R644" t="s">
        <v>61</v>
      </c>
      <c r="S644">
        <f t="shared" si="50"/>
        <v>2022</v>
      </c>
      <c r="T644" t="str">
        <f t="shared" si="51"/>
        <v>Oct</v>
      </c>
      <c r="U644">
        <f t="shared" si="52"/>
        <v>3</v>
      </c>
      <c r="V644">
        <f t="shared" si="53"/>
        <v>7</v>
      </c>
      <c r="W644" s="9">
        <f t="shared" si="54"/>
        <v>0.36606624055781523</v>
      </c>
    </row>
    <row r="645" spans="1:23">
      <c r="A645">
        <v>10644</v>
      </c>
      <c r="B645" s="5">
        <v>44840</v>
      </c>
      <c r="C645" s="5">
        <v>44847</v>
      </c>
      <c r="D645" s="5">
        <v>44851</v>
      </c>
      <c r="E645" t="s">
        <v>21</v>
      </c>
      <c r="F645" t="s">
        <v>22</v>
      </c>
      <c r="G645" t="s">
        <v>27</v>
      </c>
      <c r="H645" t="s">
        <v>31</v>
      </c>
      <c r="I645" t="s">
        <v>34</v>
      </c>
      <c r="J645" t="s">
        <v>38</v>
      </c>
      <c r="K645" t="s">
        <v>49</v>
      </c>
      <c r="L645" t="s">
        <v>53</v>
      </c>
      <c r="M645" s="7">
        <v>42119</v>
      </c>
      <c r="N645">
        <v>0.09</v>
      </c>
      <c r="O645" s="7">
        <v>8137</v>
      </c>
      <c r="P645">
        <v>19</v>
      </c>
      <c r="Q645" t="s">
        <v>58</v>
      </c>
      <c r="R645" t="s">
        <v>61</v>
      </c>
      <c r="S645">
        <f t="shared" si="50"/>
        <v>2022</v>
      </c>
      <c r="T645" t="str">
        <f t="shared" si="51"/>
        <v>Oct</v>
      </c>
      <c r="U645">
        <f t="shared" si="52"/>
        <v>7</v>
      </c>
      <c r="V645">
        <f t="shared" si="53"/>
        <v>11</v>
      </c>
      <c r="W645" s="9">
        <f t="shared" si="54"/>
        <v>0.19319072152710179</v>
      </c>
    </row>
    <row r="646" spans="1:23">
      <c r="A646">
        <v>10645</v>
      </c>
      <c r="B646" s="5">
        <v>44841</v>
      </c>
      <c r="C646" s="5">
        <v>44845</v>
      </c>
      <c r="D646" s="5">
        <v>44849</v>
      </c>
      <c r="E646" t="s">
        <v>20</v>
      </c>
      <c r="F646" t="s">
        <v>22</v>
      </c>
      <c r="G646" t="s">
        <v>26</v>
      </c>
      <c r="H646" t="s">
        <v>30</v>
      </c>
      <c r="I646" t="s">
        <v>36</v>
      </c>
      <c r="J646" t="s">
        <v>43</v>
      </c>
      <c r="K646" t="s">
        <v>45</v>
      </c>
      <c r="L646" t="s">
        <v>51</v>
      </c>
      <c r="M646" s="7">
        <v>64702</v>
      </c>
      <c r="N646">
        <v>0.28000000000000003</v>
      </c>
      <c r="O646" s="7">
        <v>10866</v>
      </c>
      <c r="P646">
        <v>18</v>
      </c>
      <c r="Q646" t="s">
        <v>56</v>
      </c>
      <c r="R646" t="s">
        <v>60</v>
      </c>
      <c r="S646">
        <f t="shared" si="50"/>
        <v>2022</v>
      </c>
      <c r="T646" t="str">
        <f t="shared" si="51"/>
        <v>Oct</v>
      </c>
      <c r="U646">
        <f t="shared" si="52"/>
        <v>4</v>
      </c>
      <c r="V646">
        <f t="shared" si="53"/>
        <v>8</v>
      </c>
      <c r="W646" s="9">
        <f t="shared" si="54"/>
        <v>0.16793916725912644</v>
      </c>
    </row>
    <row r="647" spans="1:23">
      <c r="A647">
        <v>10646</v>
      </c>
      <c r="B647" s="5">
        <v>44842</v>
      </c>
      <c r="C647" s="5">
        <v>44848</v>
      </c>
      <c r="D647" s="5">
        <v>44851</v>
      </c>
      <c r="E647" t="s">
        <v>19</v>
      </c>
      <c r="F647" t="s">
        <v>22</v>
      </c>
      <c r="G647" t="s">
        <v>25</v>
      </c>
      <c r="H647" t="s">
        <v>29</v>
      </c>
      <c r="I647" t="s">
        <v>35</v>
      </c>
      <c r="J647" t="s">
        <v>39</v>
      </c>
      <c r="K647" t="s">
        <v>50</v>
      </c>
      <c r="L647" t="s">
        <v>51</v>
      </c>
      <c r="M647" s="7">
        <v>21165</v>
      </c>
      <c r="N647">
        <v>0.24</v>
      </c>
      <c r="O647" s="7">
        <v>13170</v>
      </c>
      <c r="P647">
        <v>6</v>
      </c>
      <c r="Q647" t="s">
        <v>56</v>
      </c>
      <c r="R647" t="s">
        <v>62</v>
      </c>
      <c r="S647">
        <f t="shared" si="50"/>
        <v>2022</v>
      </c>
      <c r="T647" t="str">
        <f t="shared" si="51"/>
        <v>Oct</v>
      </c>
      <c r="U647">
        <f t="shared" si="52"/>
        <v>6</v>
      </c>
      <c r="V647">
        <f t="shared" si="53"/>
        <v>9</v>
      </c>
      <c r="W647" s="9">
        <f t="shared" si="54"/>
        <v>0.62225372076541463</v>
      </c>
    </row>
    <row r="648" spans="1:23">
      <c r="A648">
        <v>10647</v>
      </c>
      <c r="B648" s="5">
        <v>44843</v>
      </c>
      <c r="C648" s="5">
        <v>44847</v>
      </c>
      <c r="D648" s="5">
        <v>44851</v>
      </c>
      <c r="E648" t="s">
        <v>18</v>
      </c>
      <c r="F648" t="s">
        <v>22</v>
      </c>
      <c r="G648" t="s">
        <v>24</v>
      </c>
      <c r="H648" t="s">
        <v>30</v>
      </c>
      <c r="I648" t="s">
        <v>36</v>
      </c>
      <c r="J648" t="s">
        <v>39</v>
      </c>
      <c r="K648" t="s">
        <v>44</v>
      </c>
      <c r="L648" t="s">
        <v>52</v>
      </c>
      <c r="M648" s="7">
        <v>61118</v>
      </c>
      <c r="N648">
        <v>0.03</v>
      </c>
      <c r="O648" s="7">
        <v>18260</v>
      </c>
      <c r="P648">
        <v>1</v>
      </c>
      <c r="Q648" t="s">
        <v>57</v>
      </c>
      <c r="R648" t="s">
        <v>62</v>
      </c>
      <c r="S648">
        <f t="shared" si="50"/>
        <v>2022</v>
      </c>
      <c r="T648" t="str">
        <f t="shared" si="51"/>
        <v>Oct</v>
      </c>
      <c r="U648">
        <f t="shared" si="52"/>
        <v>4</v>
      </c>
      <c r="V648">
        <f t="shared" si="53"/>
        <v>8</v>
      </c>
      <c r="W648" s="9">
        <f t="shared" si="54"/>
        <v>0.29876632088746358</v>
      </c>
    </row>
    <row r="649" spans="1:23">
      <c r="A649">
        <v>10648</v>
      </c>
      <c r="B649" s="5">
        <v>44844</v>
      </c>
      <c r="C649" s="5">
        <v>44850</v>
      </c>
      <c r="D649" s="5">
        <v>44855</v>
      </c>
      <c r="E649" t="s">
        <v>21</v>
      </c>
      <c r="F649" t="s">
        <v>22</v>
      </c>
      <c r="G649" t="s">
        <v>27</v>
      </c>
      <c r="H649" t="s">
        <v>30</v>
      </c>
      <c r="I649" t="s">
        <v>34</v>
      </c>
      <c r="J649" t="s">
        <v>40</v>
      </c>
      <c r="K649" t="s">
        <v>46</v>
      </c>
      <c r="L649" t="s">
        <v>53</v>
      </c>
      <c r="M649" s="7">
        <v>4045</v>
      </c>
      <c r="N649">
        <v>0.3</v>
      </c>
      <c r="O649" s="7">
        <v>13915</v>
      </c>
      <c r="P649">
        <v>21</v>
      </c>
      <c r="Q649" t="s">
        <v>57</v>
      </c>
      <c r="R649" t="s">
        <v>59</v>
      </c>
      <c r="S649">
        <f t="shared" si="50"/>
        <v>2022</v>
      </c>
      <c r="T649" t="str">
        <f t="shared" si="51"/>
        <v>Oct</v>
      </c>
      <c r="U649">
        <f t="shared" si="52"/>
        <v>6</v>
      </c>
      <c r="V649">
        <f t="shared" si="53"/>
        <v>11</v>
      </c>
      <c r="W649" s="9">
        <f t="shared" si="54"/>
        <v>3.4400494437577254</v>
      </c>
    </row>
    <row r="650" spans="1:23">
      <c r="A650">
        <v>10649</v>
      </c>
      <c r="B650" s="5">
        <v>44845</v>
      </c>
      <c r="C650" s="5">
        <v>44849</v>
      </c>
      <c r="D650" s="5">
        <v>44854</v>
      </c>
      <c r="E650" t="s">
        <v>19</v>
      </c>
      <c r="F650" t="s">
        <v>22</v>
      </c>
      <c r="G650" t="s">
        <v>27</v>
      </c>
      <c r="H650" t="s">
        <v>32</v>
      </c>
      <c r="I650" t="s">
        <v>34</v>
      </c>
      <c r="J650" t="s">
        <v>40</v>
      </c>
      <c r="K650" t="s">
        <v>49</v>
      </c>
      <c r="L650" t="s">
        <v>52</v>
      </c>
      <c r="M650" s="7">
        <v>41991</v>
      </c>
      <c r="N650">
        <v>0.28999999999999998</v>
      </c>
      <c r="O650" s="7">
        <v>9971</v>
      </c>
      <c r="P650">
        <v>4</v>
      </c>
      <c r="Q650" t="s">
        <v>58</v>
      </c>
      <c r="R650" t="s">
        <v>62</v>
      </c>
      <c r="S650">
        <f t="shared" si="50"/>
        <v>2022</v>
      </c>
      <c r="T650" t="str">
        <f t="shared" si="51"/>
        <v>Oct</v>
      </c>
      <c r="U650">
        <f t="shared" si="52"/>
        <v>4</v>
      </c>
      <c r="V650">
        <f t="shared" si="53"/>
        <v>9</v>
      </c>
      <c r="W650" s="9">
        <f t="shared" si="54"/>
        <v>0.23745564525731705</v>
      </c>
    </row>
    <row r="651" spans="1:23">
      <c r="A651">
        <v>10650</v>
      </c>
      <c r="B651" s="5">
        <v>44846</v>
      </c>
      <c r="C651" s="5">
        <v>44853</v>
      </c>
      <c r="D651" s="5">
        <v>44856</v>
      </c>
      <c r="E651" t="s">
        <v>20</v>
      </c>
      <c r="F651" t="s">
        <v>22</v>
      </c>
      <c r="G651" t="s">
        <v>27</v>
      </c>
      <c r="H651" t="s">
        <v>31</v>
      </c>
      <c r="I651" t="s">
        <v>36</v>
      </c>
      <c r="J651" t="s">
        <v>37</v>
      </c>
      <c r="K651" t="s">
        <v>49</v>
      </c>
      <c r="L651" t="s">
        <v>53</v>
      </c>
      <c r="M651" s="7">
        <v>25039</v>
      </c>
      <c r="N651">
        <v>0.09</v>
      </c>
      <c r="O651" s="7">
        <v>13052</v>
      </c>
      <c r="P651">
        <v>5</v>
      </c>
      <c r="Q651" t="s">
        <v>54</v>
      </c>
      <c r="R651" t="s">
        <v>61</v>
      </c>
      <c r="S651">
        <f t="shared" si="50"/>
        <v>2022</v>
      </c>
      <c r="T651" t="str">
        <f t="shared" si="51"/>
        <v>Oct</v>
      </c>
      <c r="U651">
        <f t="shared" si="52"/>
        <v>7</v>
      </c>
      <c r="V651">
        <f t="shared" si="53"/>
        <v>10</v>
      </c>
      <c r="W651" s="9">
        <f t="shared" si="54"/>
        <v>0.52126682375494227</v>
      </c>
    </row>
    <row r="652" spans="1:23">
      <c r="A652">
        <v>10651</v>
      </c>
      <c r="B652" s="5">
        <v>44847</v>
      </c>
      <c r="C652" s="5">
        <v>44852</v>
      </c>
      <c r="D652" s="5">
        <v>44853</v>
      </c>
      <c r="E652" t="s">
        <v>19</v>
      </c>
      <c r="F652" t="s">
        <v>22</v>
      </c>
      <c r="G652" t="s">
        <v>25</v>
      </c>
      <c r="H652" t="s">
        <v>33</v>
      </c>
      <c r="I652" t="s">
        <v>35</v>
      </c>
      <c r="J652" t="s">
        <v>42</v>
      </c>
      <c r="K652" t="s">
        <v>45</v>
      </c>
      <c r="L652" t="s">
        <v>53</v>
      </c>
      <c r="M652" s="7">
        <v>50362</v>
      </c>
      <c r="N652">
        <v>0.08</v>
      </c>
      <c r="O652" s="7">
        <v>3553</v>
      </c>
      <c r="P652">
        <v>8</v>
      </c>
      <c r="Q652" t="s">
        <v>54</v>
      </c>
      <c r="R652" t="s">
        <v>59</v>
      </c>
      <c r="S652">
        <f t="shared" si="50"/>
        <v>2022</v>
      </c>
      <c r="T652" t="str">
        <f t="shared" si="51"/>
        <v>Oct</v>
      </c>
      <c r="U652">
        <f t="shared" si="52"/>
        <v>5</v>
      </c>
      <c r="V652">
        <f t="shared" si="53"/>
        <v>6</v>
      </c>
      <c r="W652" s="9">
        <f t="shared" si="54"/>
        <v>7.0549223620984078E-2</v>
      </c>
    </row>
    <row r="653" spans="1:23">
      <c r="A653">
        <v>10652</v>
      </c>
      <c r="B653" s="5">
        <v>44848</v>
      </c>
      <c r="C653" s="5">
        <v>44854</v>
      </c>
      <c r="D653" s="5">
        <v>44855</v>
      </c>
      <c r="E653" t="s">
        <v>21</v>
      </c>
      <c r="F653" t="s">
        <v>22</v>
      </c>
      <c r="G653" t="s">
        <v>27</v>
      </c>
      <c r="H653" t="s">
        <v>25</v>
      </c>
      <c r="I653" t="s">
        <v>34</v>
      </c>
      <c r="J653" t="s">
        <v>37</v>
      </c>
      <c r="K653" t="s">
        <v>49</v>
      </c>
      <c r="L653" t="s">
        <v>52</v>
      </c>
      <c r="M653" s="7">
        <v>59453</v>
      </c>
      <c r="N653">
        <v>0.2</v>
      </c>
      <c r="O653" s="7">
        <v>13288</v>
      </c>
      <c r="P653">
        <v>23</v>
      </c>
      <c r="Q653" t="s">
        <v>56</v>
      </c>
      <c r="R653" t="s">
        <v>61</v>
      </c>
      <c r="S653">
        <f t="shared" si="50"/>
        <v>2022</v>
      </c>
      <c r="T653" t="str">
        <f t="shared" si="51"/>
        <v>Oct</v>
      </c>
      <c r="U653">
        <f t="shared" si="52"/>
        <v>6</v>
      </c>
      <c r="V653">
        <f t="shared" si="53"/>
        <v>7</v>
      </c>
      <c r="W653" s="9">
        <f t="shared" si="54"/>
        <v>0.22350428069231157</v>
      </c>
    </row>
    <row r="654" spans="1:23">
      <c r="A654">
        <v>10653</v>
      </c>
      <c r="B654" s="5">
        <v>44849</v>
      </c>
      <c r="C654" s="5">
        <v>44851</v>
      </c>
      <c r="D654" s="5">
        <v>44852</v>
      </c>
      <c r="E654" t="s">
        <v>21</v>
      </c>
      <c r="F654" t="s">
        <v>22</v>
      </c>
      <c r="G654" t="s">
        <v>24</v>
      </c>
      <c r="H654" t="s">
        <v>30</v>
      </c>
      <c r="I654" t="s">
        <v>34</v>
      </c>
      <c r="J654" t="s">
        <v>39</v>
      </c>
      <c r="K654" t="s">
        <v>50</v>
      </c>
      <c r="L654" t="s">
        <v>52</v>
      </c>
      <c r="M654" s="7">
        <v>57583</v>
      </c>
      <c r="N654">
        <v>0.13</v>
      </c>
      <c r="O654" s="7">
        <v>5375</v>
      </c>
      <c r="P654">
        <v>22</v>
      </c>
      <c r="Q654" t="s">
        <v>56</v>
      </c>
      <c r="R654" t="s">
        <v>62</v>
      </c>
      <c r="S654">
        <f t="shared" si="50"/>
        <v>2022</v>
      </c>
      <c r="T654" t="str">
        <f t="shared" si="51"/>
        <v>Oct</v>
      </c>
      <c r="U654">
        <f t="shared" si="52"/>
        <v>2</v>
      </c>
      <c r="V654">
        <f t="shared" si="53"/>
        <v>3</v>
      </c>
      <c r="W654" s="9">
        <f t="shared" si="54"/>
        <v>9.3343521525450224E-2</v>
      </c>
    </row>
    <row r="655" spans="1:23">
      <c r="A655">
        <v>10654</v>
      </c>
      <c r="B655" s="5">
        <v>44850</v>
      </c>
      <c r="C655" s="5">
        <v>44855</v>
      </c>
      <c r="D655" s="5">
        <v>44856</v>
      </c>
      <c r="E655" t="s">
        <v>18</v>
      </c>
      <c r="F655" t="s">
        <v>22</v>
      </c>
      <c r="G655" t="s">
        <v>28</v>
      </c>
      <c r="H655" t="s">
        <v>29</v>
      </c>
      <c r="I655" t="s">
        <v>34</v>
      </c>
      <c r="J655" t="s">
        <v>38</v>
      </c>
      <c r="K655" t="s">
        <v>47</v>
      </c>
      <c r="L655" t="s">
        <v>53</v>
      </c>
      <c r="M655" s="7">
        <v>48130</v>
      </c>
      <c r="N655">
        <v>0.26</v>
      </c>
      <c r="O655" s="7">
        <v>9164</v>
      </c>
      <c r="P655">
        <v>8</v>
      </c>
      <c r="Q655" t="s">
        <v>56</v>
      </c>
      <c r="R655" t="s">
        <v>59</v>
      </c>
      <c r="S655">
        <f t="shared" si="50"/>
        <v>2022</v>
      </c>
      <c r="T655" t="str">
        <f t="shared" si="51"/>
        <v>Oct</v>
      </c>
      <c r="U655">
        <f t="shared" si="52"/>
        <v>5</v>
      </c>
      <c r="V655">
        <f t="shared" si="53"/>
        <v>6</v>
      </c>
      <c r="W655" s="9">
        <f t="shared" si="54"/>
        <v>0.19040099729898191</v>
      </c>
    </row>
    <row r="656" spans="1:23">
      <c r="A656">
        <v>10655</v>
      </c>
      <c r="B656" s="5">
        <v>44851</v>
      </c>
      <c r="C656" s="5">
        <v>44856</v>
      </c>
      <c r="D656" s="5">
        <v>44861</v>
      </c>
      <c r="E656" t="s">
        <v>19</v>
      </c>
      <c r="F656" t="s">
        <v>22</v>
      </c>
      <c r="G656" t="s">
        <v>25</v>
      </c>
      <c r="H656" t="s">
        <v>31</v>
      </c>
      <c r="I656" t="s">
        <v>34</v>
      </c>
      <c r="J656" t="s">
        <v>39</v>
      </c>
      <c r="K656" t="s">
        <v>48</v>
      </c>
      <c r="L656" t="s">
        <v>51</v>
      </c>
      <c r="M656" s="7">
        <v>44900</v>
      </c>
      <c r="N656">
        <v>0.01</v>
      </c>
      <c r="O656" s="7">
        <v>7949</v>
      </c>
      <c r="P656">
        <v>21</v>
      </c>
      <c r="Q656" t="s">
        <v>58</v>
      </c>
      <c r="R656" t="s">
        <v>60</v>
      </c>
      <c r="S656">
        <f t="shared" si="50"/>
        <v>2022</v>
      </c>
      <c r="T656" t="str">
        <f t="shared" si="51"/>
        <v>Oct</v>
      </c>
      <c r="U656">
        <f t="shared" si="52"/>
        <v>5</v>
      </c>
      <c r="V656">
        <f t="shared" si="53"/>
        <v>10</v>
      </c>
      <c r="W656" s="9">
        <f t="shared" si="54"/>
        <v>0.17703786191536749</v>
      </c>
    </row>
    <row r="657" spans="1:23">
      <c r="A657">
        <v>10656</v>
      </c>
      <c r="B657" s="5">
        <v>44852</v>
      </c>
      <c r="C657" s="5">
        <v>44859</v>
      </c>
      <c r="D657" s="5">
        <v>44862</v>
      </c>
      <c r="E657" t="s">
        <v>18</v>
      </c>
      <c r="F657" t="s">
        <v>22</v>
      </c>
      <c r="G657" t="s">
        <v>26</v>
      </c>
      <c r="H657" t="s">
        <v>30</v>
      </c>
      <c r="I657" t="s">
        <v>34</v>
      </c>
      <c r="J657" t="s">
        <v>42</v>
      </c>
      <c r="K657" t="s">
        <v>46</v>
      </c>
      <c r="L657" t="s">
        <v>53</v>
      </c>
      <c r="M657" s="7">
        <v>59243</v>
      </c>
      <c r="N657">
        <v>0.03</v>
      </c>
      <c r="O657" s="7">
        <v>-619</v>
      </c>
      <c r="P657">
        <v>10</v>
      </c>
      <c r="Q657" t="s">
        <v>58</v>
      </c>
      <c r="R657" t="s">
        <v>59</v>
      </c>
      <c r="S657">
        <f t="shared" si="50"/>
        <v>2022</v>
      </c>
      <c r="T657" t="str">
        <f t="shared" si="51"/>
        <v>Oct</v>
      </c>
      <c r="U657">
        <f t="shared" si="52"/>
        <v>7</v>
      </c>
      <c r="V657">
        <f t="shared" si="53"/>
        <v>10</v>
      </c>
      <c r="W657" s="9">
        <f t="shared" si="54"/>
        <v>-1.0448491804938981E-2</v>
      </c>
    </row>
    <row r="658" spans="1:23">
      <c r="A658">
        <v>10657</v>
      </c>
      <c r="B658" s="5">
        <v>44853</v>
      </c>
      <c r="C658" s="5">
        <v>44858</v>
      </c>
      <c r="D658" s="5">
        <v>44862</v>
      </c>
      <c r="E658" t="s">
        <v>21</v>
      </c>
      <c r="F658" t="s">
        <v>22</v>
      </c>
      <c r="G658" t="s">
        <v>25</v>
      </c>
      <c r="H658" t="s">
        <v>25</v>
      </c>
      <c r="I658" t="s">
        <v>35</v>
      </c>
      <c r="J658" t="s">
        <v>38</v>
      </c>
      <c r="K658" t="s">
        <v>49</v>
      </c>
      <c r="L658" t="s">
        <v>51</v>
      </c>
      <c r="M658" s="7">
        <v>53453</v>
      </c>
      <c r="N658">
        <v>0.03</v>
      </c>
      <c r="O658" s="7">
        <v>10630</v>
      </c>
      <c r="P658">
        <v>5</v>
      </c>
      <c r="Q658" t="s">
        <v>58</v>
      </c>
      <c r="R658" t="s">
        <v>60</v>
      </c>
      <c r="S658">
        <f t="shared" si="50"/>
        <v>2022</v>
      </c>
      <c r="T658" t="str">
        <f t="shared" si="51"/>
        <v>Oct</v>
      </c>
      <c r="U658">
        <f t="shared" si="52"/>
        <v>5</v>
      </c>
      <c r="V658">
        <f t="shared" si="53"/>
        <v>9</v>
      </c>
      <c r="W658" s="9">
        <f t="shared" si="54"/>
        <v>0.19886629375339082</v>
      </c>
    </row>
    <row r="659" spans="1:23">
      <c r="A659">
        <v>10658</v>
      </c>
      <c r="B659" s="5">
        <v>44854</v>
      </c>
      <c r="C659" s="5">
        <v>44859</v>
      </c>
      <c r="D659" s="5">
        <v>44863</v>
      </c>
      <c r="E659" t="s">
        <v>19</v>
      </c>
      <c r="F659" t="s">
        <v>22</v>
      </c>
      <c r="G659" t="s">
        <v>23</v>
      </c>
      <c r="H659" t="s">
        <v>29</v>
      </c>
      <c r="I659" t="s">
        <v>36</v>
      </c>
      <c r="J659" t="s">
        <v>41</v>
      </c>
      <c r="K659" t="s">
        <v>44</v>
      </c>
      <c r="L659" t="s">
        <v>52</v>
      </c>
      <c r="M659" s="7">
        <v>68651</v>
      </c>
      <c r="N659">
        <v>0.11</v>
      </c>
      <c r="O659" s="7">
        <v>1921</v>
      </c>
      <c r="P659">
        <v>22</v>
      </c>
      <c r="Q659" t="s">
        <v>56</v>
      </c>
      <c r="R659" t="s">
        <v>60</v>
      </c>
      <c r="S659">
        <f t="shared" si="50"/>
        <v>2022</v>
      </c>
      <c r="T659" t="str">
        <f t="shared" si="51"/>
        <v>Oct</v>
      </c>
      <c r="U659">
        <f t="shared" si="52"/>
        <v>5</v>
      </c>
      <c r="V659">
        <f t="shared" si="53"/>
        <v>9</v>
      </c>
      <c r="W659" s="9">
        <f t="shared" si="54"/>
        <v>2.7982112423708322E-2</v>
      </c>
    </row>
    <row r="660" spans="1:23">
      <c r="A660">
        <v>10659</v>
      </c>
      <c r="B660" s="5">
        <v>44855</v>
      </c>
      <c r="C660" s="5">
        <v>44858</v>
      </c>
      <c r="D660" s="5">
        <v>44859</v>
      </c>
      <c r="E660" t="s">
        <v>19</v>
      </c>
      <c r="F660" t="s">
        <v>22</v>
      </c>
      <c r="G660" t="s">
        <v>23</v>
      </c>
      <c r="H660" t="s">
        <v>29</v>
      </c>
      <c r="I660" t="s">
        <v>35</v>
      </c>
      <c r="J660" t="s">
        <v>37</v>
      </c>
      <c r="K660" t="s">
        <v>50</v>
      </c>
      <c r="L660" t="s">
        <v>52</v>
      </c>
      <c r="M660" s="7">
        <v>8749</v>
      </c>
      <c r="N660">
        <v>0.23</v>
      </c>
      <c r="O660" s="7">
        <v>16031</v>
      </c>
      <c r="P660">
        <v>9</v>
      </c>
      <c r="Q660" t="s">
        <v>56</v>
      </c>
      <c r="R660" t="s">
        <v>60</v>
      </c>
      <c r="S660">
        <f t="shared" si="50"/>
        <v>2022</v>
      </c>
      <c r="T660" t="str">
        <f t="shared" si="51"/>
        <v>Oct</v>
      </c>
      <c r="U660">
        <f t="shared" si="52"/>
        <v>3</v>
      </c>
      <c r="V660">
        <f t="shared" si="53"/>
        <v>4</v>
      </c>
      <c r="W660" s="9">
        <f t="shared" si="54"/>
        <v>1.8323236941364727</v>
      </c>
    </row>
    <row r="661" spans="1:23">
      <c r="A661">
        <v>10660</v>
      </c>
      <c r="B661" s="5">
        <v>44856</v>
      </c>
      <c r="C661" s="5">
        <v>44862</v>
      </c>
      <c r="D661" s="5">
        <v>44863</v>
      </c>
      <c r="E661" t="s">
        <v>19</v>
      </c>
      <c r="F661" t="s">
        <v>22</v>
      </c>
      <c r="G661" t="s">
        <v>26</v>
      </c>
      <c r="H661" t="s">
        <v>25</v>
      </c>
      <c r="I661" t="s">
        <v>35</v>
      </c>
      <c r="J661" t="s">
        <v>42</v>
      </c>
      <c r="K661" t="s">
        <v>50</v>
      </c>
      <c r="L661" t="s">
        <v>52</v>
      </c>
      <c r="M661" s="7">
        <v>5823</v>
      </c>
      <c r="N661">
        <v>0.39</v>
      </c>
      <c r="O661" s="7">
        <v>19636</v>
      </c>
      <c r="P661">
        <v>11</v>
      </c>
      <c r="Q661" t="s">
        <v>58</v>
      </c>
      <c r="R661" t="s">
        <v>60</v>
      </c>
      <c r="S661">
        <f t="shared" si="50"/>
        <v>2022</v>
      </c>
      <c r="T661" t="str">
        <f t="shared" si="51"/>
        <v>Oct</v>
      </c>
      <c r="U661">
        <f t="shared" si="52"/>
        <v>6</v>
      </c>
      <c r="V661">
        <f t="shared" si="53"/>
        <v>7</v>
      </c>
      <c r="W661" s="9">
        <f t="shared" si="54"/>
        <v>3.3721449424695176</v>
      </c>
    </row>
    <row r="662" spans="1:23">
      <c r="A662">
        <v>10661</v>
      </c>
      <c r="B662" s="5">
        <v>44857</v>
      </c>
      <c r="C662" s="5">
        <v>44864</v>
      </c>
      <c r="D662" s="5">
        <v>44867</v>
      </c>
      <c r="E662" t="s">
        <v>18</v>
      </c>
      <c r="F662" t="s">
        <v>22</v>
      </c>
      <c r="G662" t="s">
        <v>26</v>
      </c>
      <c r="H662" t="s">
        <v>31</v>
      </c>
      <c r="I662" t="s">
        <v>35</v>
      </c>
      <c r="J662" t="s">
        <v>39</v>
      </c>
      <c r="K662" t="s">
        <v>46</v>
      </c>
      <c r="L662" t="s">
        <v>53</v>
      </c>
      <c r="M662" s="7">
        <v>68692</v>
      </c>
      <c r="N662">
        <v>0.05</v>
      </c>
      <c r="O662" s="7">
        <v>11706</v>
      </c>
      <c r="P662">
        <v>11</v>
      </c>
      <c r="Q662" t="s">
        <v>56</v>
      </c>
      <c r="R662" t="s">
        <v>59</v>
      </c>
      <c r="S662">
        <f t="shared" si="50"/>
        <v>2022</v>
      </c>
      <c r="T662" t="str">
        <f t="shared" si="51"/>
        <v>Oct</v>
      </c>
      <c r="U662">
        <f t="shared" si="52"/>
        <v>7</v>
      </c>
      <c r="V662">
        <f t="shared" si="53"/>
        <v>10</v>
      </c>
      <c r="W662" s="9">
        <f t="shared" si="54"/>
        <v>0.17041285739241832</v>
      </c>
    </row>
    <row r="663" spans="1:23">
      <c r="A663">
        <v>10662</v>
      </c>
      <c r="B663" s="5">
        <v>44858</v>
      </c>
      <c r="C663" s="5">
        <v>44860</v>
      </c>
      <c r="D663" s="5">
        <v>44864</v>
      </c>
      <c r="E663" t="s">
        <v>19</v>
      </c>
      <c r="F663" t="s">
        <v>22</v>
      </c>
      <c r="G663" t="s">
        <v>23</v>
      </c>
      <c r="H663" t="s">
        <v>30</v>
      </c>
      <c r="I663" t="s">
        <v>35</v>
      </c>
      <c r="J663" t="s">
        <v>42</v>
      </c>
      <c r="K663" t="s">
        <v>45</v>
      </c>
      <c r="L663" t="s">
        <v>52</v>
      </c>
      <c r="M663" s="7">
        <v>71876</v>
      </c>
      <c r="N663">
        <v>0.31</v>
      </c>
      <c r="O663" s="7">
        <v>12573</v>
      </c>
      <c r="P663">
        <v>4</v>
      </c>
      <c r="Q663" t="s">
        <v>56</v>
      </c>
      <c r="R663" t="s">
        <v>61</v>
      </c>
      <c r="S663">
        <f t="shared" si="50"/>
        <v>2022</v>
      </c>
      <c r="T663" t="str">
        <f t="shared" si="51"/>
        <v>Oct</v>
      </c>
      <c r="U663">
        <f t="shared" si="52"/>
        <v>2</v>
      </c>
      <c r="V663">
        <f t="shared" si="53"/>
        <v>6</v>
      </c>
      <c r="W663" s="9">
        <f t="shared" si="54"/>
        <v>0.17492626189548668</v>
      </c>
    </row>
    <row r="664" spans="1:23">
      <c r="A664">
        <v>10663</v>
      </c>
      <c r="B664" s="5">
        <v>44859</v>
      </c>
      <c r="C664" s="5">
        <v>44864</v>
      </c>
      <c r="D664" s="5">
        <v>44868</v>
      </c>
      <c r="E664" t="s">
        <v>19</v>
      </c>
      <c r="F664" t="s">
        <v>22</v>
      </c>
      <c r="G664" t="s">
        <v>27</v>
      </c>
      <c r="H664" t="s">
        <v>25</v>
      </c>
      <c r="I664" t="s">
        <v>35</v>
      </c>
      <c r="J664" t="s">
        <v>42</v>
      </c>
      <c r="K664" t="s">
        <v>48</v>
      </c>
      <c r="L664" t="s">
        <v>52</v>
      </c>
      <c r="M664" s="7">
        <v>38971</v>
      </c>
      <c r="N664">
        <v>0.05</v>
      </c>
      <c r="O664" s="7">
        <v>-1110</v>
      </c>
      <c r="P664">
        <v>18</v>
      </c>
      <c r="Q664" t="s">
        <v>57</v>
      </c>
      <c r="R664" t="s">
        <v>60</v>
      </c>
      <c r="S664">
        <f t="shared" si="50"/>
        <v>2022</v>
      </c>
      <c r="T664" t="str">
        <f t="shared" si="51"/>
        <v>Oct</v>
      </c>
      <c r="U664">
        <f t="shared" si="52"/>
        <v>5</v>
      </c>
      <c r="V664">
        <f t="shared" si="53"/>
        <v>9</v>
      </c>
      <c r="W664" s="9">
        <f t="shared" si="54"/>
        <v>-2.8482717918452184E-2</v>
      </c>
    </row>
    <row r="665" spans="1:23">
      <c r="A665">
        <v>10664</v>
      </c>
      <c r="B665" s="5">
        <v>44860</v>
      </c>
      <c r="C665" s="5">
        <v>44865</v>
      </c>
      <c r="D665" s="5">
        <v>44868</v>
      </c>
      <c r="E665" t="s">
        <v>21</v>
      </c>
      <c r="F665" t="s">
        <v>22</v>
      </c>
      <c r="G665" t="s">
        <v>25</v>
      </c>
      <c r="H665" t="s">
        <v>29</v>
      </c>
      <c r="I665" t="s">
        <v>35</v>
      </c>
      <c r="J665" t="s">
        <v>42</v>
      </c>
      <c r="K665" t="s">
        <v>44</v>
      </c>
      <c r="L665" t="s">
        <v>51</v>
      </c>
      <c r="M665" s="7">
        <v>56858</v>
      </c>
      <c r="N665">
        <v>0.32</v>
      </c>
      <c r="O665" s="7">
        <v>-1446</v>
      </c>
      <c r="P665">
        <v>15</v>
      </c>
      <c r="Q665" t="s">
        <v>56</v>
      </c>
      <c r="R665" t="s">
        <v>59</v>
      </c>
      <c r="S665">
        <f t="shared" si="50"/>
        <v>2022</v>
      </c>
      <c r="T665" t="str">
        <f t="shared" si="51"/>
        <v>Oct</v>
      </c>
      <c r="U665">
        <f t="shared" si="52"/>
        <v>5</v>
      </c>
      <c r="V665">
        <f t="shared" si="53"/>
        <v>8</v>
      </c>
      <c r="W665" s="9">
        <f t="shared" si="54"/>
        <v>-2.5431777410390797E-2</v>
      </c>
    </row>
    <row r="666" spans="1:23">
      <c r="A666">
        <v>10665</v>
      </c>
      <c r="B666" s="5">
        <v>44861</v>
      </c>
      <c r="C666" s="5">
        <v>44863</v>
      </c>
      <c r="D666" s="5">
        <v>44864</v>
      </c>
      <c r="E666" t="s">
        <v>20</v>
      </c>
      <c r="F666" t="s">
        <v>22</v>
      </c>
      <c r="G666" t="s">
        <v>25</v>
      </c>
      <c r="H666" t="s">
        <v>33</v>
      </c>
      <c r="I666" t="s">
        <v>34</v>
      </c>
      <c r="J666" t="s">
        <v>41</v>
      </c>
      <c r="K666" t="s">
        <v>45</v>
      </c>
      <c r="L666" t="s">
        <v>53</v>
      </c>
      <c r="M666" s="7">
        <v>52441</v>
      </c>
      <c r="N666">
        <v>7.0000000000000007E-2</v>
      </c>
      <c r="O666" s="7">
        <v>14375</v>
      </c>
      <c r="P666">
        <v>23</v>
      </c>
      <c r="Q666" t="s">
        <v>57</v>
      </c>
      <c r="R666" t="s">
        <v>59</v>
      </c>
      <c r="S666">
        <f t="shared" si="50"/>
        <v>2022</v>
      </c>
      <c r="T666" t="str">
        <f t="shared" si="51"/>
        <v>Oct</v>
      </c>
      <c r="U666">
        <f t="shared" si="52"/>
        <v>2</v>
      </c>
      <c r="V666">
        <f t="shared" si="53"/>
        <v>3</v>
      </c>
      <c r="W666" s="9">
        <f t="shared" si="54"/>
        <v>0.27411757975629758</v>
      </c>
    </row>
    <row r="667" spans="1:23">
      <c r="A667">
        <v>10666</v>
      </c>
      <c r="B667" s="5">
        <v>44862</v>
      </c>
      <c r="C667" s="5">
        <v>44866</v>
      </c>
      <c r="D667" s="5">
        <v>44867</v>
      </c>
      <c r="E667" t="s">
        <v>18</v>
      </c>
      <c r="F667" t="s">
        <v>22</v>
      </c>
      <c r="G667" t="s">
        <v>28</v>
      </c>
      <c r="H667" t="s">
        <v>32</v>
      </c>
      <c r="I667" t="s">
        <v>34</v>
      </c>
      <c r="J667" t="s">
        <v>39</v>
      </c>
      <c r="K667" t="s">
        <v>49</v>
      </c>
      <c r="L667" t="s">
        <v>52</v>
      </c>
      <c r="M667" s="7">
        <v>42403</v>
      </c>
      <c r="N667">
        <v>0.04</v>
      </c>
      <c r="O667" s="7">
        <v>6974</v>
      </c>
      <c r="P667">
        <v>16</v>
      </c>
      <c r="Q667" t="s">
        <v>55</v>
      </c>
      <c r="R667" t="s">
        <v>61</v>
      </c>
      <c r="S667">
        <f t="shared" si="50"/>
        <v>2022</v>
      </c>
      <c r="T667" t="str">
        <f t="shared" si="51"/>
        <v>Oct</v>
      </c>
      <c r="U667">
        <f t="shared" si="52"/>
        <v>4</v>
      </c>
      <c r="V667">
        <f t="shared" si="53"/>
        <v>5</v>
      </c>
      <c r="W667" s="9">
        <f t="shared" si="54"/>
        <v>0.16446949508289507</v>
      </c>
    </row>
    <row r="668" spans="1:23">
      <c r="A668">
        <v>10667</v>
      </c>
      <c r="B668" s="5">
        <v>44863</v>
      </c>
      <c r="C668" s="5">
        <v>44866</v>
      </c>
      <c r="D668" s="5">
        <v>44869</v>
      </c>
      <c r="E668" t="s">
        <v>18</v>
      </c>
      <c r="F668" t="s">
        <v>22</v>
      </c>
      <c r="G668" t="s">
        <v>27</v>
      </c>
      <c r="H668" t="s">
        <v>25</v>
      </c>
      <c r="I668" t="s">
        <v>34</v>
      </c>
      <c r="J668" t="s">
        <v>39</v>
      </c>
      <c r="K668" t="s">
        <v>44</v>
      </c>
      <c r="L668" t="s">
        <v>52</v>
      </c>
      <c r="M668" s="7">
        <v>43218</v>
      </c>
      <c r="N668">
        <v>0.03</v>
      </c>
      <c r="O668" s="7">
        <v>-1986</v>
      </c>
      <c r="P668">
        <v>1</v>
      </c>
      <c r="Q668" t="s">
        <v>58</v>
      </c>
      <c r="R668" t="s">
        <v>62</v>
      </c>
      <c r="S668">
        <f t="shared" si="50"/>
        <v>2022</v>
      </c>
      <c r="T668" t="str">
        <f t="shared" si="51"/>
        <v>Oct</v>
      </c>
      <c r="U668">
        <f t="shared" si="52"/>
        <v>3</v>
      </c>
      <c r="V668">
        <f t="shared" si="53"/>
        <v>6</v>
      </c>
      <c r="W668" s="9">
        <f t="shared" si="54"/>
        <v>-4.5953075107594055E-2</v>
      </c>
    </row>
    <row r="669" spans="1:23">
      <c r="A669">
        <v>10668</v>
      </c>
      <c r="B669" s="5">
        <v>44864</v>
      </c>
      <c r="C669" s="5">
        <v>44867</v>
      </c>
      <c r="D669" s="5">
        <v>44868</v>
      </c>
      <c r="E669" t="s">
        <v>19</v>
      </c>
      <c r="F669" t="s">
        <v>22</v>
      </c>
      <c r="G669" t="s">
        <v>23</v>
      </c>
      <c r="H669" t="s">
        <v>25</v>
      </c>
      <c r="I669" t="s">
        <v>35</v>
      </c>
      <c r="J669" t="s">
        <v>43</v>
      </c>
      <c r="K669" t="s">
        <v>48</v>
      </c>
      <c r="L669" t="s">
        <v>53</v>
      </c>
      <c r="M669" s="7">
        <v>37168</v>
      </c>
      <c r="N669">
        <v>0.23</v>
      </c>
      <c r="O669" s="7">
        <v>5917</v>
      </c>
      <c r="P669">
        <v>17</v>
      </c>
      <c r="Q669" t="s">
        <v>54</v>
      </c>
      <c r="R669" t="s">
        <v>61</v>
      </c>
      <c r="S669">
        <f t="shared" si="50"/>
        <v>2022</v>
      </c>
      <c r="T669" t="str">
        <f t="shared" si="51"/>
        <v>Oct</v>
      </c>
      <c r="U669">
        <f t="shared" si="52"/>
        <v>3</v>
      </c>
      <c r="V669">
        <f t="shared" si="53"/>
        <v>4</v>
      </c>
      <c r="W669" s="9">
        <f t="shared" si="54"/>
        <v>0.15919608265174343</v>
      </c>
    </row>
    <row r="670" spans="1:23">
      <c r="A670">
        <v>10669</v>
      </c>
      <c r="B670" s="5">
        <v>44865</v>
      </c>
      <c r="C670" s="5">
        <v>44871</v>
      </c>
      <c r="D670" s="5">
        <v>44875</v>
      </c>
      <c r="E670" t="s">
        <v>19</v>
      </c>
      <c r="F670" t="s">
        <v>22</v>
      </c>
      <c r="G670" t="s">
        <v>27</v>
      </c>
      <c r="H670" t="s">
        <v>31</v>
      </c>
      <c r="I670" t="s">
        <v>36</v>
      </c>
      <c r="J670" t="s">
        <v>40</v>
      </c>
      <c r="K670" t="s">
        <v>49</v>
      </c>
      <c r="L670" t="s">
        <v>53</v>
      </c>
      <c r="M670" s="7">
        <v>20147</v>
      </c>
      <c r="N670">
        <v>0.16</v>
      </c>
      <c r="O670" s="7">
        <v>14256</v>
      </c>
      <c r="P670">
        <v>12</v>
      </c>
      <c r="Q670" t="s">
        <v>54</v>
      </c>
      <c r="R670" t="s">
        <v>62</v>
      </c>
      <c r="S670">
        <f t="shared" si="50"/>
        <v>2022</v>
      </c>
      <c r="T670" t="str">
        <f t="shared" si="51"/>
        <v>Oct</v>
      </c>
      <c r="U670">
        <f t="shared" si="52"/>
        <v>6</v>
      </c>
      <c r="V670">
        <f t="shared" si="53"/>
        <v>10</v>
      </c>
      <c r="W670" s="9">
        <f t="shared" si="54"/>
        <v>0.70759914627487963</v>
      </c>
    </row>
    <row r="671" spans="1:23">
      <c r="A671">
        <v>10670</v>
      </c>
      <c r="B671" s="5">
        <v>44866</v>
      </c>
      <c r="C671" s="5">
        <v>44869</v>
      </c>
      <c r="D671" s="5">
        <v>44871</v>
      </c>
      <c r="E671" t="s">
        <v>18</v>
      </c>
      <c r="F671" t="s">
        <v>22</v>
      </c>
      <c r="G671" t="s">
        <v>24</v>
      </c>
      <c r="H671" t="s">
        <v>32</v>
      </c>
      <c r="I671" t="s">
        <v>36</v>
      </c>
      <c r="J671" t="s">
        <v>37</v>
      </c>
      <c r="K671" t="s">
        <v>50</v>
      </c>
      <c r="L671" t="s">
        <v>52</v>
      </c>
      <c r="M671" s="7">
        <v>55662</v>
      </c>
      <c r="N671">
        <v>0.09</v>
      </c>
      <c r="O671" s="7">
        <v>-929</v>
      </c>
      <c r="P671">
        <v>15</v>
      </c>
      <c r="Q671" t="s">
        <v>58</v>
      </c>
      <c r="R671" t="s">
        <v>59</v>
      </c>
      <c r="S671">
        <f t="shared" si="50"/>
        <v>2022</v>
      </c>
      <c r="T671" t="str">
        <f t="shared" si="51"/>
        <v>Nov</v>
      </c>
      <c r="U671">
        <f t="shared" si="52"/>
        <v>3</v>
      </c>
      <c r="V671">
        <f t="shared" si="53"/>
        <v>5</v>
      </c>
      <c r="W671" s="9">
        <f t="shared" si="54"/>
        <v>-1.6690021918005102E-2</v>
      </c>
    </row>
    <row r="672" spans="1:23">
      <c r="A672">
        <v>10671</v>
      </c>
      <c r="B672" s="5">
        <v>44867</v>
      </c>
      <c r="C672" s="5">
        <v>44873</v>
      </c>
      <c r="D672" s="5">
        <v>44877</v>
      </c>
      <c r="E672" t="s">
        <v>18</v>
      </c>
      <c r="F672" t="s">
        <v>22</v>
      </c>
      <c r="G672" t="s">
        <v>27</v>
      </c>
      <c r="H672" t="s">
        <v>25</v>
      </c>
      <c r="I672" t="s">
        <v>35</v>
      </c>
      <c r="J672" t="s">
        <v>37</v>
      </c>
      <c r="K672" t="s">
        <v>49</v>
      </c>
      <c r="L672" t="s">
        <v>53</v>
      </c>
      <c r="M672" s="7">
        <v>24061</v>
      </c>
      <c r="N672">
        <v>0.32</v>
      </c>
      <c r="O672" s="7">
        <v>3844</v>
      </c>
      <c r="P672">
        <v>9</v>
      </c>
      <c r="Q672" t="s">
        <v>58</v>
      </c>
      <c r="R672" t="s">
        <v>61</v>
      </c>
      <c r="S672">
        <f t="shared" si="50"/>
        <v>2022</v>
      </c>
      <c r="T672" t="str">
        <f t="shared" si="51"/>
        <v>Nov</v>
      </c>
      <c r="U672">
        <f t="shared" si="52"/>
        <v>6</v>
      </c>
      <c r="V672">
        <f t="shared" si="53"/>
        <v>10</v>
      </c>
      <c r="W672" s="9">
        <f t="shared" si="54"/>
        <v>0.15976060845351397</v>
      </c>
    </row>
    <row r="673" spans="1:23">
      <c r="A673">
        <v>10672</v>
      </c>
      <c r="B673" s="5">
        <v>44868</v>
      </c>
      <c r="C673" s="5">
        <v>44875</v>
      </c>
      <c r="D673" s="5">
        <v>44876</v>
      </c>
      <c r="E673" t="s">
        <v>21</v>
      </c>
      <c r="F673" t="s">
        <v>22</v>
      </c>
      <c r="G673" t="s">
        <v>28</v>
      </c>
      <c r="H673" t="s">
        <v>25</v>
      </c>
      <c r="I673" t="s">
        <v>34</v>
      </c>
      <c r="J673" t="s">
        <v>42</v>
      </c>
      <c r="K673" t="s">
        <v>45</v>
      </c>
      <c r="L673" t="s">
        <v>53</v>
      </c>
      <c r="M673" s="7">
        <v>19639</v>
      </c>
      <c r="N673">
        <v>0.16</v>
      </c>
      <c r="O673" s="7">
        <v>17309</v>
      </c>
      <c r="P673">
        <v>5</v>
      </c>
      <c r="Q673" t="s">
        <v>54</v>
      </c>
      <c r="R673" t="s">
        <v>59</v>
      </c>
      <c r="S673">
        <f t="shared" si="50"/>
        <v>2022</v>
      </c>
      <c r="T673" t="str">
        <f t="shared" si="51"/>
        <v>Nov</v>
      </c>
      <c r="U673">
        <f t="shared" si="52"/>
        <v>7</v>
      </c>
      <c r="V673">
        <f t="shared" si="53"/>
        <v>8</v>
      </c>
      <c r="W673" s="9">
        <f t="shared" si="54"/>
        <v>0.88135852130963899</v>
      </c>
    </row>
    <row r="674" spans="1:23">
      <c r="A674">
        <v>10673</v>
      </c>
      <c r="B674" s="5">
        <v>44869</v>
      </c>
      <c r="C674" s="5">
        <v>44872</v>
      </c>
      <c r="D674" s="5">
        <v>44875</v>
      </c>
      <c r="E674" t="s">
        <v>20</v>
      </c>
      <c r="F674" t="s">
        <v>22</v>
      </c>
      <c r="G674" t="s">
        <v>26</v>
      </c>
      <c r="H674" t="s">
        <v>30</v>
      </c>
      <c r="I674" t="s">
        <v>34</v>
      </c>
      <c r="J674" t="s">
        <v>41</v>
      </c>
      <c r="K674" t="s">
        <v>48</v>
      </c>
      <c r="L674" t="s">
        <v>53</v>
      </c>
      <c r="M674" s="7">
        <v>25766</v>
      </c>
      <c r="N674">
        <v>0.14000000000000001</v>
      </c>
      <c r="O674" s="7">
        <v>6751</v>
      </c>
      <c r="P674">
        <v>12</v>
      </c>
      <c r="Q674" t="s">
        <v>55</v>
      </c>
      <c r="R674" t="s">
        <v>61</v>
      </c>
      <c r="S674">
        <f t="shared" si="50"/>
        <v>2022</v>
      </c>
      <c r="T674" t="str">
        <f t="shared" si="51"/>
        <v>Nov</v>
      </c>
      <c r="U674">
        <f t="shared" si="52"/>
        <v>3</v>
      </c>
      <c r="V674">
        <f t="shared" si="53"/>
        <v>6</v>
      </c>
      <c r="W674" s="9">
        <f t="shared" si="54"/>
        <v>0.26201195373748348</v>
      </c>
    </row>
    <row r="675" spans="1:23">
      <c r="A675">
        <v>10674</v>
      </c>
      <c r="B675" s="5">
        <v>44870</v>
      </c>
      <c r="C675" s="5">
        <v>44874</v>
      </c>
      <c r="D675" s="5">
        <v>44877</v>
      </c>
      <c r="E675" t="s">
        <v>19</v>
      </c>
      <c r="F675" t="s">
        <v>22</v>
      </c>
      <c r="G675" t="s">
        <v>28</v>
      </c>
      <c r="H675" t="s">
        <v>30</v>
      </c>
      <c r="I675" t="s">
        <v>36</v>
      </c>
      <c r="J675" t="s">
        <v>40</v>
      </c>
      <c r="K675" t="s">
        <v>46</v>
      </c>
      <c r="L675" t="s">
        <v>52</v>
      </c>
      <c r="M675" s="7">
        <v>57694</v>
      </c>
      <c r="N675">
        <v>0.23</v>
      </c>
      <c r="O675" s="7">
        <v>12247</v>
      </c>
      <c r="P675">
        <v>7</v>
      </c>
      <c r="Q675" t="s">
        <v>58</v>
      </c>
      <c r="R675" t="s">
        <v>59</v>
      </c>
      <c r="S675">
        <f t="shared" si="50"/>
        <v>2022</v>
      </c>
      <c r="T675" t="str">
        <f t="shared" si="51"/>
        <v>Nov</v>
      </c>
      <c r="U675">
        <f t="shared" si="52"/>
        <v>4</v>
      </c>
      <c r="V675">
        <f t="shared" si="53"/>
        <v>7</v>
      </c>
      <c r="W675" s="9">
        <f t="shared" si="54"/>
        <v>0.21227510659687315</v>
      </c>
    </row>
    <row r="676" spans="1:23">
      <c r="A676">
        <v>10675</v>
      </c>
      <c r="B676" s="5">
        <v>44871</v>
      </c>
      <c r="C676" s="5">
        <v>44876</v>
      </c>
      <c r="D676" s="5">
        <v>44880</v>
      </c>
      <c r="E676" t="s">
        <v>20</v>
      </c>
      <c r="F676" t="s">
        <v>22</v>
      </c>
      <c r="G676" t="s">
        <v>26</v>
      </c>
      <c r="H676" t="s">
        <v>29</v>
      </c>
      <c r="I676" t="s">
        <v>34</v>
      </c>
      <c r="J676" t="s">
        <v>40</v>
      </c>
      <c r="K676" t="s">
        <v>46</v>
      </c>
      <c r="L676" t="s">
        <v>53</v>
      </c>
      <c r="M676" s="7">
        <v>26999</v>
      </c>
      <c r="N676">
        <v>0.35</v>
      </c>
      <c r="O676" s="7">
        <v>18602</v>
      </c>
      <c r="P676">
        <v>3</v>
      </c>
      <c r="Q676" t="s">
        <v>54</v>
      </c>
      <c r="R676" t="s">
        <v>62</v>
      </c>
      <c r="S676">
        <f t="shared" si="50"/>
        <v>2022</v>
      </c>
      <c r="T676" t="str">
        <f t="shared" si="51"/>
        <v>Nov</v>
      </c>
      <c r="U676">
        <f t="shared" si="52"/>
        <v>5</v>
      </c>
      <c r="V676">
        <f t="shared" si="53"/>
        <v>9</v>
      </c>
      <c r="W676" s="9">
        <f t="shared" si="54"/>
        <v>0.68898848105485389</v>
      </c>
    </row>
    <row r="677" spans="1:23">
      <c r="A677">
        <v>10676</v>
      </c>
      <c r="B677" s="5">
        <v>44872</v>
      </c>
      <c r="C677" s="5">
        <v>44877</v>
      </c>
      <c r="D677" s="5">
        <v>44881</v>
      </c>
      <c r="E677" t="s">
        <v>20</v>
      </c>
      <c r="F677" t="s">
        <v>22</v>
      </c>
      <c r="G677" t="s">
        <v>26</v>
      </c>
      <c r="H677" t="s">
        <v>32</v>
      </c>
      <c r="I677" t="s">
        <v>35</v>
      </c>
      <c r="J677" t="s">
        <v>37</v>
      </c>
      <c r="K677" t="s">
        <v>46</v>
      </c>
      <c r="L677" t="s">
        <v>53</v>
      </c>
      <c r="M677" s="7">
        <v>43860</v>
      </c>
      <c r="N677">
        <v>0.08</v>
      </c>
      <c r="O677" s="7">
        <v>-396</v>
      </c>
      <c r="P677">
        <v>8</v>
      </c>
      <c r="Q677" t="s">
        <v>55</v>
      </c>
      <c r="R677" t="s">
        <v>61</v>
      </c>
      <c r="S677">
        <f t="shared" si="50"/>
        <v>2022</v>
      </c>
      <c r="T677" t="str">
        <f t="shared" si="51"/>
        <v>Nov</v>
      </c>
      <c r="U677">
        <f t="shared" si="52"/>
        <v>5</v>
      </c>
      <c r="V677">
        <f t="shared" si="53"/>
        <v>9</v>
      </c>
      <c r="W677" s="9">
        <f t="shared" si="54"/>
        <v>-9.0287277701778385E-3</v>
      </c>
    </row>
    <row r="678" spans="1:23">
      <c r="A678">
        <v>10677</v>
      </c>
      <c r="B678" s="5">
        <v>44873</v>
      </c>
      <c r="C678" s="5">
        <v>44880</v>
      </c>
      <c r="D678" s="5">
        <v>44885</v>
      </c>
      <c r="E678" t="s">
        <v>20</v>
      </c>
      <c r="F678" t="s">
        <v>22</v>
      </c>
      <c r="G678" t="s">
        <v>23</v>
      </c>
      <c r="H678" t="s">
        <v>31</v>
      </c>
      <c r="I678" t="s">
        <v>35</v>
      </c>
      <c r="J678" t="s">
        <v>38</v>
      </c>
      <c r="K678" t="s">
        <v>47</v>
      </c>
      <c r="L678" t="s">
        <v>51</v>
      </c>
      <c r="M678" s="7">
        <v>15651</v>
      </c>
      <c r="N678">
        <v>0.28000000000000003</v>
      </c>
      <c r="O678" s="7">
        <v>16866</v>
      </c>
      <c r="P678">
        <v>3</v>
      </c>
      <c r="Q678" t="s">
        <v>57</v>
      </c>
      <c r="R678" t="s">
        <v>59</v>
      </c>
      <c r="S678">
        <f t="shared" si="50"/>
        <v>2022</v>
      </c>
      <c r="T678" t="str">
        <f t="shared" si="51"/>
        <v>Nov</v>
      </c>
      <c r="U678">
        <f t="shared" si="52"/>
        <v>7</v>
      </c>
      <c r="V678">
        <f t="shared" si="53"/>
        <v>12</v>
      </c>
      <c r="W678" s="9">
        <f t="shared" si="54"/>
        <v>1.0776308223116733</v>
      </c>
    </row>
    <row r="679" spans="1:23">
      <c r="A679">
        <v>10678</v>
      </c>
      <c r="B679" s="5">
        <v>44874</v>
      </c>
      <c r="C679" s="5">
        <v>44881</v>
      </c>
      <c r="D679" s="5">
        <v>44882</v>
      </c>
      <c r="E679" t="s">
        <v>19</v>
      </c>
      <c r="F679" t="s">
        <v>22</v>
      </c>
      <c r="G679" t="s">
        <v>24</v>
      </c>
      <c r="H679" t="s">
        <v>32</v>
      </c>
      <c r="I679" t="s">
        <v>36</v>
      </c>
      <c r="J679" t="s">
        <v>42</v>
      </c>
      <c r="K679" t="s">
        <v>45</v>
      </c>
      <c r="L679" t="s">
        <v>53</v>
      </c>
      <c r="M679" s="7">
        <v>14662</v>
      </c>
      <c r="N679">
        <v>0.2</v>
      </c>
      <c r="O679" s="7">
        <v>15871</v>
      </c>
      <c r="P679">
        <v>18</v>
      </c>
      <c r="Q679" t="s">
        <v>55</v>
      </c>
      <c r="R679" t="s">
        <v>62</v>
      </c>
      <c r="S679">
        <f t="shared" si="50"/>
        <v>2022</v>
      </c>
      <c r="T679" t="str">
        <f t="shared" si="51"/>
        <v>Nov</v>
      </c>
      <c r="U679">
        <f t="shared" si="52"/>
        <v>7</v>
      </c>
      <c r="V679">
        <f t="shared" si="53"/>
        <v>8</v>
      </c>
      <c r="W679" s="9">
        <f t="shared" si="54"/>
        <v>1.0824580548356295</v>
      </c>
    </row>
    <row r="680" spans="1:23">
      <c r="A680">
        <v>10679</v>
      </c>
      <c r="B680" s="5">
        <v>44875</v>
      </c>
      <c r="C680" s="5">
        <v>44880</v>
      </c>
      <c r="D680" s="5">
        <v>44883</v>
      </c>
      <c r="E680" t="s">
        <v>20</v>
      </c>
      <c r="F680" t="s">
        <v>22</v>
      </c>
      <c r="G680" t="s">
        <v>26</v>
      </c>
      <c r="H680" t="s">
        <v>30</v>
      </c>
      <c r="I680" t="s">
        <v>35</v>
      </c>
      <c r="J680" t="s">
        <v>39</v>
      </c>
      <c r="K680" t="s">
        <v>46</v>
      </c>
      <c r="L680" t="s">
        <v>53</v>
      </c>
      <c r="M680" s="7">
        <v>24667</v>
      </c>
      <c r="N680">
        <v>0.18</v>
      </c>
      <c r="O680" s="7">
        <v>7992</v>
      </c>
      <c r="P680">
        <v>4</v>
      </c>
      <c r="Q680" t="s">
        <v>55</v>
      </c>
      <c r="R680" t="s">
        <v>61</v>
      </c>
      <c r="S680">
        <f t="shared" si="50"/>
        <v>2022</v>
      </c>
      <c r="T680" t="str">
        <f t="shared" si="51"/>
        <v>Nov</v>
      </c>
      <c r="U680">
        <f t="shared" si="52"/>
        <v>5</v>
      </c>
      <c r="V680">
        <f t="shared" si="53"/>
        <v>8</v>
      </c>
      <c r="W680" s="9">
        <f t="shared" si="54"/>
        <v>0.3239956216807881</v>
      </c>
    </row>
    <row r="681" spans="1:23">
      <c r="A681">
        <v>10680</v>
      </c>
      <c r="B681" s="5">
        <v>44876</v>
      </c>
      <c r="C681" s="5">
        <v>44881</v>
      </c>
      <c r="D681" s="5">
        <v>44884</v>
      </c>
      <c r="E681" t="s">
        <v>20</v>
      </c>
      <c r="F681" t="s">
        <v>22</v>
      </c>
      <c r="G681" t="s">
        <v>25</v>
      </c>
      <c r="H681" t="s">
        <v>25</v>
      </c>
      <c r="I681" t="s">
        <v>35</v>
      </c>
      <c r="J681" t="s">
        <v>41</v>
      </c>
      <c r="K681" t="s">
        <v>48</v>
      </c>
      <c r="L681" t="s">
        <v>52</v>
      </c>
      <c r="M681" s="7">
        <v>36215</v>
      </c>
      <c r="N681">
        <v>0.35</v>
      </c>
      <c r="O681" s="7">
        <v>7908</v>
      </c>
      <c r="P681">
        <v>19</v>
      </c>
      <c r="Q681" t="s">
        <v>58</v>
      </c>
      <c r="R681" t="s">
        <v>61</v>
      </c>
      <c r="S681">
        <f t="shared" si="50"/>
        <v>2022</v>
      </c>
      <c r="T681" t="str">
        <f t="shared" si="51"/>
        <v>Nov</v>
      </c>
      <c r="U681">
        <f t="shared" si="52"/>
        <v>5</v>
      </c>
      <c r="V681">
        <f t="shared" si="53"/>
        <v>8</v>
      </c>
      <c r="W681" s="9">
        <f t="shared" si="54"/>
        <v>0.21836255695153942</v>
      </c>
    </row>
    <row r="682" spans="1:23">
      <c r="A682">
        <v>10681</v>
      </c>
      <c r="B682" s="5">
        <v>44877</v>
      </c>
      <c r="C682" s="5">
        <v>44880</v>
      </c>
      <c r="D682" s="5">
        <v>44881</v>
      </c>
      <c r="E682" t="s">
        <v>21</v>
      </c>
      <c r="F682" t="s">
        <v>22</v>
      </c>
      <c r="G682" t="s">
        <v>24</v>
      </c>
      <c r="H682" t="s">
        <v>32</v>
      </c>
      <c r="I682" t="s">
        <v>34</v>
      </c>
      <c r="J682" t="s">
        <v>43</v>
      </c>
      <c r="K682" t="s">
        <v>50</v>
      </c>
      <c r="L682" t="s">
        <v>52</v>
      </c>
      <c r="M682" s="7">
        <v>6249</v>
      </c>
      <c r="N682">
        <v>0.21</v>
      </c>
      <c r="O682" s="7">
        <v>5749</v>
      </c>
      <c r="P682">
        <v>8</v>
      </c>
      <c r="Q682" t="s">
        <v>57</v>
      </c>
      <c r="R682" t="s">
        <v>62</v>
      </c>
      <c r="S682">
        <f t="shared" si="50"/>
        <v>2022</v>
      </c>
      <c r="T682" t="str">
        <f t="shared" si="51"/>
        <v>Nov</v>
      </c>
      <c r="U682">
        <f t="shared" si="52"/>
        <v>3</v>
      </c>
      <c r="V682">
        <f t="shared" si="53"/>
        <v>4</v>
      </c>
      <c r="W682" s="9">
        <f t="shared" si="54"/>
        <v>0.91998719795167228</v>
      </c>
    </row>
    <row r="683" spans="1:23">
      <c r="A683">
        <v>10682</v>
      </c>
      <c r="B683" s="5">
        <v>44878</v>
      </c>
      <c r="C683" s="5">
        <v>44883</v>
      </c>
      <c r="D683" s="5">
        <v>44886</v>
      </c>
      <c r="E683" t="s">
        <v>21</v>
      </c>
      <c r="F683" t="s">
        <v>22</v>
      </c>
      <c r="G683" t="s">
        <v>27</v>
      </c>
      <c r="H683" t="s">
        <v>29</v>
      </c>
      <c r="I683" t="s">
        <v>34</v>
      </c>
      <c r="J683" t="s">
        <v>39</v>
      </c>
      <c r="K683" t="s">
        <v>48</v>
      </c>
      <c r="L683" t="s">
        <v>52</v>
      </c>
      <c r="M683" s="7">
        <v>35167</v>
      </c>
      <c r="N683">
        <v>0.1</v>
      </c>
      <c r="O683" s="7">
        <v>1403</v>
      </c>
      <c r="P683">
        <v>16</v>
      </c>
      <c r="Q683" t="s">
        <v>56</v>
      </c>
      <c r="R683" t="s">
        <v>61</v>
      </c>
      <c r="S683">
        <f t="shared" si="50"/>
        <v>2022</v>
      </c>
      <c r="T683" t="str">
        <f t="shared" si="51"/>
        <v>Nov</v>
      </c>
      <c r="U683">
        <f t="shared" si="52"/>
        <v>5</v>
      </c>
      <c r="V683">
        <f t="shared" si="53"/>
        <v>8</v>
      </c>
      <c r="W683" s="9">
        <f t="shared" si="54"/>
        <v>3.9895356442119029E-2</v>
      </c>
    </row>
    <row r="684" spans="1:23">
      <c r="A684">
        <v>10683</v>
      </c>
      <c r="B684" s="5">
        <v>44879</v>
      </c>
      <c r="C684" s="5">
        <v>44886</v>
      </c>
      <c r="D684" s="5">
        <v>44890</v>
      </c>
      <c r="E684" t="s">
        <v>20</v>
      </c>
      <c r="F684" t="s">
        <v>22</v>
      </c>
      <c r="G684" t="s">
        <v>24</v>
      </c>
      <c r="H684" t="s">
        <v>31</v>
      </c>
      <c r="I684" t="s">
        <v>34</v>
      </c>
      <c r="J684" t="s">
        <v>37</v>
      </c>
      <c r="K684" t="s">
        <v>47</v>
      </c>
      <c r="L684" t="s">
        <v>53</v>
      </c>
      <c r="M684" s="7">
        <v>71967</v>
      </c>
      <c r="N684">
        <v>0.01</v>
      </c>
      <c r="O684" s="7">
        <v>9820</v>
      </c>
      <c r="P684">
        <v>18</v>
      </c>
      <c r="Q684" t="s">
        <v>54</v>
      </c>
      <c r="R684" t="s">
        <v>59</v>
      </c>
      <c r="S684">
        <f t="shared" si="50"/>
        <v>2022</v>
      </c>
      <c r="T684" t="str">
        <f t="shared" si="51"/>
        <v>Nov</v>
      </c>
      <c r="U684">
        <f t="shared" si="52"/>
        <v>7</v>
      </c>
      <c r="V684">
        <f t="shared" si="53"/>
        <v>11</v>
      </c>
      <c r="W684" s="9">
        <f t="shared" si="54"/>
        <v>0.13645142912723887</v>
      </c>
    </row>
    <row r="685" spans="1:23">
      <c r="A685">
        <v>10684</v>
      </c>
      <c r="B685" s="5">
        <v>44880</v>
      </c>
      <c r="C685" s="5">
        <v>44884</v>
      </c>
      <c r="D685" s="5">
        <v>44889</v>
      </c>
      <c r="E685" t="s">
        <v>21</v>
      </c>
      <c r="F685" t="s">
        <v>22</v>
      </c>
      <c r="G685" t="s">
        <v>25</v>
      </c>
      <c r="H685" t="s">
        <v>33</v>
      </c>
      <c r="I685" t="s">
        <v>34</v>
      </c>
      <c r="J685" t="s">
        <v>40</v>
      </c>
      <c r="K685" t="s">
        <v>46</v>
      </c>
      <c r="L685" t="s">
        <v>51</v>
      </c>
      <c r="M685" s="7">
        <v>10939</v>
      </c>
      <c r="N685">
        <v>0.27</v>
      </c>
      <c r="O685" s="7">
        <v>6352</v>
      </c>
      <c r="P685">
        <v>3</v>
      </c>
      <c r="Q685" t="s">
        <v>56</v>
      </c>
      <c r="R685" t="s">
        <v>60</v>
      </c>
      <c r="S685">
        <f t="shared" si="50"/>
        <v>2022</v>
      </c>
      <c r="T685" t="str">
        <f t="shared" si="51"/>
        <v>Nov</v>
      </c>
      <c r="U685">
        <f t="shared" si="52"/>
        <v>4</v>
      </c>
      <c r="V685">
        <f t="shared" si="53"/>
        <v>9</v>
      </c>
      <c r="W685" s="9">
        <f t="shared" si="54"/>
        <v>0.5806746503336685</v>
      </c>
    </row>
    <row r="686" spans="1:23">
      <c r="A686">
        <v>10685</v>
      </c>
      <c r="B686" s="5">
        <v>44881</v>
      </c>
      <c r="C686" s="5">
        <v>44888</v>
      </c>
      <c r="D686" s="5">
        <v>44893</v>
      </c>
      <c r="E686" t="s">
        <v>18</v>
      </c>
      <c r="F686" t="s">
        <v>22</v>
      </c>
      <c r="G686" t="s">
        <v>26</v>
      </c>
      <c r="H686" t="s">
        <v>25</v>
      </c>
      <c r="I686" t="s">
        <v>36</v>
      </c>
      <c r="J686" t="s">
        <v>39</v>
      </c>
      <c r="K686" t="s">
        <v>47</v>
      </c>
      <c r="L686" t="s">
        <v>52</v>
      </c>
      <c r="M686" s="7">
        <v>49616</v>
      </c>
      <c r="N686">
        <v>0.11</v>
      </c>
      <c r="O686" s="7">
        <v>6387</v>
      </c>
      <c r="P686">
        <v>14</v>
      </c>
      <c r="Q686" t="s">
        <v>57</v>
      </c>
      <c r="R686" t="s">
        <v>61</v>
      </c>
      <c r="S686">
        <f t="shared" si="50"/>
        <v>2022</v>
      </c>
      <c r="T686" t="str">
        <f t="shared" si="51"/>
        <v>Nov</v>
      </c>
      <c r="U686">
        <f t="shared" si="52"/>
        <v>7</v>
      </c>
      <c r="V686">
        <f t="shared" si="53"/>
        <v>12</v>
      </c>
      <c r="W686" s="9">
        <f t="shared" si="54"/>
        <v>0.12872863592389552</v>
      </c>
    </row>
    <row r="687" spans="1:23">
      <c r="A687">
        <v>10686</v>
      </c>
      <c r="B687" s="5">
        <v>44882</v>
      </c>
      <c r="C687" s="5">
        <v>44885</v>
      </c>
      <c r="D687" s="5">
        <v>44889</v>
      </c>
      <c r="E687" t="s">
        <v>19</v>
      </c>
      <c r="F687" t="s">
        <v>22</v>
      </c>
      <c r="G687" t="s">
        <v>28</v>
      </c>
      <c r="H687" t="s">
        <v>30</v>
      </c>
      <c r="I687" t="s">
        <v>36</v>
      </c>
      <c r="J687" t="s">
        <v>38</v>
      </c>
      <c r="K687" t="s">
        <v>45</v>
      </c>
      <c r="L687" t="s">
        <v>52</v>
      </c>
      <c r="M687" s="7">
        <v>38523</v>
      </c>
      <c r="N687">
        <v>0.23</v>
      </c>
      <c r="O687" s="7">
        <v>8070</v>
      </c>
      <c r="P687">
        <v>3</v>
      </c>
      <c r="Q687" t="s">
        <v>57</v>
      </c>
      <c r="R687" t="s">
        <v>59</v>
      </c>
      <c r="S687">
        <f t="shared" si="50"/>
        <v>2022</v>
      </c>
      <c r="T687" t="str">
        <f t="shared" si="51"/>
        <v>Nov</v>
      </c>
      <c r="U687">
        <f t="shared" si="52"/>
        <v>3</v>
      </c>
      <c r="V687">
        <f t="shared" si="53"/>
        <v>7</v>
      </c>
      <c r="W687" s="9">
        <f t="shared" si="54"/>
        <v>0.2094852425823534</v>
      </c>
    </row>
    <row r="688" spans="1:23">
      <c r="A688">
        <v>10687</v>
      </c>
      <c r="B688" s="5">
        <v>44883</v>
      </c>
      <c r="C688" s="5">
        <v>44887</v>
      </c>
      <c r="D688" s="5">
        <v>44891</v>
      </c>
      <c r="E688" t="s">
        <v>20</v>
      </c>
      <c r="F688" t="s">
        <v>22</v>
      </c>
      <c r="G688" t="s">
        <v>28</v>
      </c>
      <c r="H688" t="s">
        <v>32</v>
      </c>
      <c r="I688" t="s">
        <v>34</v>
      </c>
      <c r="J688" t="s">
        <v>37</v>
      </c>
      <c r="K688" t="s">
        <v>48</v>
      </c>
      <c r="L688" t="s">
        <v>51</v>
      </c>
      <c r="M688" s="7">
        <v>7458</v>
      </c>
      <c r="N688">
        <v>0.15</v>
      </c>
      <c r="O688" s="7">
        <v>14314</v>
      </c>
      <c r="P688">
        <v>11</v>
      </c>
      <c r="Q688" t="s">
        <v>55</v>
      </c>
      <c r="R688" t="s">
        <v>62</v>
      </c>
      <c r="S688">
        <f t="shared" si="50"/>
        <v>2022</v>
      </c>
      <c r="T688" t="str">
        <f t="shared" si="51"/>
        <v>Nov</v>
      </c>
      <c r="U688">
        <f t="shared" si="52"/>
        <v>4</v>
      </c>
      <c r="V688">
        <f t="shared" si="53"/>
        <v>8</v>
      </c>
      <c r="W688" s="9">
        <f t="shared" si="54"/>
        <v>1.9192813086618397</v>
      </c>
    </row>
    <row r="689" spans="1:23">
      <c r="A689">
        <v>10688</v>
      </c>
      <c r="B689" s="5">
        <v>44884</v>
      </c>
      <c r="C689" s="5">
        <v>44886</v>
      </c>
      <c r="D689" s="5">
        <v>44887</v>
      </c>
      <c r="E689" t="s">
        <v>20</v>
      </c>
      <c r="F689" t="s">
        <v>22</v>
      </c>
      <c r="G689" t="s">
        <v>28</v>
      </c>
      <c r="H689" t="s">
        <v>31</v>
      </c>
      <c r="I689" t="s">
        <v>36</v>
      </c>
      <c r="J689" t="s">
        <v>37</v>
      </c>
      <c r="K689" t="s">
        <v>46</v>
      </c>
      <c r="L689" t="s">
        <v>51</v>
      </c>
      <c r="M689" s="7">
        <v>73087</v>
      </c>
      <c r="N689">
        <v>0.1</v>
      </c>
      <c r="O689" s="7">
        <v>3326</v>
      </c>
      <c r="P689">
        <v>17</v>
      </c>
      <c r="Q689" t="s">
        <v>57</v>
      </c>
      <c r="R689" t="s">
        <v>61</v>
      </c>
      <c r="S689">
        <f t="shared" si="50"/>
        <v>2022</v>
      </c>
      <c r="T689" t="str">
        <f t="shared" si="51"/>
        <v>Nov</v>
      </c>
      <c r="U689">
        <f t="shared" si="52"/>
        <v>2</v>
      </c>
      <c r="V689">
        <f t="shared" si="53"/>
        <v>3</v>
      </c>
      <c r="W689" s="9">
        <f t="shared" si="54"/>
        <v>4.550740897834088E-2</v>
      </c>
    </row>
    <row r="690" spans="1:23">
      <c r="A690">
        <v>10689</v>
      </c>
      <c r="B690" s="5">
        <v>44885</v>
      </c>
      <c r="C690" s="5">
        <v>44888</v>
      </c>
      <c r="D690" s="5">
        <v>44893</v>
      </c>
      <c r="E690" t="s">
        <v>21</v>
      </c>
      <c r="F690" t="s">
        <v>22</v>
      </c>
      <c r="G690" t="s">
        <v>27</v>
      </c>
      <c r="H690" t="s">
        <v>32</v>
      </c>
      <c r="I690" t="s">
        <v>35</v>
      </c>
      <c r="J690" t="s">
        <v>40</v>
      </c>
      <c r="K690" t="s">
        <v>46</v>
      </c>
      <c r="L690" t="s">
        <v>53</v>
      </c>
      <c r="M690" s="7">
        <v>20849</v>
      </c>
      <c r="N690">
        <v>0.05</v>
      </c>
      <c r="O690" s="7">
        <v>5170</v>
      </c>
      <c r="P690">
        <v>19</v>
      </c>
      <c r="Q690" t="s">
        <v>58</v>
      </c>
      <c r="R690" t="s">
        <v>60</v>
      </c>
      <c r="S690">
        <f t="shared" si="50"/>
        <v>2022</v>
      </c>
      <c r="T690" t="str">
        <f t="shared" si="51"/>
        <v>Nov</v>
      </c>
      <c r="U690">
        <f t="shared" si="52"/>
        <v>3</v>
      </c>
      <c r="V690">
        <f t="shared" si="53"/>
        <v>8</v>
      </c>
      <c r="W690" s="9">
        <f t="shared" si="54"/>
        <v>0.24797352391001967</v>
      </c>
    </row>
    <row r="691" spans="1:23">
      <c r="A691">
        <v>10690</v>
      </c>
      <c r="B691" s="5">
        <v>44886</v>
      </c>
      <c r="C691" s="5">
        <v>44893</v>
      </c>
      <c r="D691" s="5">
        <v>44894</v>
      </c>
      <c r="E691" t="s">
        <v>19</v>
      </c>
      <c r="F691" t="s">
        <v>22</v>
      </c>
      <c r="G691" t="s">
        <v>26</v>
      </c>
      <c r="H691" t="s">
        <v>29</v>
      </c>
      <c r="I691" t="s">
        <v>36</v>
      </c>
      <c r="J691" t="s">
        <v>38</v>
      </c>
      <c r="K691" t="s">
        <v>48</v>
      </c>
      <c r="L691" t="s">
        <v>51</v>
      </c>
      <c r="M691" s="7">
        <v>46161</v>
      </c>
      <c r="N691">
        <v>0.16</v>
      </c>
      <c r="O691" s="7">
        <v>2823</v>
      </c>
      <c r="P691">
        <v>1</v>
      </c>
      <c r="Q691" t="s">
        <v>54</v>
      </c>
      <c r="R691" t="s">
        <v>62</v>
      </c>
      <c r="S691">
        <f t="shared" si="50"/>
        <v>2022</v>
      </c>
      <c r="T691" t="str">
        <f t="shared" si="51"/>
        <v>Nov</v>
      </c>
      <c r="U691">
        <f t="shared" si="52"/>
        <v>7</v>
      </c>
      <c r="V691">
        <f t="shared" si="53"/>
        <v>8</v>
      </c>
      <c r="W691" s="9">
        <f t="shared" si="54"/>
        <v>6.1155520894261392E-2</v>
      </c>
    </row>
    <row r="692" spans="1:23">
      <c r="A692">
        <v>10691</v>
      </c>
      <c r="B692" s="5">
        <v>44887</v>
      </c>
      <c r="C692" s="5">
        <v>44890</v>
      </c>
      <c r="D692" s="5">
        <v>44891</v>
      </c>
      <c r="E692" t="s">
        <v>20</v>
      </c>
      <c r="F692" t="s">
        <v>22</v>
      </c>
      <c r="G692" t="s">
        <v>23</v>
      </c>
      <c r="H692" t="s">
        <v>33</v>
      </c>
      <c r="I692" t="s">
        <v>35</v>
      </c>
      <c r="J692" t="s">
        <v>43</v>
      </c>
      <c r="K692" t="s">
        <v>45</v>
      </c>
      <c r="L692" t="s">
        <v>52</v>
      </c>
      <c r="M692" s="7">
        <v>69639</v>
      </c>
      <c r="N692">
        <v>0.26</v>
      </c>
      <c r="O692" s="7">
        <v>6352</v>
      </c>
      <c r="P692">
        <v>11</v>
      </c>
      <c r="Q692" t="s">
        <v>56</v>
      </c>
      <c r="R692" t="s">
        <v>60</v>
      </c>
      <c r="S692">
        <f t="shared" si="50"/>
        <v>2022</v>
      </c>
      <c r="T692" t="str">
        <f t="shared" si="51"/>
        <v>Nov</v>
      </c>
      <c r="U692">
        <f t="shared" si="52"/>
        <v>3</v>
      </c>
      <c r="V692">
        <f t="shared" si="53"/>
        <v>4</v>
      </c>
      <c r="W692" s="9">
        <f t="shared" si="54"/>
        <v>9.1213256939358694E-2</v>
      </c>
    </row>
    <row r="693" spans="1:23">
      <c r="A693">
        <v>10692</v>
      </c>
      <c r="B693" s="5">
        <v>44888</v>
      </c>
      <c r="C693" s="5">
        <v>44894</v>
      </c>
      <c r="D693" s="5">
        <v>44897</v>
      </c>
      <c r="E693" t="s">
        <v>21</v>
      </c>
      <c r="F693" t="s">
        <v>22</v>
      </c>
      <c r="G693" t="s">
        <v>23</v>
      </c>
      <c r="H693" t="s">
        <v>33</v>
      </c>
      <c r="I693" t="s">
        <v>35</v>
      </c>
      <c r="J693" t="s">
        <v>39</v>
      </c>
      <c r="K693" t="s">
        <v>50</v>
      </c>
      <c r="L693" t="s">
        <v>53</v>
      </c>
      <c r="M693" s="7">
        <v>40112</v>
      </c>
      <c r="N693">
        <v>0.4</v>
      </c>
      <c r="O693" s="7">
        <v>4851</v>
      </c>
      <c r="P693">
        <v>12</v>
      </c>
      <c r="Q693" t="s">
        <v>58</v>
      </c>
      <c r="R693" t="s">
        <v>59</v>
      </c>
      <c r="S693">
        <f t="shared" si="50"/>
        <v>2022</v>
      </c>
      <c r="T693" t="str">
        <f t="shared" si="51"/>
        <v>Nov</v>
      </c>
      <c r="U693">
        <f t="shared" si="52"/>
        <v>6</v>
      </c>
      <c r="V693">
        <f t="shared" si="53"/>
        <v>9</v>
      </c>
      <c r="W693" s="9">
        <f t="shared" si="54"/>
        <v>0.12093637814120463</v>
      </c>
    </row>
    <row r="694" spans="1:23">
      <c r="A694">
        <v>10693</v>
      </c>
      <c r="B694" s="5">
        <v>44889</v>
      </c>
      <c r="C694" s="5">
        <v>44892</v>
      </c>
      <c r="D694" s="5">
        <v>44894</v>
      </c>
      <c r="E694" t="s">
        <v>19</v>
      </c>
      <c r="F694" t="s">
        <v>22</v>
      </c>
      <c r="G694" t="s">
        <v>28</v>
      </c>
      <c r="H694" t="s">
        <v>30</v>
      </c>
      <c r="I694" t="s">
        <v>34</v>
      </c>
      <c r="J694" t="s">
        <v>43</v>
      </c>
      <c r="K694" t="s">
        <v>50</v>
      </c>
      <c r="L694" t="s">
        <v>51</v>
      </c>
      <c r="M694" s="7">
        <v>8534</v>
      </c>
      <c r="N694">
        <v>0.2</v>
      </c>
      <c r="O694" s="7">
        <v>5802</v>
      </c>
      <c r="P694">
        <v>20</v>
      </c>
      <c r="Q694" t="s">
        <v>58</v>
      </c>
      <c r="R694" t="s">
        <v>60</v>
      </c>
      <c r="S694">
        <f t="shared" si="50"/>
        <v>2022</v>
      </c>
      <c r="T694" t="str">
        <f t="shared" si="51"/>
        <v>Nov</v>
      </c>
      <c r="U694">
        <f t="shared" si="52"/>
        <v>3</v>
      </c>
      <c r="V694">
        <f t="shared" si="53"/>
        <v>5</v>
      </c>
      <c r="W694" s="9">
        <f t="shared" si="54"/>
        <v>0.67986876025310528</v>
      </c>
    </row>
    <row r="695" spans="1:23">
      <c r="A695">
        <v>10694</v>
      </c>
      <c r="B695" s="5">
        <v>44890</v>
      </c>
      <c r="C695" s="5">
        <v>44894</v>
      </c>
      <c r="D695" s="5">
        <v>44896</v>
      </c>
      <c r="E695" t="s">
        <v>18</v>
      </c>
      <c r="F695" t="s">
        <v>22</v>
      </c>
      <c r="G695" t="s">
        <v>25</v>
      </c>
      <c r="H695" t="s">
        <v>32</v>
      </c>
      <c r="I695" t="s">
        <v>36</v>
      </c>
      <c r="J695" t="s">
        <v>43</v>
      </c>
      <c r="K695" t="s">
        <v>50</v>
      </c>
      <c r="L695" t="s">
        <v>53</v>
      </c>
      <c r="M695" s="7">
        <v>57109</v>
      </c>
      <c r="N695">
        <v>0.36</v>
      </c>
      <c r="O695" s="7">
        <v>6044</v>
      </c>
      <c r="P695">
        <v>13</v>
      </c>
      <c r="Q695" t="s">
        <v>56</v>
      </c>
      <c r="R695" t="s">
        <v>61</v>
      </c>
      <c r="S695">
        <f t="shared" si="50"/>
        <v>2022</v>
      </c>
      <c r="T695" t="str">
        <f t="shared" si="51"/>
        <v>Nov</v>
      </c>
      <c r="U695">
        <f t="shared" si="52"/>
        <v>4</v>
      </c>
      <c r="V695">
        <f t="shared" si="53"/>
        <v>6</v>
      </c>
      <c r="W695" s="9">
        <f t="shared" si="54"/>
        <v>0.10583270587823285</v>
      </c>
    </row>
    <row r="696" spans="1:23">
      <c r="A696">
        <v>10695</v>
      </c>
      <c r="B696" s="5">
        <v>44891</v>
      </c>
      <c r="C696" s="5">
        <v>44896</v>
      </c>
      <c r="D696" s="5">
        <v>44901</v>
      </c>
      <c r="E696" t="s">
        <v>21</v>
      </c>
      <c r="F696" t="s">
        <v>22</v>
      </c>
      <c r="G696" t="s">
        <v>28</v>
      </c>
      <c r="H696" t="s">
        <v>33</v>
      </c>
      <c r="I696" t="s">
        <v>36</v>
      </c>
      <c r="J696" t="s">
        <v>39</v>
      </c>
      <c r="K696" t="s">
        <v>49</v>
      </c>
      <c r="L696" t="s">
        <v>52</v>
      </c>
      <c r="M696" s="7">
        <v>61887</v>
      </c>
      <c r="N696">
        <v>0.15</v>
      </c>
      <c r="O696" s="7">
        <v>19471</v>
      </c>
      <c r="P696">
        <v>22</v>
      </c>
      <c r="Q696" t="s">
        <v>57</v>
      </c>
      <c r="R696" t="s">
        <v>61</v>
      </c>
      <c r="S696">
        <f t="shared" si="50"/>
        <v>2022</v>
      </c>
      <c r="T696" t="str">
        <f t="shared" si="51"/>
        <v>Nov</v>
      </c>
      <c r="U696">
        <f t="shared" si="52"/>
        <v>5</v>
      </c>
      <c r="V696">
        <f t="shared" si="53"/>
        <v>10</v>
      </c>
      <c r="W696" s="9">
        <f t="shared" si="54"/>
        <v>0.31462181071953721</v>
      </c>
    </row>
    <row r="697" spans="1:23">
      <c r="A697">
        <v>10696</v>
      </c>
      <c r="B697" s="5">
        <v>44892</v>
      </c>
      <c r="C697" s="5">
        <v>44896</v>
      </c>
      <c r="D697" s="5">
        <v>44898</v>
      </c>
      <c r="E697" t="s">
        <v>21</v>
      </c>
      <c r="F697" t="s">
        <v>22</v>
      </c>
      <c r="G697" t="s">
        <v>25</v>
      </c>
      <c r="H697" t="s">
        <v>29</v>
      </c>
      <c r="I697" t="s">
        <v>34</v>
      </c>
      <c r="J697" t="s">
        <v>43</v>
      </c>
      <c r="K697" t="s">
        <v>48</v>
      </c>
      <c r="L697" t="s">
        <v>52</v>
      </c>
      <c r="M697" s="7">
        <v>46159</v>
      </c>
      <c r="N697">
        <v>0.3</v>
      </c>
      <c r="O697" s="7">
        <v>-213</v>
      </c>
      <c r="P697">
        <v>7</v>
      </c>
      <c r="Q697" t="s">
        <v>56</v>
      </c>
      <c r="R697" t="s">
        <v>62</v>
      </c>
      <c r="S697">
        <f t="shared" si="50"/>
        <v>2022</v>
      </c>
      <c r="T697" t="str">
        <f t="shared" si="51"/>
        <v>Nov</v>
      </c>
      <c r="U697">
        <f t="shared" si="52"/>
        <v>4</v>
      </c>
      <c r="V697">
        <f t="shared" si="53"/>
        <v>6</v>
      </c>
      <c r="W697" s="9">
        <f t="shared" si="54"/>
        <v>-4.6144847158733938E-3</v>
      </c>
    </row>
    <row r="698" spans="1:23">
      <c r="A698">
        <v>10697</v>
      </c>
      <c r="B698" s="5">
        <v>44893</v>
      </c>
      <c r="C698" s="5">
        <v>44895</v>
      </c>
      <c r="D698" s="5">
        <v>44899</v>
      </c>
      <c r="E698" t="s">
        <v>21</v>
      </c>
      <c r="F698" t="s">
        <v>22</v>
      </c>
      <c r="G698" t="s">
        <v>27</v>
      </c>
      <c r="H698" t="s">
        <v>31</v>
      </c>
      <c r="I698" t="s">
        <v>36</v>
      </c>
      <c r="J698" t="s">
        <v>38</v>
      </c>
      <c r="K698" t="s">
        <v>47</v>
      </c>
      <c r="L698" t="s">
        <v>53</v>
      </c>
      <c r="M698" s="7">
        <v>40725</v>
      </c>
      <c r="N698">
        <v>0.13</v>
      </c>
      <c r="O698" s="7">
        <v>10524</v>
      </c>
      <c r="P698">
        <v>4</v>
      </c>
      <c r="Q698" t="s">
        <v>56</v>
      </c>
      <c r="R698" t="s">
        <v>59</v>
      </c>
      <c r="S698">
        <f t="shared" si="50"/>
        <v>2022</v>
      </c>
      <c r="T698" t="str">
        <f t="shared" si="51"/>
        <v>Nov</v>
      </c>
      <c r="U698">
        <f t="shared" si="52"/>
        <v>2</v>
      </c>
      <c r="V698">
        <f t="shared" si="53"/>
        <v>6</v>
      </c>
      <c r="W698" s="9">
        <f t="shared" si="54"/>
        <v>0.25841620626151013</v>
      </c>
    </row>
    <row r="699" spans="1:23">
      <c r="A699">
        <v>10698</v>
      </c>
      <c r="B699" s="5">
        <v>44894</v>
      </c>
      <c r="C699" s="5">
        <v>44896</v>
      </c>
      <c r="D699" s="5">
        <v>44897</v>
      </c>
      <c r="E699" t="s">
        <v>20</v>
      </c>
      <c r="F699" t="s">
        <v>22</v>
      </c>
      <c r="G699" t="s">
        <v>23</v>
      </c>
      <c r="H699" t="s">
        <v>30</v>
      </c>
      <c r="I699" t="s">
        <v>35</v>
      </c>
      <c r="J699" t="s">
        <v>39</v>
      </c>
      <c r="K699" t="s">
        <v>48</v>
      </c>
      <c r="L699" t="s">
        <v>51</v>
      </c>
      <c r="M699" s="7">
        <v>62090</v>
      </c>
      <c r="N699">
        <v>0.16</v>
      </c>
      <c r="O699" s="7">
        <v>-1156</v>
      </c>
      <c r="P699">
        <v>23</v>
      </c>
      <c r="Q699" t="s">
        <v>57</v>
      </c>
      <c r="R699" t="s">
        <v>59</v>
      </c>
      <c r="S699">
        <f t="shared" si="50"/>
        <v>2022</v>
      </c>
      <c r="T699" t="str">
        <f t="shared" si="51"/>
        <v>Nov</v>
      </c>
      <c r="U699">
        <f t="shared" si="52"/>
        <v>2</v>
      </c>
      <c r="V699">
        <f t="shared" si="53"/>
        <v>3</v>
      </c>
      <c r="W699" s="9">
        <f t="shared" si="54"/>
        <v>-1.8618134965372846E-2</v>
      </c>
    </row>
    <row r="700" spans="1:23">
      <c r="A700">
        <v>10699</v>
      </c>
      <c r="B700" s="5">
        <v>44895</v>
      </c>
      <c r="C700" s="5">
        <v>44900</v>
      </c>
      <c r="D700" s="5">
        <v>44901</v>
      </c>
      <c r="E700" t="s">
        <v>18</v>
      </c>
      <c r="F700" t="s">
        <v>22</v>
      </c>
      <c r="G700" t="s">
        <v>24</v>
      </c>
      <c r="H700" t="s">
        <v>31</v>
      </c>
      <c r="I700" t="s">
        <v>35</v>
      </c>
      <c r="J700" t="s">
        <v>37</v>
      </c>
      <c r="K700" t="s">
        <v>50</v>
      </c>
      <c r="L700" t="s">
        <v>51</v>
      </c>
      <c r="M700" s="7">
        <v>72224</v>
      </c>
      <c r="N700">
        <v>0.25</v>
      </c>
      <c r="O700" s="7">
        <v>18931</v>
      </c>
      <c r="P700">
        <v>4</v>
      </c>
      <c r="Q700" t="s">
        <v>56</v>
      </c>
      <c r="R700" t="s">
        <v>61</v>
      </c>
      <c r="S700">
        <f t="shared" si="50"/>
        <v>2022</v>
      </c>
      <c r="T700" t="str">
        <f t="shared" si="51"/>
        <v>Nov</v>
      </c>
      <c r="U700">
        <f t="shared" si="52"/>
        <v>5</v>
      </c>
      <c r="V700">
        <f t="shared" si="53"/>
        <v>6</v>
      </c>
      <c r="W700" s="9">
        <f t="shared" si="54"/>
        <v>0.26211508639787329</v>
      </c>
    </row>
    <row r="701" spans="1:23">
      <c r="A701">
        <v>10700</v>
      </c>
      <c r="B701" s="5">
        <v>44896</v>
      </c>
      <c r="C701" s="5">
        <v>44902</v>
      </c>
      <c r="D701" s="5">
        <v>44905</v>
      </c>
      <c r="E701" t="s">
        <v>20</v>
      </c>
      <c r="F701" t="s">
        <v>22</v>
      </c>
      <c r="G701" t="s">
        <v>27</v>
      </c>
      <c r="H701" t="s">
        <v>33</v>
      </c>
      <c r="I701" t="s">
        <v>34</v>
      </c>
      <c r="J701" t="s">
        <v>40</v>
      </c>
      <c r="K701" t="s">
        <v>48</v>
      </c>
      <c r="L701" t="s">
        <v>52</v>
      </c>
      <c r="M701" s="7">
        <v>74123</v>
      </c>
      <c r="N701">
        <v>0.25</v>
      </c>
      <c r="O701" s="7">
        <v>2506</v>
      </c>
      <c r="P701">
        <v>12</v>
      </c>
      <c r="Q701" t="s">
        <v>58</v>
      </c>
      <c r="R701" t="s">
        <v>60</v>
      </c>
      <c r="S701">
        <f t="shared" si="50"/>
        <v>2022</v>
      </c>
      <c r="T701" t="str">
        <f t="shared" si="51"/>
        <v>Dec</v>
      </c>
      <c r="U701">
        <f t="shared" si="52"/>
        <v>6</v>
      </c>
      <c r="V701">
        <f t="shared" si="53"/>
        <v>9</v>
      </c>
      <c r="W701" s="9">
        <f t="shared" si="54"/>
        <v>3.3808669373878553E-2</v>
      </c>
    </row>
    <row r="702" spans="1:23">
      <c r="A702">
        <v>10701</v>
      </c>
      <c r="B702" s="5">
        <v>44897</v>
      </c>
      <c r="C702" s="5">
        <v>44904</v>
      </c>
      <c r="D702" s="5">
        <v>44909</v>
      </c>
      <c r="E702" t="s">
        <v>21</v>
      </c>
      <c r="F702" t="s">
        <v>22</v>
      </c>
      <c r="G702" t="s">
        <v>25</v>
      </c>
      <c r="H702" t="s">
        <v>33</v>
      </c>
      <c r="I702" t="s">
        <v>34</v>
      </c>
      <c r="J702" t="s">
        <v>40</v>
      </c>
      <c r="K702" t="s">
        <v>45</v>
      </c>
      <c r="L702" t="s">
        <v>53</v>
      </c>
      <c r="M702" s="7">
        <v>9026</v>
      </c>
      <c r="N702">
        <v>0.33</v>
      </c>
      <c r="O702" s="7">
        <v>499</v>
      </c>
      <c r="P702">
        <v>5</v>
      </c>
      <c r="Q702" t="s">
        <v>58</v>
      </c>
      <c r="R702" t="s">
        <v>61</v>
      </c>
      <c r="S702">
        <f t="shared" si="50"/>
        <v>2022</v>
      </c>
      <c r="T702" t="str">
        <f t="shared" si="51"/>
        <v>Dec</v>
      </c>
      <c r="U702">
        <f t="shared" si="52"/>
        <v>7</v>
      </c>
      <c r="V702">
        <f t="shared" si="53"/>
        <v>12</v>
      </c>
      <c r="W702" s="9">
        <f t="shared" si="54"/>
        <v>5.5284732993574122E-2</v>
      </c>
    </row>
    <row r="703" spans="1:23">
      <c r="A703">
        <v>10702</v>
      </c>
      <c r="B703" s="5">
        <v>44898</v>
      </c>
      <c r="C703" s="5">
        <v>44903</v>
      </c>
      <c r="D703" s="5">
        <v>44906</v>
      </c>
      <c r="E703" t="s">
        <v>18</v>
      </c>
      <c r="F703" t="s">
        <v>22</v>
      </c>
      <c r="G703" t="s">
        <v>28</v>
      </c>
      <c r="H703" t="s">
        <v>29</v>
      </c>
      <c r="I703" t="s">
        <v>36</v>
      </c>
      <c r="J703" t="s">
        <v>42</v>
      </c>
      <c r="K703" t="s">
        <v>48</v>
      </c>
      <c r="L703" t="s">
        <v>52</v>
      </c>
      <c r="M703" s="7">
        <v>24170</v>
      </c>
      <c r="N703">
        <v>0.18</v>
      </c>
      <c r="O703" s="7">
        <v>14048</v>
      </c>
      <c r="P703">
        <v>8</v>
      </c>
      <c r="Q703" t="s">
        <v>56</v>
      </c>
      <c r="R703" t="s">
        <v>61</v>
      </c>
      <c r="S703">
        <f t="shared" si="50"/>
        <v>2022</v>
      </c>
      <c r="T703" t="str">
        <f t="shared" si="51"/>
        <v>Dec</v>
      </c>
      <c r="U703">
        <f t="shared" si="52"/>
        <v>5</v>
      </c>
      <c r="V703">
        <f t="shared" si="53"/>
        <v>8</v>
      </c>
      <c r="W703" s="9">
        <f t="shared" si="54"/>
        <v>0.58121638394704178</v>
      </c>
    </row>
    <row r="704" spans="1:23">
      <c r="A704">
        <v>10703</v>
      </c>
      <c r="B704" s="5">
        <v>44899</v>
      </c>
      <c r="C704" s="5">
        <v>44905</v>
      </c>
      <c r="D704" s="5">
        <v>44910</v>
      </c>
      <c r="E704" t="s">
        <v>19</v>
      </c>
      <c r="F704" t="s">
        <v>22</v>
      </c>
      <c r="G704" t="s">
        <v>24</v>
      </c>
      <c r="H704" t="s">
        <v>33</v>
      </c>
      <c r="I704" t="s">
        <v>35</v>
      </c>
      <c r="J704" t="s">
        <v>37</v>
      </c>
      <c r="K704" t="s">
        <v>45</v>
      </c>
      <c r="L704" t="s">
        <v>51</v>
      </c>
      <c r="M704" s="7">
        <v>58074</v>
      </c>
      <c r="N704">
        <v>0.06</v>
      </c>
      <c r="O704" s="7">
        <v>5194</v>
      </c>
      <c r="P704">
        <v>10</v>
      </c>
      <c r="Q704" t="s">
        <v>57</v>
      </c>
      <c r="R704" t="s">
        <v>59</v>
      </c>
      <c r="S704">
        <f t="shared" si="50"/>
        <v>2022</v>
      </c>
      <c r="T704" t="str">
        <f t="shared" si="51"/>
        <v>Dec</v>
      </c>
      <c r="U704">
        <f t="shared" si="52"/>
        <v>6</v>
      </c>
      <c r="V704">
        <f t="shared" si="53"/>
        <v>11</v>
      </c>
      <c r="W704" s="9">
        <f t="shared" si="54"/>
        <v>8.9437614078589384E-2</v>
      </c>
    </row>
    <row r="705" spans="1:23">
      <c r="A705">
        <v>10704</v>
      </c>
      <c r="B705" s="5">
        <v>44900</v>
      </c>
      <c r="C705" s="5">
        <v>44904</v>
      </c>
      <c r="D705" s="5">
        <v>44906</v>
      </c>
      <c r="E705" t="s">
        <v>19</v>
      </c>
      <c r="F705" t="s">
        <v>22</v>
      </c>
      <c r="G705" t="s">
        <v>24</v>
      </c>
      <c r="H705" t="s">
        <v>30</v>
      </c>
      <c r="I705" t="s">
        <v>35</v>
      </c>
      <c r="J705" t="s">
        <v>38</v>
      </c>
      <c r="K705" t="s">
        <v>49</v>
      </c>
      <c r="L705" t="s">
        <v>52</v>
      </c>
      <c r="M705" s="7">
        <v>43626</v>
      </c>
      <c r="N705">
        <v>0.22</v>
      </c>
      <c r="O705" s="7">
        <v>3985</v>
      </c>
      <c r="P705">
        <v>15</v>
      </c>
      <c r="Q705" t="s">
        <v>54</v>
      </c>
      <c r="R705" t="s">
        <v>59</v>
      </c>
      <c r="S705">
        <f t="shared" si="50"/>
        <v>2022</v>
      </c>
      <c r="T705" t="str">
        <f t="shared" si="51"/>
        <v>Dec</v>
      </c>
      <c r="U705">
        <f t="shared" si="52"/>
        <v>4</v>
      </c>
      <c r="V705">
        <f t="shared" si="53"/>
        <v>6</v>
      </c>
      <c r="W705" s="9">
        <f t="shared" si="54"/>
        <v>9.134461101178197E-2</v>
      </c>
    </row>
    <row r="706" spans="1:23">
      <c r="A706">
        <v>10705</v>
      </c>
      <c r="B706" s="5">
        <v>44901</v>
      </c>
      <c r="C706" s="5">
        <v>44904</v>
      </c>
      <c r="D706" s="5">
        <v>44907</v>
      </c>
      <c r="E706" t="s">
        <v>19</v>
      </c>
      <c r="F706" t="s">
        <v>22</v>
      </c>
      <c r="G706" t="s">
        <v>26</v>
      </c>
      <c r="H706" t="s">
        <v>32</v>
      </c>
      <c r="I706" t="s">
        <v>34</v>
      </c>
      <c r="J706" t="s">
        <v>39</v>
      </c>
      <c r="K706" t="s">
        <v>45</v>
      </c>
      <c r="L706" t="s">
        <v>53</v>
      </c>
      <c r="M706" s="7">
        <v>73727</v>
      </c>
      <c r="N706">
        <v>0.13</v>
      </c>
      <c r="O706" s="7">
        <v>14951</v>
      </c>
      <c r="P706">
        <v>7</v>
      </c>
      <c r="Q706" t="s">
        <v>55</v>
      </c>
      <c r="R706" t="s">
        <v>61</v>
      </c>
      <c r="S706">
        <f t="shared" si="50"/>
        <v>2022</v>
      </c>
      <c r="T706" t="str">
        <f t="shared" si="51"/>
        <v>Dec</v>
      </c>
      <c r="U706">
        <f t="shared" si="52"/>
        <v>3</v>
      </c>
      <c r="V706">
        <f t="shared" si="53"/>
        <v>6</v>
      </c>
      <c r="W706" s="9">
        <f t="shared" si="54"/>
        <v>0.20278866629592956</v>
      </c>
    </row>
    <row r="707" spans="1:23">
      <c r="A707">
        <v>10706</v>
      </c>
      <c r="B707" s="5">
        <v>44902</v>
      </c>
      <c r="C707" s="5">
        <v>44908</v>
      </c>
      <c r="D707" s="5">
        <v>44911</v>
      </c>
      <c r="E707" t="s">
        <v>18</v>
      </c>
      <c r="F707" t="s">
        <v>22</v>
      </c>
      <c r="G707" t="s">
        <v>26</v>
      </c>
      <c r="H707" t="s">
        <v>30</v>
      </c>
      <c r="I707" t="s">
        <v>36</v>
      </c>
      <c r="J707" t="s">
        <v>39</v>
      </c>
      <c r="K707" t="s">
        <v>49</v>
      </c>
      <c r="L707" t="s">
        <v>51</v>
      </c>
      <c r="M707" s="7">
        <v>16307</v>
      </c>
      <c r="N707">
        <v>0.2</v>
      </c>
      <c r="O707" s="7">
        <v>5601</v>
      </c>
      <c r="P707">
        <v>15</v>
      </c>
      <c r="Q707" t="s">
        <v>54</v>
      </c>
      <c r="R707" t="s">
        <v>60</v>
      </c>
      <c r="S707">
        <f t="shared" ref="S707:S770" si="55">YEAR(B707)</f>
        <v>2022</v>
      </c>
      <c r="T707" t="str">
        <f t="shared" ref="T707:T770" si="56">TEXT(B707,"mmm")</f>
        <v>Dec</v>
      </c>
      <c r="U707">
        <f t="shared" ref="U707:U770" si="57">C707-B707</f>
        <v>6</v>
      </c>
      <c r="V707">
        <f t="shared" ref="V707:V770" si="58">D707-B707</f>
        <v>9</v>
      </c>
      <c r="W707" s="9">
        <f t="shared" ref="W707:W770" si="59">IFERROR(O707/M707,0)</f>
        <v>0.34347212853375853</v>
      </c>
    </row>
    <row r="708" spans="1:23">
      <c r="A708">
        <v>10707</v>
      </c>
      <c r="B708" s="5">
        <v>44903</v>
      </c>
      <c r="C708" s="5">
        <v>44908</v>
      </c>
      <c r="D708" s="5">
        <v>44910</v>
      </c>
      <c r="E708" t="s">
        <v>19</v>
      </c>
      <c r="F708" t="s">
        <v>22</v>
      </c>
      <c r="G708" t="s">
        <v>23</v>
      </c>
      <c r="H708" t="s">
        <v>31</v>
      </c>
      <c r="I708" t="s">
        <v>34</v>
      </c>
      <c r="J708" t="s">
        <v>37</v>
      </c>
      <c r="K708" t="s">
        <v>47</v>
      </c>
      <c r="L708" t="s">
        <v>52</v>
      </c>
      <c r="M708" s="7">
        <v>66261</v>
      </c>
      <c r="N708">
        <v>0.19</v>
      </c>
      <c r="O708" s="7">
        <v>1866</v>
      </c>
      <c r="P708">
        <v>20</v>
      </c>
      <c r="Q708" t="s">
        <v>56</v>
      </c>
      <c r="R708" t="s">
        <v>61</v>
      </c>
      <c r="S708">
        <f t="shared" si="55"/>
        <v>2022</v>
      </c>
      <c r="T708" t="str">
        <f t="shared" si="56"/>
        <v>Dec</v>
      </c>
      <c r="U708">
        <f t="shared" si="57"/>
        <v>5</v>
      </c>
      <c r="V708">
        <f t="shared" si="58"/>
        <v>7</v>
      </c>
      <c r="W708" s="9">
        <f t="shared" si="59"/>
        <v>2.81613618870829E-2</v>
      </c>
    </row>
    <row r="709" spans="1:23">
      <c r="A709">
        <v>10708</v>
      </c>
      <c r="B709" s="5">
        <v>44904</v>
      </c>
      <c r="C709" s="5">
        <v>44906</v>
      </c>
      <c r="D709" s="5">
        <v>44907</v>
      </c>
      <c r="E709" t="s">
        <v>21</v>
      </c>
      <c r="F709" t="s">
        <v>22</v>
      </c>
      <c r="G709" t="s">
        <v>24</v>
      </c>
      <c r="H709" t="s">
        <v>33</v>
      </c>
      <c r="I709" t="s">
        <v>34</v>
      </c>
      <c r="J709" t="s">
        <v>37</v>
      </c>
      <c r="K709" t="s">
        <v>46</v>
      </c>
      <c r="L709" t="s">
        <v>52</v>
      </c>
      <c r="M709" s="7">
        <v>70842</v>
      </c>
      <c r="N709">
        <v>0.28000000000000003</v>
      </c>
      <c r="O709" s="7">
        <v>16543</v>
      </c>
      <c r="P709">
        <v>23</v>
      </c>
      <c r="Q709" t="s">
        <v>55</v>
      </c>
      <c r="R709" t="s">
        <v>61</v>
      </c>
      <c r="S709">
        <f t="shared" si="55"/>
        <v>2022</v>
      </c>
      <c r="T709" t="str">
        <f t="shared" si="56"/>
        <v>Dec</v>
      </c>
      <c r="U709">
        <f t="shared" si="57"/>
        <v>2</v>
      </c>
      <c r="V709">
        <f t="shared" si="58"/>
        <v>3</v>
      </c>
      <c r="W709" s="9">
        <f t="shared" si="59"/>
        <v>0.23351966347646877</v>
      </c>
    </row>
    <row r="710" spans="1:23">
      <c r="A710">
        <v>10709</v>
      </c>
      <c r="B710" s="5">
        <v>44905</v>
      </c>
      <c r="C710" s="5">
        <v>44908</v>
      </c>
      <c r="D710" s="5">
        <v>44913</v>
      </c>
      <c r="E710" t="s">
        <v>20</v>
      </c>
      <c r="F710" t="s">
        <v>22</v>
      </c>
      <c r="G710" t="s">
        <v>26</v>
      </c>
      <c r="H710" t="s">
        <v>31</v>
      </c>
      <c r="I710" t="s">
        <v>35</v>
      </c>
      <c r="J710" t="s">
        <v>40</v>
      </c>
      <c r="K710" t="s">
        <v>44</v>
      </c>
      <c r="L710" t="s">
        <v>51</v>
      </c>
      <c r="M710" s="7">
        <v>44227</v>
      </c>
      <c r="N710">
        <v>0.02</v>
      </c>
      <c r="O710" s="7">
        <v>16139</v>
      </c>
      <c r="P710">
        <v>16</v>
      </c>
      <c r="Q710" t="s">
        <v>58</v>
      </c>
      <c r="R710" t="s">
        <v>62</v>
      </c>
      <c r="S710">
        <f t="shared" si="55"/>
        <v>2022</v>
      </c>
      <c r="T710" t="str">
        <f t="shared" si="56"/>
        <v>Dec</v>
      </c>
      <c r="U710">
        <f t="shared" si="57"/>
        <v>3</v>
      </c>
      <c r="V710">
        <f t="shared" si="58"/>
        <v>8</v>
      </c>
      <c r="W710" s="9">
        <f t="shared" si="59"/>
        <v>0.36491283605037644</v>
      </c>
    </row>
    <row r="711" spans="1:23">
      <c r="A711">
        <v>10710</v>
      </c>
      <c r="B711" s="5">
        <v>44906</v>
      </c>
      <c r="C711" s="5">
        <v>44911</v>
      </c>
      <c r="D711" s="5">
        <v>44912</v>
      </c>
      <c r="E711" t="s">
        <v>21</v>
      </c>
      <c r="F711" t="s">
        <v>22</v>
      </c>
      <c r="G711" t="s">
        <v>27</v>
      </c>
      <c r="H711" t="s">
        <v>29</v>
      </c>
      <c r="I711" t="s">
        <v>36</v>
      </c>
      <c r="J711" t="s">
        <v>39</v>
      </c>
      <c r="K711" t="s">
        <v>44</v>
      </c>
      <c r="L711" t="s">
        <v>53</v>
      </c>
      <c r="M711" s="7">
        <v>72372</v>
      </c>
      <c r="N711">
        <v>0.16</v>
      </c>
      <c r="O711" s="7">
        <v>17170</v>
      </c>
      <c r="P711">
        <v>15</v>
      </c>
      <c r="Q711" t="s">
        <v>54</v>
      </c>
      <c r="R711" t="s">
        <v>62</v>
      </c>
      <c r="S711">
        <f t="shared" si="55"/>
        <v>2022</v>
      </c>
      <c r="T711" t="str">
        <f t="shared" si="56"/>
        <v>Dec</v>
      </c>
      <c r="U711">
        <f t="shared" si="57"/>
        <v>5</v>
      </c>
      <c r="V711">
        <f t="shared" si="58"/>
        <v>6</v>
      </c>
      <c r="W711" s="9">
        <f t="shared" si="59"/>
        <v>0.23724644890289062</v>
      </c>
    </row>
    <row r="712" spans="1:23">
      <c r="A712">
        <v>10711</v>
      </c>
      <c r="B712" s="5">
        <v>44907</v>
      </c>
      <c r="C712" s="5">
        <v>44913</v>
      </c>
      <c r="D712" s="5">
        <v>44918</v>
      </c>
      <c r="E712" t="s">
        <v>20</v>
      </c>
      <c r="F712" t="s">
        <v>22</v>
      </c>
      <c r="G712" t="s">
        <v>26</v>
      </c>
      <c r="H712" t="s">
        <v>32</v>
      </c>
      <c r="I712" t="s">
        <v>34</v>
      </c>
      <c r="J712" t="s">
        <v>42</v>
      </c>
      <c r="K712" t="s">
        <v>49</v>
      </c>
      <c r="L712" t="s">
        <v>51</v>
      </c>
      <c r="M712" s="7">
        <v>6475</v>
      </c>
      <c r="N712">
        <v>0.14000000000000001</v>
      </c>
      <c r="O712" s="7">
        <v>1309</v>
      </c>
      <c r="P712">
        <v>3</v>
      </c>
      <c r="Q712" t="s">
        <v>56</v>
      </c>
      <c r="R712" t="s">
        <v>61</v>
      </c>
      <c r="S712">
        <f t="shared" si="55"/>
        <v>2022</v>
      </c>
      <c r="T712" t="str">
        <f t="shared" si="56"/>
        <v>Dec</v>
      </c>
      <c r="U712">
        <f t="shared" si="57"/>
        <v>6</v>
      </c>
      <c r="V712">
        <f t="shared" si="58"/>
        <v>11</v>
      </c>
      <c r="W712" s="9">
        <f t="shared" si="59"/>
        <v>0.20216216216216215</v>
      </c>
    </row>
    <row r="713" spans="1:23">
      <c r="A713">
        <v>10712</v>
      </c>
      <c r="B713" s="5">
        <v>44908</v>
      </c>
      <c r="C713" s="5">
        <v>44911</v>
      </c>
      <c r="D713" s="5">
        <v>44914</v>
      </c>
      <c r="E713" t="s">
        <v>21</v>
      </c>
      <c r="F713" t="s">
        <v>22</v>
      </c>
      <c r="G713" t="s">
        <v>28</v>
      </c>
      <c r="H713" t="s">
        <v>33</v>
      </c>
      <c r="I713" t="s">
        <v>36</v>
      </c>
      <c r="J713" t="s">
        <v>38</v>
      </c>
      <c r="K713" t="s">
        <v>47</v>
      </c>
      <c r="L713" t="s">
        <v>53</v>
      </c>
      <c r="M713" s="7">
        <v>68769</v>
      </c>
      <c r="N713">
        <v>0.28999999999999998</v>
      </c>
      <c r="O713" s="7">
        <v>18384</v>
      </c>
      <c r="P713">
        <v>23</v>
      </c>
      <c r="Q713" t="s">
        <v>57</v>
      </c>
      <c r="R713" t="s">
        <v>59</v>
      </c>
      <c r="S713">
        <f t="shared" si="55"/>
        <v>2022</v>
      </c>
      <c r="T713" t="str">
        <f t="shared" si="56"/>
        <v>Dec</v>
      </c>
      <c r="U713">
        <f t="shared" si="57"/>
        <v>3</v>
      </c>
      <c r="V713">
        <f t="shared" si="58"/>
        <v>6</v>
      </c>
      <c r="W713" s="9">
        <f t="shared" si="59"/>
        <v>0.26732975614012128</v>
      </c>
    </row>
    <row r="714" spans="1:23">
      <c r="A714">
        <v>10713</v>
      </c>
      <c r="B714" s="5">
        <v>44909</v>
      </c>
      <c r="C714" s="5">
        <v>44913</v>
      </c>
      <c r="D714" s="5">
        <v>44915</v>
      </c>
      <c r="E714" t="s">
        <v>21</v>
      </c>
      <c r="F714" t="s">
        <v>22</v>
      </c>
      <c r="G714" t="s">
        <v>26</v>
      </c>
      <c r="H714" t="s">
        <v>31</v>
      </c>
      <c r="I714" t="s">
        <v>35</v>
      </c>
      <c r="J714" t="s">
        <v>37</v>
      </c>
      <c r="K714" t="s">
        <v>46</v>
      </c>
      <c r="L714" t="s">
        <v>51</v>
      </c>
      <c r="M714" s="7">
        <v>60568</v>
      </c>
      <c r="N714">
        <v>0.38</v>
      </c>
      <c r="O714" s="7">
        <v>13918</v>
      </c>
      <c r="P714">
        <v>17</v>
      </c>
      <c r="Q714" t="s">
        <v>55</v>
      </c>
      <c r="R714" t="s">
        <v>59</v>
      </c>
      <c r="S714">
        <f t="shared" si="55"/>
        <v>2022</v>
      </c>
      <c r="T714" t="str">
        <f t="shared" si="56"/>
        <v>Dec</v>
      </c>
      <c r="U714">
        <f t="shared" si="57"/>
        <v>4</v>
      </c>
      <c r="V714">
        <f t="shared" si="58"/>
        <v>6</v>
      </c>
      <c r="W714" s="9">
        <f t="shared" si="59"/>
        <v>0.22979130894201558</v>
      </c>
    </row>
    <row r="715" spans="1:23">
      <c r="A715">
        <v>10714</v>
      </c>
      <c r="B715" s="5">
        <v>44910</v>
      </c>
      <c r="C715" s="5">
        <v>44914</v>
      </c>
      <c r="D715" s="5">
        <v>44917</v>
      </c>
      <c r="E715" t="s">
        <v>21</v>
      </c>
      <c r="F715" t="s">
        <v>22</v>
      </c>
      <c r="G715" t="s">
        <v>23</v>
      </c>
      <c r="H715" t="s">
        <v>33</v>
      </c>
      <c r="I715" t="s">
        <v>36</v>
      </c>
      <c r="J715" t="s">
        <v>42</v>
      </c>
      <c r="K715" t="s">
        <v>50</v>
      </c>
      <c r="L715" t="s">
        <v>52</v>
      </c>
      <c r="M715" s="7">
        <v>6187</v>
      </c>
      <c r="N715">
        <v>0.25</v>
      </c>
      <c r="O715" s="7">
        <v>8449</v>
      </c>
      <c r="P715">
        <v>2</v>
      </c>
      <c r="Q715" t="s">
        <v>54</v>
      </c>
      <c r="R715" t="s">
        <v>59</v>
      </c>
      <c r="S715">
        <f t="shared" si="55"/>
        <v>2022</v>
      </c>
      <c r="T715" t="str">
        <f t="shared" si="56"/>
        <v>Dec</v>
      </c>
      <c r="U715">
        <f t="shared" si="57"/>
        <v>4</v>
      </c>
      <c r="V715">
        <f t="shared" si="58"/>
        <v>7</v>
      </c>
      <c r="W715" s="9">
        <f t="shared" si="59"/>
        <v>1.3656053014385001</v>
      </c>
    </row>
    <row r="716" spans="1:23">
      <c r="A716">
        <v>10715</v>
      </c>
      <c r="B716" s="5">
        <v>44911</v>
      </c>
      <c r="C716" s="5">
        <v>44914</v>
      </c>
      <c r="D716" s="5">
        <v>44919</v>
      </c>
      <c r="E716" t="s">
        <v>21</v>
      </c>
      <c r="F716" t="s">
        <v>22</v>
      </c>
      <c r="G716" t="s">
        <v>27</v>
      </c>
      <c r="H716" t="s">
        <v>30</v>
      </c>
      <c r="I716" t="s">
        <v>34</v>
      </c>
      <c r="J716" t="s">
        <v>39</v>
      </c>
      <c r="K716" t="s">
        <v>46</v>
      </c>
      <c r="L716" t="s">
        <v>52</v>
      </c>
      <c r="M716" s="7">
        <v>23704</v>
      </c>
      <c r="N716">
        <v>0.19</v>
      </c>
      <c r="O716" s="7">
        <v>15567</v>
      </c>
      <c r="P716">
        <v>21</v>
      </c>
      <c r="Q716" t="s">
        <v>55</v>
      </c>
      <c r="R716" t="s">
        <v>60</v>
      </c>
      <c r="S716">
        <f t="shared" si="55"/>
        <v>2022</v>
      </c>
      <c r="T716" t="str">
        <f t="shared" si="56"/>
        <v>Dec</v>
      </c>
      <c r="U716">
        <f t="shared" si="57"/>
        <v>3</v>
      </c>
      <c r="V716">
        <f t="shared" si="58"/>
        <v>8</v>
      </c>
      <c r="W716" s="9">
        <f t="shared" si="59"/>
        <v>0.65672460344245698</v>
      </c>
    </row>
    <row r="717" spans="1:23">
      <c r="A717">
        <v>10716</v>
      </c>
      <c r="B717" s="5">
        <v>44912</v>
      </c>
      <c r="C717" s="5">
        <v>44915</v>
      </c>
      <c r="D717" s="5">
        <v>44918</v>
      </c>
      <c r="E717" t="s">
        <v>18</v>
      </c>
      <c r="F717" t="s">
        <v>22</v>
      </c>
      <c r="G717" t="s">
        <v>28</v>
      </c>
      <c r="H717" t="s">
        <v>30</v>
      </c>
      <c r="I717" t="s">
        <v>35</v>
      </c>
      <c r="J717" t="s">
        <v>38</v>
      </c>
      <c r="K717" t="s">
        <v>44</v>
      </c>
      <c r="L717" t="s">
        <v>53</v>
      </c>
      <c r="M717" s="7">
        <v>7407</v>
      </c>
      <c r="N717">
        <v>0.31</v>
      </c>
      <c r="O717" s="7">
        <v>6355</v>
      </c>
      <c r="P717">
        <v>23</v>
      </c>
      <c r="Q717" t="s">
        <v>58</v>
      </c>
      <c r="R717" t="s">
        <v>62</v>
      </c>
      <c r="S717">
        <f t="shared" si="55"/>
        <v>2022</v>
      </c>
      <c r="T717" t="str">
        <f t="shared" si="56"/>
        <v>Dec</v>
      </c>
      <c r="U717">
        <f t="shared" si="57"/>
        <v>3</v>
      </c>
      <c r="V717">
        <f t="shared" si="58"/>
        <v>6</v>
      </c>
      <c r="W717" s="9">
        <f t="shared" si="59"/>
        <v>0.85797218847036583</v>
      </c>
    </row>
    <row r="718" spans="1:23">
      <c r="A718">
        <v>10717</v>
      </c>
      <c r="B718" s="5">
        <v>44913</v>
      </c>
      <c r="C718" s="5">
        <v>44919</v>
      </c>
      <c r="D718" s="5">
        <v>44920</v>
      </c>
      <c r="E718" t="s">
        <v>19</v>
      </c>
      <c r="F718" t="s">
        <v>22</v>
      </c>
      <c r="G718" t="s">
        <v>24</v>
      </c>
      <c r="H718" t="s">
        <v>33</v>
      </c>
      <c r="I718" t="s">
        <v>34</v>
      </c>
      <c r="J718" t="s">
        <v>39</v>
      </c>
      <c r="K718" t="s">
        <v>46</v>
      </c>
      <c r="L718" t="s">
        <v>53</v>
      </c>
      <c r="M718" s="7">
        <v>48057</v>
      </c>
      <c r="N718">
        <v>0.4</v>
      </c>
      <c r="O718" s="7">
        <v>3108</v>
      </c>
      <c r="P718">
        <v>3</v>
      </c>
      <c r="Q718" t="s">
        <v>55</v>
      </c>
      <c r="R718" t="s">
        <v>61</v>
      </c>
      <c r="S718">
        <f t="shared" si="55"/>
        <v>2022</v>
      </c>
      <c r="T718" t="str">
        <f t="shared" si="56"/>
        <v>Dec</v>
      </c>
      <c r="U718">
        <f t="shared" si="57"/>
        <v>6</v>
      </c>
      <c r="V718">
        <f t="shared" si="58"/>
        <v>7</v>
      </c>
      <c r="W718" s="9">
        <f t="shared" si="59"/>
        <v>6.4673200574317996E-2</v>
      </c>
    </row>
    <row r="719" spans="1:23">
      <c r="A719">
        <v>10718</v>
      </c>
      <c r="B719" s="5">
        <v>44914</v>
      </c>
      <c r="C719" s="5">
        <v>44916</v>
      </c>
      <c r="D719" s="5">
        <v>44917</v>
      </c>
      <c r="E719" t="s">
        <v>20</v>
      </c>
      <c r="F719" t="s">
        <v>22</v>
      </c>
      <c r="G719" t="s">
        <v>26</v>
      </c>
      <c r="H719" t="s">
        <v>30</v>
      </c>
      <c r="I719" t="s">
        <v>34</v>
      </c>
      <c r="J719" t="s">
        <v>39</v>
      </c>
      <c r="K719" t="s">
        <v>47</v>
      </c>
      <c r="L719" t="s">
        <v>52</v>
      </c>
      <c r="M719" s="7">
        <v>25314</v>
      </c>
      <c r="N719">
        <v>0.39</v>
      </c>
      <c r="O719" s="7">
        <v>11439</v>
      </c>
      <c r="P719">
        <v>4</v>
      </c>
      <c r="Q719" t="s">
        <v>54</v>
      </c>
      <c r="R719" t="s">
        <v>61</v>
      </c>
      <c r="S719">
        <f t="shared" si="55"/>
        <v>2022</v>
      </c>
      <c r="T719" t="str">
        <f t="shared" si="56"/>
        <v>Dec</v>
      </c>
      <c r="U719">
        <f t="shared" si="57"/>
        <v>2</v>
      </c>
      <c r="V719">
        <f t="shared" si="58"/>
        <v>3</v>
      </c>
      <c r="W719" s="9">
        <f t="shared" si="59"/>
        <v>0.45188433278027967</v>
      </c>
    </row>
    <row r="720" spans="1:23">
      <c r="A720">
        <v>10719</v>
      </c>
      <c r="B720" s="5">
        <v>44915</v>
      </c>
      <c r="C720" s="5">
        <v>44918</v>
      </c>
      <c r="D720" s="5">
        <v>44921</v>
      </c>
      <c r="E720" t="s">
        <v>19</v>
      </c>
      <c r="F720" t="s">
        <v>22</v>
      </c>
      <c r="G720" t="s">
        <v>27</v>
      </c>
      <c r="H720" t="s">
        <v>25</v>
      </c>
      <c r="I720" t="s">
        <v>34</v>
      </c>
      <c r="J720" t="s">
        <v>38</v>
      </c>
      <c r="K720" t="s">
        <v>49</v>
      </c>
      <c r="L720" t="s">
        <v>53</v>
      </c>
      <c r="M720" s="7">
        <v>5192</v>
      </c>
      <c r="N720">
        <v>0.05</v>
      </c>
      <c r="O720" s="7">
        <v>11931</v>
      </c>
      <c r="P720">
        <v>1</v>
      </c>
      <c r="Q720" t="s">
        <v>58</v>
      </c>
      <c r="R720" t="s">
        <v>60</v>
      </c>
      <c r="S720">
        <f t="shared" si="55"/>
        <v>2022</v>
      </c>
      <c r="T720" t="str">
        <f t="shared" si="56"/>
        <v>Dec</v>
      </c>
      <c r="U720">
        <f t="shared" si="57"/>
        <v>3</v>
      </c>
      <c r="V720">
        <f t="shared" si="58"/>
        <v>6</v>
      </c>
      <c r="W720" s="9">
        <f t="shared" si="59"/>
        <v>2.2979583975346687</v>
      </c>
    </row>
    <row r="721" spans="1:23">
      <c r="A721">
        <v>10720</v>
      </c>
      <c r="B721" s="5">
        <v>44916</v>
      </c>
      <c r="C721" s="5">
        <v>44920</v>
      </c>
      <c r="D721" s="5">
        <v>44923</v>
      </c>
      <c r="E721" t="s">
        <v>20</v>
      </c>
      <c r="F721" t="s">
        <v>22</v>
      </c>
      <c r="G721" t="s">
        <v>23</v>
      </c>
      <c r="H721" t="s">
        <v>32</v>
      </c>
      <c r="I721" t="s">
        <v>36</v>
      </c>
      <c r="J721" t="s">
        <v>42</v>
      </c>
      <c r="K721" t="s">
        <v>48</v>
      </c>
      <c r="L721" t="s">
        <v>52</v>
      </c>
      <c r="M721" s="7">
        <v>2472</v>
      </c>
      <c r="N721">
        <v>0</v>
      </c>
      <c r="O721" s="7">
        <v>16136</v>
      </c>
      <c r="P721">
        <v>18</v>
      </c>
      <c r="Q721" t="s">
        <v>54</v>
      </c>
      <c r="R721" t="s">
        <v>59</v>
      </c>
      <c r="S721">
        <f t="shared" si="55"/>
        <v>2022</v>
      </c>
      <c r="T721" t="str">
        <f t="shared" si="56"/>
        <v>Dec</v>
      </c>
      <c r="U721">
        <f t="shared" si="57"/>
        <v>4</v>
      </c>
      <c r="V721">
        <f t="shared" si="58"/>
        <v>7</v>
      </c>
      <c r="W721" s="9">
        <f t="shared" si="59"/>
        <v>6.5275080906148863</v>
      </c>
    </row>
    <row r="722" spans="1:23">
      <c r="A722">
        <v>10721</v>
      </c>
      <c r="B722" s="5">
        <v>44917</v>
      </c>
      <c r="C722" s="5">
        <v>44922</v>
      </c>
      <c r="D722" s="5">
        <v>44924</v>
      </c>
      <c r="E722" t="s">
        <v>21</v>
      </c>
      <c r="F722" t="s">
        <v>22</v>
      </c>
      <c r="G722" t="s">
        <v>25</v>
      </c>
      <c r="H722" t="s">
        <v>29</v>
      </c>
      <c r="I722" t="s">
        <v>34</v>
      </c>
      <c r="J722" t="s">
        <v>42</v>
      </c>
      <c r="K722" t="s">
        <v>44</v>
      </c>
      <c r="L722" t="s">
        <v>52</v>
      </c>
      <c r="M722" s="7">
        <v>7388</v>
      </c>
      <c r="N722">
        <v>0.23</v>
      </c>
      <c r="O722" s="7">
        <v>7819</v>
      </c>
      <c r="P722">
        <v>10</v>
      </c>
      <c r="Q722" t="s">
        <v>56</v>
      </c>
      <c r="R722" t="s">
        <v>62</v>
      </c>
      <c r="S722">
        <f t="shared" si="55"/>
        <v>2022</v>
      </c>
      <c r="T722" t="str">
        <f t="shared" si="56"/>
        <v>Dec</v>
      </c>
      <c r="U722">
        <f t="shared" si="57"/>
        <v>5</v>
      </c>
      <c r="V722">
        <f t="shared" si="58"/>
        <v>7</v>
      </c>
      <c r="W722" s="9">
        <f t="shared" si="59"/>
        <v>1.0583378451543042</v>
      </c>
    </row>
    <row r="723" spans="1:23">
      <c r="A723">
        <v>10722</v>
      </c>
      <c r="B723" s="5">
        <v>44918</v>
      </c>
      <c r="C723" s="5">
        <v>44924</v>
      </c>
      <c r="D723" s="5">
        <v>44925</v>
      </c>
      <c r="E723" t="s">
        <v>18</v>
      </c>
      <c r="F723" t="s">
        <v>22</v>
      </c>
      <c r="G723" t="s">
        <v>24</v>
      </c>
      <c r="H723" t="s">
        <v>29</v>
      </c>
      <c r="I723" t="s">
        <v>35</v>
      </c>
      <c r="J723" t="s">
        <v>39</v>
      </c>
      <c r="K723" t="s">
        <v>50</v>
      </c>
      <c r="L723" t="s">
        <v>53</v>
      </c>
      <c r="M723" s="7">
        <v>52658</v>
      </c>
      <c r="N723">
        <v>0.18</v>
      </c>
      <c r="O723" s="7">
        <v>5659</v>
      </c>
      <c r="P723">
        <v>19</v>
      </c>
      <c r="Q723" t="s">
        <v>58</v>
      </c>
      <c r="R723" t="s">
        <v>59</v>
      </c>
      <c r="S723">
        <f t="shared" si="55"/>
        <v>2022</v>
      </c>
      <c r="T723" t="str">
        <f t="shared" si="56"/>
        <v>Dec</v>
      </c>
      <c r="U723">
        <f t="shared" si="57"/>
        <v>6</v>
      </c>
      <c r="V723">
        <f t="shared" si="58"/>
        <v>7</v>
      </c>
      <c r="W723" s="9">
        <f t="shared" si="59"/>
        <v>0.10746705154012685</v>
      </c>
    </row>
    <row r="724" spans="1:23">
      <c r="A724">
        <v>10723</v>
      </c>
      <c r="B724" s="5">
        <v>44919</v>
      </c>
      <c r="C724" s="5">
        <v>44924</v>
      </c>
      <c r="D724" s="5">
        <v>44927</v>
      </c>
      <c r="E724" t="s">
        <v>21</v>
      </c>
      <c r="F724" t="s">
        <v>22</v>
      </c>
      <c r="G724" t="s">
        <v>25</v>
      </c>
      <c r="H724" t="s">
        <v>30</v>
      </c>
      <c r="I724" t="s">
        <v>36</v>
      </c>
      <c r="J724" t="s">
        <v>43</v>
      </c>
      <c r="K724" t="s">
        <v>49</v>
      </c>
      <c r="L724" t="s">
        <v>52</v>
      </c>
      <c r="M724" s="7">
        <v>35873</v>
      </c>
      <c r="N724">
        <v>0.2</v>
      </c>
      <c r="O724" s="7">
        <v>7780</v>
      </c>
      <c r="P724">
        <v>14</v>
      </c>
      <c r="Q724" t="s">
        <v>54</v>
      </c>
      <c r="R724" t="s">
        <v>60</v>
      </c>
      <c r="S724">
        <f t="shared" si="55"/>
        <v>2022</v>
      </c>
      <c r="T724" t="str">
        <f t="shared" si="56"/>
        <v>Dec</v>
      </c>
      <c r="U724">
        <f t="shared" si="57"/>
        <v>5</v>
      </c>
      <c r="V724">
        <f t="shared" si="58"/>
        <v>8</v>
      </c>
      <c r="W724" s="9">
        <f t="shared" si="59"/>
        <v>0.21687620215761158</v>
      </c>
    </row>
    <row r="725" spans="1:23">
      <c r="A725">
        <v>10724</v>
      </c>
      <c r="B725" s="5">
        <v>44920</v>
      </c>
      <c r="C725" s="5">
        <v>44926</v>
      </c>
      <c r="D725" s="5">
        <v>44930</v>
      </c>
      <c r="E725" t="s">
        <v>19</v>
      </c>
      <c r="F725" t="s">
        <v>22</v>
      </c>
      <c r="G725" t="s">
        <v>23</v>
      </c>
      <c r="H725" t="s">
        <v>29</v>
      </c>
      <c r="I725" t="s">
        <v>35</v>
      </c>
      <c r="J725" t="s">
        <v>39</v>
      </c>
      <c r="K725" t="s">
        <v>50</v>
      </c>
      <c r="L725" t="s">
        <v>52</v>
      </c>
      <c r="M725" s="7">
        <v>5982</v>
      </c>
      <c r="N725">
        <v>0.3</v>
      </c>
      <c r="O725" s="7">
        <v>13244</v>
      </c>
      <c r="P725">
        <v>21</v>
      </c>
      <c r="Q725" t="s">
        <v>56</v>
      </c>
      <c r="R725" t="s">
        <v>59</v>
      </c>
      <c r="S725">
        <f t="shared" si="55"/>
        <v>2022</v>
      </c>
      <c r="T725" t="str">
        <f t="shared" si="56"/>
        <v>Dec</v>
      </c>
      <c r="U725">
        <f t="shared" si="57"/>
        <v>6</v>
      </c>
      <c r="V725">
        <f t="shared" si="58"/>
        <v>10</v>
      </c>
      <c r="W725" s="9">
        <f t="shared" si="59"/>
        <v>2.2139752591106654</v>
      </c>
    </row>
    <row r="726" spans="1:23">
      <c r="A726">
        <v>10725</v>
      </c>
      <c r="B726" s="5">
        <v>44921</v>
      </c>
      <c r="C726" s="5">
        <v>44928</v>
      </c>
      <c r="D726" s="5">
        <v>44930</v>
      </c>
      <c r="E726" t="s">
        <v>18</v>
      </c>
      <c r="F726" t="s">
        <v>22</v>
      </c>
      <c r="G726" t="s">
        <v>23</v>
      </c>
      <c r="H726" t="s">
        <v>33</v>
      </c>
      <c r="I726" t="s">
        <v>35</v>
      </c>
      <c r="J726" t="s">
        <v>41</v>
      </c>
      <c r="K726" t="s">
        <v>48</v>
      </c>
      <c r="L726" t="s">
        <v>51</v>
      </c>
      <c r="M726" s="7">
        <v>73871</v>
      </c>
      <c r="N726">
        <v>0.04</v>
      </c>
      <c r="O726" s="7">
        <v>12123</v>
      </c>
      <c r="P726">
        <v>17</v>
      </c>
      <c r="Q726" t="s">
        <v>58</v>
      </c>
      <c r="R726" t="s">
        <v>60</v>
      </c>
      <c r="S726">
        <f t="shared" si="55"/>
        <v>2022</v>
      </c>
      <c r="T726" t="str">
        <f t="shared" si="56"/>
        <v>Dec</v>
      </c>
      <c r="U726">
        <f t="shared" si="57"/>
        <v>7</v>
      </c>
      <c r="V726">
        <f t="shared" si="58"/>
        <v>9</v>
      </c>
      <c r="W726" s="9">
        <f t="shared" si="59"/>
        <v>0.16411040868541105</v>
      </c>
    </row>
    <row r="727" spans="1:23">
      <c r="A727">
        <v>10726</v>
      </c>
      <c r="B727" s="5">
        <v>44922</v>
      </c>
      <c r="C727" s="5">
        <v>44927</v>
      </c>
      <c r="D727" s="5">
        <v>44930</v>
      </c>
      <c r="E727" t="s">
        <v>18</v>
      </c>
      <c r="F727" t="s">
        <v>22</v>
      </c>
      <c r="G727" t="s">
        <v>25</v>
      </c>
      <c r="H727" t="s">
        <v>30</v>
      </c>
      <c r="I727" t="s">
        <v>36</v>
      </c>
      <c r="J727" t="s">
        <v>43</v>
      </c>
      <c r="K727" t="s">
        <v>49</v>
      </c>
      <c r="L727" t="s">
        <v>52</v>
      </c>
      <c r="M727" s="7">
        <v>68351</v>
      </c>
      <c r="N727">
        <v>0.05</v>
      </c>
      <c r="O727" s="7">
        <v>12997</v>
      </c>
      <c r="P727">
        <v>13</v>
      </c>
      <c r="Q727" t="s">
        <v>56</v>
      </c>
      <c r="R727" t="s">
        <v>61</v>
      </c>
      <c r="S727">
        <f t="shared" si="55"/>
        <v>2022</v>
      </c>
      <c r="T727" t="str">
        <f t="shared" si="56"/>
        <v>Dec</v>
      </c>
      <c r="U727">
        <f t="shared" si="57"/>
        <v>5</v>
      </c>
      <c r="V727">
        <f t="shared" si="58"/>
        <v>8</v>
      </c>
      <c r="W727" s="9">
        <f t="shared" si="59"/>
        <v>0.1901508390513672</v>
      </c>
    </row>
    <row r="728" spans="1:23">
      <c r="A728">
        <v>10727</v>
      </c>
      <c r="B728" s="5">
        <v>44923</v>
      </c>
      <c r="C728" s="5">
        <v>44925</v>
      </c>
      <c r="D728" s="5">
        <v>44929</v>
      </c>
      <c r="E728" t="s">
        <v>19</v>
      </c>
      <c r="F728" t="s">
        <v>22</v>
      </c>
      <c r="G728" t="s">
        <v>28</v>
      </c>
      <c r="H728" t="s">
        <v>33</v>
      </c>
      <c r="I728" t="s">
        <v>36</v>
      </c>
      <c r="J728" t="s">
        <v>42</v>
      </c>
      <c r="K728" t="s">
        <v>48</v>
      </c>
      <c r="L728" t="s">
        <v>51</v>
      </c>
      <c r="M728" s="7">
        <v>22425</v>
      </c>
      <c r="N728">
        <v>0.28000000000000003</v>
      </c>
      <c r="O728" s="7">
        <v>11997</v>
      </c>
      <c r="P728">
        <v>23</v>
      </c>
      <c r="Q728" t="s">
        <v>56</v>
      </c>
      <c r="R728" t="s">
        <v>59</v>
      </c>
      <c r="S728">
        <f t="shared" si="55"/>
        <v>2022</v>
      </c>
      <c r="T728" t="str">
        <f t="shared" si="56"/>
        <v>Dec</v>
      </c>
      <c r="U728">
        <f t="shared" si="57"/>
        <v>2</v>
      </c>
      <c r="V728">
        <f t="shared" si="58"/>
        <v>6</v>
      </c>
      <c r="W728" s="9">
        <f t="shared" si="59"/>
        <v>0.53498327759197328</v>
      </c>
    </row>
    <row r="729" spans="1:23">
      <c r="A729">
        <v>10728</v>
      </c>
      <c r="B729" s="5">
        <v>44924</v>
      </c>
      <c r="C729" s="5">
        <v>44931</v>
      </c>
      <c r="D729" s="5">
        <v>44935</v>
      </c>
      <c r="E729" t="s">
        <v>19</v>
      </c>
      <c r="F729" t="s">
        <v>22</v>
      </c>
      <c r="G729" t="s">
        <v>28</v>
      </c>
      <c r="H729" t="s">
        <v>33</v>
      </c>
      <c r="I729" t="s">
        <v>34</v>
      </c>
      <c r="J729" t="s">
        <v>41</v>
      </c>
      <c r="K729" t="s">
        <v>45</v>
      </c>
      <c r="L729" t="s">
        <v>53</v>
      </c>
      <c r="M729" s="7">
        <v>2395</v>
      </c>
      <c r="N729">
        <v>0.39</v>
      </c>
      <c r="O729" s="7">
        <v>4838</v>
      </c>
      <c r="P729">
        <v>20</v>
      </c>
      <c r="Q729" t="s">
        <v>58</v>
      </c>
      <c r="R729" t="s">
        <v>60</v>
      </c>
      <c r="S729">
        <f t="shared" si="55"/>
        <v>2022</v>
      </c>
      <c r="T729" t="str">
        <f t="shared" si="56"/>
        <v>Dec</v>
      </c>
      <c r="U729">
        <f t="shared" si="57"/>
        <v>7</v>
      </c>
      <c r="V729">
        <f t="shared" si="58"/>
        <v>11</v>
      </c>
      <c r="W729" s="9">
        <f t="shared" si="59"/>
        <v>2.0200417536534445</v>
      </c>
    </row>
    <row r="730" spans="1:23">
      <c r="A730">
        <v>10729</v>
      </c>
      <c r="B730" s="5">
        <v>44925</v>
      </c>
      <c r="C730" s="5">
        <v>44928</v>
      </c>
      <c r="D730" s="5">
        <v>44930</v>
      </c>
      <c r="E730" t="s">
        <v>18</v>
      </c>
      <c r="F730" t="s">
        <v>22</v>
      </c>
      <c r="G730" t="s">
        <v>24</v>
      </c>
      <c r="H730" t="s">
        <v>25</v>
      </c>
      <c r="I730" t="s">
        <v>36</v>
      </c>
      <c r="J730" t="s">
        <v>41</v>
      </c>
      <c r="K730" t="s">
        <v>48</v>
      </c>
      <c r="L730" t="s">
        <v>51</v>
      </c>
      <c r="M730" s="7">
        <v>22343</v>
      </c>
      <c r="N730">
        <v>0.27</v>
      </c>
      <c r="O730" s="7">
        <v>1336</v>
      </c>
      <c r="P730">
        <v>20</v>
      </c>
      <c r="Q730" t="s">
        <v>54</v>
      </c>
      <c r="R730" t="s">
        <v>62</v>
      </c>
      <c r="S730">
        <f t="shared" si="55"/>
        <v>2022</v>
      </c>
      <c r="T730" t="str">
        <f t="shared" si="56"/>
        <v>Dec</v>
      </c>
      <c r="U730">
        <f t="shared" si="57"/>
        <v>3</v>
      </c>
      <c r="V730">
        <f t="shared" si="58"/>
        <v>5</v>
      </c>
      <c r="W730" s="9">
        <f t="shared" si="59"/>
        <v>5.9795014098375329E-2</v>
      </c>
    </row>
    <row r="731" spans="1:23">
      <c r="A731">
        <v>10730</v>
      </c>
      <c r="B731" s="5">
        <v>44926</v>
      </c>
      <c r="C731" s="5">
        <v>44933</v>
      </c>
      <c r="D731" s="5">
        <v>44935</v>
      </c>
      <c r="E731" t="s">
        <v>20</v>
      </c>
      <c r="F731" t="s">
        <v>22</v>
      </c>
      <c r="G731" t="s">
        <v>24</v>
      </c>
      <c r="H731" t="s">
        <v>30</v>
      </c>
      <c r="I731" t="s">
        <v>36</v>
      </c>
      <c r="J731" t="s">
        <v>43</v>
      </c>
      <c r="K731" t="s">
        <v>47</v>
      </c>
      <c r="L731" t="s">
        <v>52</v>
      </c>
      <c r="M731" s="7">
        <v>22761</v>
      </c>
      <c r="N731">
        <v>0.02</v>
      </c>
      <c r="O731" s="7">
        <v>-186</v>
      </c>
      <c r="P731">
        <v>22</v>
      </c>
      <c r="Q731" t="s">
        <v>54</v>
      </c>
      <c r="R731" t="s">
        <v>60</v>
      </c>
      <c r="S731">
        <f t="shared" si="55"/>
        <v>2022</v>
      </c>
      <c r="T731" t="str">
        <f t="shared" si="56"/>
        <v>Dec</v>
      </c>
      <c r="U731">
        <f t="shared" si="57"/>
        <v>7</v>
      </c>
      <c r="V731">
        <f t="shared" si="58"/>
        <v>9</v>
      </c>
      <c r="W731" s="9">
        <f t="shared" si="59"/>
        <v>-8.1718729405562147E-3</v>
      </c>
    </row>
    <row r="732" spans="1:23">
      <c r="A732">
        <v>10731</v>
      </c>
      <c r="B732" s="5">
        <v>44927</v>
      </c>
      <c r="C732" s="5">
        <v>44933</v>
      </c>
      <c r="D732" s="5">
        <v>44935</v>
      </c>
      <c r="E732" t="s">
        <v>18</v>
      </c>
      <c r="F732" t="s">
        <v>22</v>
      </c>
      <c r="G732" t="s">
        <v>24</v>
      </c>
      <c r="H732" t="s">
        <v>32</v>
      </c>
      <c r="I732" t="s">
        <v>35</v>
      </c>
      <c r="J732" t="s">
        <v>42</v>
      </c>
      <c r="K732" t="s">
        <v>48</v>
      </c>
      <c r="L732" t="s">
        <v>51</v>
      </c>
      <c r="M732" s="7">
        <v>12282</v>
      </c>
      <c r="N732">
        <v>7.0000000000000007E-2</v>
      </c>
      <c r="O732" s="7">
        <v>2093</v>
      </c>
      <c r="P732">
        <v>2</v>
      </c>
      <c r="Q732" t="s">
        <v>54</v>
      </c>
      <c r="R732" t="s">
        <v>62</v>
      </c>
      <c r="S732">
        <f t="shared" si="55"/>
        <v>2023</v>
      </c>
      <c r="T732" t="str">
        <f t="shared" si="56"/>
        <v>Jan</v>
      </c>
      <c r="U732">
        <f t="shared" si="57"/>
        <v>6</v>
      </c>
      <c r="V732">
        <f t="shared" si="58"/>
        <v>8</v>
      </c>
      <c r="W732" s="9">
        <f t="shared" si="59"/>
        <v>0.17041198501872659</v>
      </c>
    </row>
    <row r="733" spans="1:23">
      <c r="A733">
        <v>10732</v>
      </c>
      <c r="B733" s="5">
        <v>44928</v>
      </c>
      <c r="C733" s="5">
        <v>44930</v>
      </c>
      <c r="D733" s="5">
        <v>44935</v>
      </c>
      <c r="E733" t="s">
        <v>20</v>
      </c>
      <c r="F733" t="s">
        <v>22</v>
      </c>
      <c r="G733" t="s">
        <v>27</v>
      </c>
      <c r="H733" t="s">
        <v>31</v>
      </c>
      <c r="I733" t="s">
        <v>34</v>
      </c>
      <c r="J733" t="s">
        <v>41</v>
      </c>
      <c r="K733" t="s">
        <v>50</v>
      </c>
      <c r="L733" t="s">
        <v>51</v>
      </c>
      <c r="M733" s="7">
        <v>46663</v>
      </c>
      <c r="N733">
        <v>0.39</v>
      </c>
      <c r="O733" s="7">
        <v>1303</v>
      </c>
      <c r="P733">
        <v>9</v>
      </c>
      <c r="Q733" t="s">
        <v>56</v>
      </c>
      <c r="R733" t="s">
        <v>60</v>
      </c>
      <c r="S733">
        <f t="shared" si="55"/>
        <v>2023</v>
      </c>
      <c r="T733" t="str">
        <f t="shared" si="56"/>
        <v>Jan</v>
      </c>
      <c r="U733">
        <f t="shared" si="57"/>
        <v>2</v>
      </c>
      <c r="V733">
        <f t="shared" si="58"/>
        <v>7</v>
      </c>
      <c r="W733" s="9">
        <f t="shared" si="59"/>
        <v>2.7923622570344812E-2</v>
      </c>
    </row>
    <row r="734" spans="1:23">
      <c r="A734">
        <v>10733</v>
      </c>
      <c r="B734" s="5">
        <v>44929</v>
      </c>
      <c r="C734" s="5">
        <v>44932</v>
      </c>
      <c r="D734" s="5">
        <v>44933</v>
      </c>
      <c r="E734" t="s">
        <v>20</v>
      </c>
      <c r="F734" t="s">
        <v>22</v>
      </c>
      <c r="G734" t="s">
        <v>27</v>
      </c>
      <c r="H734" t="s">
        <v>32</v>
      </c>
      <c r="I734" t="s">
        <v>34</v>
      </c>
      <c r="J734" t="s">
        <v>37</v>
      </c>
      <c r="K734" t="s">
        <v>45</v>
      </c>
      <c r="L734" t="s">
        <v>52</v>
      </c>
      <c r="M734" s="7">
        <v>42904</v>
      </c>
      <c r="N734">
        <v>0.39</v>
      </c>
      <c r="O734" s="7">
        <v>-1105</v>
      </c>
      <c r="P734">
        <v>20</v>
      </c>
      <c r="Q734" t="s">
        <v>58</v>
      </c>
      <c r="R734" t="s">
        <v>59</v>
      </c>
      <c r="S734">
        <f t="shared" si="55"/>
        <v>2023</v>
      </c>
      <c r="T734" t="str">
        <f t="shared" si="56"/>
        <v>Jan</v>
      </c>
      <c r="U734">
        <f t="shared" si="57"/>
        <v>3</v>
      </c>
      <c r="V734">
        <f t="shared" si="58"/>
        <v>4</v>
      </c>
      <c r="W734" s="9">
        <f t="shared" si="59"/>
        <v>-2.5755174342718627E-2</v>
      </c>
    </row>
    <row r="735" spans="1:23">
      <c r="A735">
        <v>10734</v>
      </c>
      <c r="B735" s="5">
        <v>44930</v>
      </c>
      <c r="C735" s="5">
        <v>44937</v>
      </c>
      <c r="D735" s="5">
        <v>44938</v>
      </c>
      <c r="E735" t="s">
        <v>19</v>
      </c>
      <c r="F735" t="s">
        <v>22</v>
      </c>
      <c r="G735" t="s">
        <v>27</v>
      </c>
      <c r="H735" t="s">
        <v>25</v>
      </c>
      <c r="I735" t="s">
        <v>34</v>
      </c>
      <c r="J735" t="s">
        <v>37</v>
      </c>
      <c r="K735" t="s">
        <v>45</v>
      </c>
      <c r="L735" t="s">
        <v>52</v>
      </c>
      <c r="M735" s="7">
        <v>37167</v>
      </c>
      <c r="N735">
        <v>0.01</v>
      </c>
      <c r="O735" s="7">
        <v>17909</v>
      </c>
      <c r="P735">
        <v>10</v>
      </c>
      <c r="Q735" t="s">
        <v>57</v>
      </c>
      <c r="R735" t="s">
        <v>60</v>
      </c>
      <c r="S735">
        <f t="shared" si="55"/>
        <v>2023</v>
      </c>
      <c r="T735" t="str">
        <f t="shared" si="56"/>
        <v>Jan</v>
      </c>
      <c r="U735">
        <f t="shared" si="57"/>
        <v>7</v>
      </c>
      <c r="V735">
        <f t="shared" si="58"/>
        <v>8</v>
      </c>
      <c r="W735" s="9">
        <f t="shared" si="59"/>
        <v>0.48185218069793095</v>
      </c>
    </row>
    <row r="736" spans="1:23">
      <c r="A736">
        <v>10735</v>
      </c>
      <c r="B736" s="5">
        <v>44931</v>
      </c>
      <c r="C736" s="5">
        <v>44936</v>
      </c>
      <c r="D736" s="5">
        <v>44937</v>
      </c>
      <c r="E736" t="s">
        <v>20</v>
      </c>
      <c r="F736" t="s">
        <v>22</v>
      </c>
      <c r="G736" t="s">
        <v>28</v>
      </c>
      <c r="H736" t="s">
        <v>32</v>
      </c>
      <c r="I736" t="s">
        <v>35</v>
      </c>
      <c r="J736" t="s">
        <v>41</v>
      </c>
      <c r="K736" t="s">
        <v>46</v>
      </c>
      <c r="L736" t="s">
        <v>51</v>
      </c>
      <c r="M736" s="7">
        <v>32607</v>
      </c>
      <c r="N736">
        <v>0.01</v>
      </c>
      <c r="O736" s="7">
        <v>14616</v>
      </c>
      <c r="P736">
        <v>5</v>
      </c>
      <c r="Q736" t="s">
        <v>57</v>
      </c>
      <c r="R736" t="s">
        <v>61</v>
      </c>
      <c r="S736">
        <f t="shared" si="55"/>
        <v>2023</v>
      </c>
      <c r="T736" t="str">
        <f t="shared" si="56"/>
        <v>Jan</v>
      </c>
      <c r="U736">
        <f t="shared" si="57"/>
        <v>5</v>
      </c>
      <c r="V736">
        <f t="shared" si="58"/>
        <v>6</v>
      </c>
      <c r="W736" s="9">
        <f t="shared" si="59"/>
        <v>0.4482473088600607</v>
      </c>
    </row>
    <row r="737" spans="1:23">
      <c r="A737">
        <v>10736</v>
      </c>
      <c r="B737" s="5">
        <v>44932</v>
      </c>
      <c r="C737" s="5">
        <v>44937</v>
      </c>
      <c r="D737" s="5">
        <v>44940</v>
      </c>
      <c r="E737" t="s">
        <v>19</v>
      </c>
      <c r="F737" t="s">
        <v>22</v>
      </c>
      <c r="G737" t="s">
        <v>28</v>
      </c>
      <c r="H737" t="s">
        <v>32</v>
      </c>
      <c r="I737" t="s">
        <v>34</v>
      </c>
      <c r="J737" t="s">
        <v>41</v>
      </c>
      <c r="K737" t="s">
        <v>49</v>
      </c>
      <c r="L737" t="s">
        <v>51</v>
      </c>
      <c r="M737" s="7">
        <v>39563</v>
      </c>
      <c r="N737">
        <v>0.14000000000000001</v>
      </c>
      <c r="O737" s="7">
        <v>16405</v>
      </c>
      <c r="P737">
        <v>8</v>
      </c>
      <c r="Q737" t="s">
        <v>57</v>
      </c>
      <c r="R737" t="s">
        <v>60</v>
      </c>
      <c r="S737">
        <f t="shared" si="55"/>
        <v>2023</v>
      </c>
      <c r="T737" t="str">
        <f t="shared" si="56"/>
        <v>Jan</v>
      </c>
      <c r="U737">
        <f t="shared" si="57"/>
        <v>5</v>
      </c>
      <c r="V737">
        <f t="shared" si="58"/>
        <v>8</v>
      </c>
      <c r="W737" s="9">
        <f t="shared" si="59"/>
        <v>0.41465510704446074</v>
      </c>
    </row>
    <row r="738" spans="1:23">
      <c r="A738">
        <v>10737</v>
      </c>
      <c r="B738" s="5">
        <v>44933</v>
      </c>
      <c r="C738" s="5">
        <v>44938</v>
      </c>
      <c r="D738" s="5">
        <v>44943</v>
      </c>
      <c r="E738" t="s">
        <v>18</v>
      </c>
      <c r="F738" t="s">
        <v>22</v>
      </c>
      <c r="G738" t="s">
        <v>24</v>
      </c>
      <c r="H738" t="s">
        <v>30</v>
      </c>
      <c r="I738" t="s">
        <v>35</v>
      </c>
      <c r="J738" t="s">
        <v>37</v>
      </c>
      <c r="K738" t="s">
        <v>48</v>
      </c>
      <c r="L738" t="s">
        <v>51</v>
      </c>
      <c r="M738" s="7">
        <v>55095</v>
      </c>
      <c r="N738">
        <v>0.25</v>
      </c>
      <c r="O738" s="7">
        <v>10693</v>
      </c>
      <c r="P738">
        <v>15</v>
      </c>
      <c r="Q738" t="s">
        <v>57</v>
      </c>
      <c r="R738" t="s">
        <v>60</v>
      </c>
      <c r="S738">
        <f t="shared" si="55"/>
        <v>2023</v>
      </c>
      <c r="T738" t="str">
        <f t="shared" si="56"/>
        <v>Jan</v>
      </c>
      <c r="U738">
        <f t="shared" si="57"/>
        <v>5</v>
      </c>
      <c r="V738">
        <f t="shared" si="58"/>
        <v>10</v>
      </c>
      <c r="W738" s="9">
        <f t="shared" si="59"/>
        <v>0.19408294763590161</v>
      </c>
    </row>
    <row r="739" spans="1:23">
      <c r="A739">
        <v>10738</v>
      </c>
      <c r="B739" s="5">
        <v>44934</v>
      </c>
      <c r="C739" s="5">
        <v>44936</v>
      </c>
      <c r="D739" s="5">
        <v>44937</v>
      </c>
      <c r="E739" t="s">
        <v>21</v>
      </c>
      <c r="F739" t="s">
        <v>22</v>
      </c>
      <c r="G739" t="s">
        <v>25</v>
      </c>
      <c r="H739" t="s">
        <v>30</v>
      </c>
      <c r="I739" t="s">
        <v>36</v>
      </c>
      <c r="J739" t="s">
        <v>41</v>
      </c>
      <c r="K739" t="s">
        <v>46</v>
      </c>
      <c r="L739" t="s">
        <v>52</v>
      </c>
      <c r="M739" s="7">
        <v>11488</v>
      </c>
      <c r="N739">
        <v>0.34</v>
      </c>
      <c r="O739" s="7">
        <v>1588</v>
      </c>
      <c r="P739">
        <v>7</v>
      </c>
      <c r="Q739" t="s">
        <v>55</v>
      </c>
      <c r="R739" t="s">
        <v>59</v>
      </c>
      <c r="S739">
        <f t="shared" si="55"/>
        <v>2023</v>
      </c>
      <c r="T739" t="str">
        <f t="shared" si="56"/>
        <v>Jan</v>
      </c>
      <c r="U739">
        <f t="shared" si="57"/>
        <v>2</v>
      </c>
      <c r="V739">
        <f t="shared" si="58"/>
        <v>3</v>
      </c>
      <c r="W739" s="9">
        <f t="shared" si="59"/>
        <v>0.13823119777158774</v>
      </c>
    </row>
    <row r="740" spans="1:23">
      <c r="A740">
        <v>10739</v>
      </c>
      <c r="B740" s="5">
        <v>44935</v>
      </c>
      <c r="C740" s="5">
        <v>44939</v>
      </c>
      <c r="D740" s="5">
        <v>44940</v>
      </c>
      <c r="E740" t="s">
        <v>19</v>
      </c>
      <c r="F740" t="s">
        <v>22</v>
      </c>
      <c r="G740" t="s">
        <v>25</v>
      </c>
      <c r="H740" t="s">
        <v>25</v>
      </c>
      <c r="I740" t="s">
        <v>36</v>
      </c>
      <c r="J740" t="s">
        <v>38</v>
      </c>
      <c r="K740" t="s">
        <v>49</v>
      </c>
      <c r="L740" t="s">
        <v>53</v>
      </c>
      <c r="M740" s="7">
        <v>28689</v>
      </c>
      <c r="N740">
        <v>0.12</v>
      </c>
      <c r="O740" s="7">
        <v>15772</v>
      </c>
      <c r="P740">
        <v>15</v>
      </c>
      <c r="Q740" t="s">
        <v>58</v>
      </c>
      <c r="R740" t="s">
        <v>59</v>
      </c>
      <c r="S740">
        <f t="shared" si="55"/>
        <v>2023</v>
      </c>
      <c r="T740" t="str">
        <f t="shared" si="56"/>
        <v>Jan</v>
      </c>
      <c r="U740">
        <f t="shared" si="57"/>
        <v>4</v>
      </c>
      <c r="V740">
        <f t="shared" si="58"/>
        <v>5</v>
      </c>
      <c r="W740" s="9">
        <f t="shared" si="59"/>
        <v>0.54975774687162327</v>
      </c>
    </row>
    <row r="741" spans="1:23">
      <c r="A741">
        <v>10740</v>
      </c>
      <c r="B741" s="5">
        <v>44936</v>
      </c>
      <c r="C741" s="5">
        <v>44942</v>
      </c>
      <c r="D741" s="5">
        <v>44945</v>
      </c>
      <c r="E741" t="s">
        <v>21</v>
      </c>
      <c r="F741" t="s">
        <v>22</v>
      </c>
      <c r="G741" t="s">
        <v>28</v>
      </c>
      <c r="H741" t="s">
        <v>33</v>
      </c>
      <c r="I741" t="s">
        <v>35</v>
      </c>
      <c r="J741" t="s">
        <v>39</v>
      </c>
      <c r="K741" t="s">
        <v>46</v>
      </c>
      <c r="L741" t="s">
        <v>53</v>
      </c>
      <c r="M741" s="7">
        <v>25933</v>
      </c>
      <c r="N741">
        <v>0.38</v>
      </c>
      <c r="O741" s="7">
        <v>3127</v>
      </c>
      <c r="P741">
        <v>6</v>
      </c>
      <c r="Q741" t="s">
        <v>56</v>
      </c>
      <c r="R741" t="s">
        <v>60</v>
      </c>
      <c r="S741">
        <f t="shared" si="55"/>
        <v>2023</v>
      </c>
      <c r="T741" t="str">
        <f t="shared" si="56"/>
        <v>Jan</v>
      </c>
      <c r="U741">
        <f t="shared" si="57"/>
        <v>6</v>
      </c>
      <c r="V741">
        <f t="shared" si="58"/>
        <v>9</v>
      </c>
      <c r="W741" s="9">
        <f t="shared" si="59"/>
        <v>0.12057995604056608</v>
      </c>
    </row>
    <row r="742" spans="1:23">
      <c r="A742">
        <v>10741</v>
      </c>
      <c r="B742" s="5">
        <v>44937</v>
      </c>
      <c r="C742" s="5">
        <v>44943</v>
      </c>
      <c r="D742" s="5">
        <v>44944</v>
      </c>
      <c r="E742" t="s">
        <v>18</v>
      </c>
      <c r="F742" t="s">
        <v>22</v>
      </c>
      <c r="G742" t="s">
        <v>26</v>
      </c>
      <c r="H742" t="s">
        <v>31</v>
      </c>
      <c r="I742" t="s">
        <v>35</v>
      </c>
      <c r="J742" t="s">
        <v>40</v>
      </c>
      <c r="K742" t="s">
        <v>46</v>
      </c>
      <c r="L742" t="s">
        <v>52</v>
      </c>
      <c r="M742" s="7">
        <v>53231</v>
      </c>
      <c r="N742">
        <v>0.27</v>
      </c>
      <c r="O742" s="7">
        <v>-1216</v>
      </c>
      <c r="P742">
        <v>9</v>
      </c>
      <c r="Q742" t="s">
        <v>56</v>
      </c>
      <c r="R742" t="s">
        <v>60</v>
      </c>
      <c r="S742">
        <f t="shared" si="55"/>
        <v>2023</v>
      </c>
      <c r="T742" t="str">
        <f t="shared" si="56"/>
        <v>Jan</v>
      </c>
      <c r="U742">
        <f t="shared" si="57"/>
        <v>6</v>
      </c>
      <c r="V742">
        <f t="shared" si="58"/>
        <v>7</v>
      </c>
      <c r="W742" s="9">
        <f t="shared" si="59"/>
        <v>-2.2843831601886119E-2</v>
      </c>
    </row>
    <row r="743" spans="1:23">
      <c r="A743">
        <v>10742</v>
      </c>
      <c r="B743" s="5">
        <v>44938</v>
      </c>
      <c r="C743" s="5">
        <v>44942</v>
      </c>
      <c r="D743" s="5">
        <v>44945</v>
      </c>
      <c r="E743" t="s">
        <v>21</v>
      </c>
      <c r="F743" t="s">
        <v>22</v>
      </c>
      <c r="G743" t="s">
        <v>27</v>
      </c>
      <c r="H743" t="s">
        <v>29</v>
      </c>
      <c r="I743" t="s">
        <v>36</v>
      </c>
      <c r="J743" t="s">
        <v>39</v>
      </c>
      <c r="K743" t="s">
        <v>45</v>
      </c>
      <c r="L743" t="s">
        <v>51</v>
      </c>
      <c r="M743" s="7">
        <v>57545</v>
      </c>
      <c r="N743">
        <v>0.06</v>
      </c>
      <c r="O743" s="7">
        <v>11118</v>
      </c>
      <c r="P743">
        <v>19</v>
      </c>
      <c r="Q743" t="s">
        <v>54</v>
      </c>
      <c r="R743" t="s">
        <v>59</v>
      </c>
      <c r="S743">
        <f t="shared" si="55"/>
        <v>2023</v>
      </c>
      <c r="T743" t="str">
        <f t="shared" si="56"/>
        <v>Jan</v>
      </c>
      <c r="U743">
        <f t="shared" si="57"/>
        <v>4</v>
      </c>
      <c r="V743">
        <f t="shared" si="58"/>
        <v>7</v>
      </c>
      <c r="W743" s="9">
        <f t="shared" si="59"/>
        <v>0.193205317577548</v>
      </c>
    </row>
    <row r="744" spans="1:23">
      <c r="A744">
        <v>10743</v>
      </c>
      <c r="B744" s="5">
        <v>44939</v>
      </c>
      <c r="C744" s="5">
        <v>44946</v>
      </c>
      <c r="D744" s="5">
        <v>44951</v>
      </c>
      <c r="E744" t="s">
        <v>18</v>
      </c>
      <c r="F744" t="s">
        <v>22</v>
      </c>
      <c r="G744" t="s">
        <v>26</v>
      </c>
      <c r="H744" t="s">
        <v>32</v>
      </c>
      <c r="I744" t="s">
        <v>36</v>
      </c>
      <c r="J744" t="s">
        <v>38</v>
      </c>
      <c r="K744" t="s">
        <v>45</v>
      </c>
      <c r="L744" t="s">
        <v>53</v>
      </c>
      <c r="M744" s="7">
        <v>16820</v>
      </c>
      <c r="N744">
        <v>0.19</v>
      </c>
      <c r="O744" s="7">
        <v>14843</v>
      </c>
      <c r="P744">
        <v>16</v>
      </c>
      <c r="Q744" t="s">
        <v>55</v>
      </c>
      <c r="R744" t="s">
        <v>62</v>
      </c>
      <c r="S744">
        <f t="shared" si="55"/>
        <v>2023</v>
      </c>
      <c r="T744" t="str">
        <f t="shared" si="56"/>
        <v>Jan</v>
      </c>
      <c r="U744">
        <f t="shared" si="57"/>
        <v>7</v>
      </c>
      <c r="V744">
        <f t="shared" si="58"/>
        <v>12</v>
      </c>
      <c r="W744" s="9">
        <f t="shared" si="59"/>
        <v>0.88246135552913196</v>
      </c>
    </row>
    <row r="745" spans="1:23">
      <c r="A745">
        <v>10744</v>
      </c>
      <c r="B745" s="5">
        <v>44940</v>
      </c>
      <c r="C745" s="5">
        <v>44943</v>
      </c>
      <c r="D745" s="5">
        <v>44945</v>
      </c>
      <c r="E745" t="s">
        <v>20</v>
      </c>
      <c r="F745" t="s">
        <v>22</v>
      </c>
      <c r="G745" t="s">
        <v>28</v>
      </c>
      <c r="H745" t="s">
        <v>33</v>
      </c>
      <c r="I745" t="s">
        <v>35</v>
      </c>
      <c r="J745" t="s">
        <v>43</v>
      </c>
      <c r="K745" t="s">
        <v>48</v>
      </c>
      <c r="L745" t="s">
        <v>52</v>
      </c>
      <c r="M745" s="7">
        <v>37164</v>
      </c>
      <c r="N745">
        <v>0.2</v>
      </c>
      <c r="O745" s="7">
        <v>3458</v>
      </c>
      <c r="P745">
        <v>7</v>
      </c>
      <c r="Q745" t="s">
        <v>58</v>
      </c>
      <c r="R745" t="s">
        <v>59</v>
      </c>
      <c r="S745">
        <f t="shared" si="55"/>
        <v>2023</v>
      </c>
      <c r="T745" t="str">
        <f t="shared" si="56"/>
        <v>Jan</v>
      </c>
      <c r="U745">
        <f t="shared" si="57"/>
        <v>3</v>
      </c>
      <c r="V745">
        <f t="shared" si="58"/>
        <v>5</v>
      </c>
      <c r="W745" s="9">
        <f t="shared" si="59"/>
        <v>9.3047034764826175E-2</v>
      </c>
    </row>
    <row r="746" spans="1:23">
      <c r="A746">
        <v>10745</v>
      </c>
      <c r="B746" s="5">
        <v>44941</v>
      </c>
      <c r="C746" s="5">
        <v>44943</v>
      </c>
      <c r="D746" s="5">
        <v>44948</v>
      </c>
      <c r="E746" t="s">
        <v>19</v>
      </c>
      <c r="F746" t="s">
        <v>22</v>
      </c>
      <c r="G746" t="s">
        <v>28</v>
      </c>
      <c r="H746" t="s">
        <v>31</v>
      </c>
      <c r="I746" t="s">
        <v>36</v>
      </c>
      <c r="J746" t="s">
        <v>39</v>
      </c>
      <c r="K746" t="s">
        <v>47</v>
      </c>
      <c r="L746" t="s">
        <v>53</v>
      </c>
      <c r="M746" s="7">
        <v>33709</v>
      </c>
      <c r="N746">
        <v>7.0000000000000007E-2</v>
      </c>
      <c r="O746" s="7">
        <v>-1471</v>
      </c>
      <c r="P746">
        <v>23</v>
      </c>
      <c r="Q746" t="s">
        <v>57</v>
      </c>
      <c r="R746" t="s">
        <v>60</v>
      </c>
      <c r="S746">
        <f t="shared" si="55"/>
        <v>2023</v>
      </c>
      <c r="T746" t="str">
        <f t="shared" si="56"/>
        <v>Jan</v>
      </c>
      <c r="U746">
        <f t="shared" si="57"/>
        <v>2</v>
      </c>
      <c r="V746">
        <f t="shared" si="58"/>
        <v>7</v>
      </c>
      <c r="W746" s="9">
        <f t="shared" si="59"/>
        <v>-4.3638197514017027E-2</v>
      </c>
    </row>
    <row r="747" spans="1:23">
      <c r="A747">
        <v>10746</v>
      </c>
      <c r="B747" s="5">
        <v>44942</v>
      </c>
      <c r="C747" s="5">
        <v>44946</v>
      </c>
      <c r="D747" s="5">
        <v>44951</v>
      </c>
      <c r="E747" t="s">
        <v>19</v>
      </c>
      <c r="F747" t="s">
        <v>22</v>
      </c>
      <c r="G747" t="s">
        <v>27</v>
      </c>
      <c r="H747" t="s">
        <v>25</v>
      </c>
      <c r="I747" t="s">
        <v>34</v>
      </c>
      <c r="J747" t="s">
        <v>43</v>
      </c>
      <c r="K747" t="s">
        <v>47</v>
      </c>
      <c r="L747" t="s">
        <v>51</v>
      </c>
      <c r="M747" s="7">
        <v>65517</v>
      </c>
      <c r="N747">
        <v>7.0000000000000007E-2</v>
      </c>
      <c r="O747" s="7">
        <v>18502</v>
      </c>
      <c r="P747">
        <v>23</v>
      </c>
      <c r="Q747" t="s">
        <v>57</v>
      </c>
      <c r="R747" t="s">
        <v>62</v>
      </c>
      <c r="S747">
        <f t="shared" si="55"/>
        <v>2023</v>
      </c>
      <c r="T747" t="str">
        <f t="shared" si="56"/>
        <v>Jan</v>
      </c>
      <c r="U747">
        <f t="shared" si="57"/>
        <v>4</v>
      </c>
      <c r="V747">
        <f t="shared" si="58"/>
        <v>9</v>
      </c>
      <c r="W747" s="9">
        <f t="shared" si="59"/>
        <v>0.28239998778942871</v>
      </c>
    </row>
    <row r="748" spans="1:23">
      <c r="A748">
        <v>10747</v>
      </c>
      <c r="B748" s="5">
        <v>44943</v>
      </c>
      <c r="C748" s="5">
        <v>44946</v>
      </c>
      <c r="D748" s="5">
        <v>44947</v>
      </c>
      <c r="E748" t="s">
        <v>18</v>
      </c>
      <c r="F748" t="s">
        <v>22</v>
      </c>
      <c r="G748" t="s">
        <v>26</v>
      </c>
      <c r="H748" t="s">
        <v>32</v>
      </c>
      <c r="I748" t="s">
        <v>34</v>
      </c>
      <c r="J748" t="s">
        <v>38</v>
      </c>
      <c r="K748" t="s">
        <v>46</v>
      </c>
      <c r="L748" t="s">
        <v>51</v>
      </c>
      <c r="M748" s="7">
        <v>40118</v>
      </c>
      <c r="N748">
        <v>0.37</v>
      </c>
      <c r="O748" s="7">
        <v>5832</v>
      </c>
      <c r="P748">
        <v>15</v>
      </c>
      <c r="Q748" t="s">
        <v>54</v>
      </c>
      <c r="R748" t="s">
        <v>59</v>
      </c>
      <c r="S748">
        <f t="shared" si="55"/>
        <v>2023</v>
      </c>
      <c r="T748" t="str">
        <f t="shared" si="56"/>
        <v>Jan</v>
      </c>
      <c r="U748">
        <f t="shared" si="57"/>
        <v>3</v>
      </c>
      <c r="V748">
        <f t="shared" si="58"/>
        <v>4</v>
      </c>
      <c r="W748" s="9">
        <f t="shared" si="59"/>
        <v>0.14537115509247719</v>
      </c>
    </row>
    <row r="749" spans="1:23">
      <c r="A749">
        <v>10748</v>
      </c>
      <c r="B749" s="5">
        <v>44944</v>
      </c>
      <c r="C749" s="5">
        <v>44951</v>
      </c>
      <c r="D749" s="5">
        <v>44953</v>
      </c>
      <c r="E749" t="s">
        <v>21</v>
      </c>
      <c r="F749" t="s">
        <v>22</v>
      </c>
      <c r="G749" t="s">
        <v>24</v>
      </c>
      <c r="H749" t="s">
        <v>29</v>
      </c>
      <c r="I749" t="s">
        <v>34</v>
      </c>
      <c r="J749" t="s">
        <v>39</v>
      </c>
      <c r="K749" t="s">
        <v>49</v>
      </c>
      <c r="L749" t="s">
        <v>52</v>
      </c>
      <c r="M749" s="7">
        <v>22753</v>
      </c>
      <c r="N749">
        <v>0.03</v>
      </c>
      <c r="O749" s="7">
        <v>5292</v>
      </c>
      <c r="P749">
        <v>18</v>
      </c>
      <c r="Q749" t="s">
        <v>54</v>
      </c>
      <c r="R749" t="s">
        <v>61</v>
      </c>
      <c r="S749">
        <f t="shared" si="55"/>
        <v>2023</v>
      </c>
      <c r="T749" t="str">
        <f t="shared" si="56"/>
        <v>Jan</v>
      </c>
      <c r="U749">
        <f t="shared" si="57"/>
        <v>7</v>
      </c>
      <c r="V749">
        <f t="shared" si="58"/>
        <v>9</v>
      </c>
      <c r="W749" s="9">
        <f t="shared" si="59"/>
        <v>0.23258471410363468</v>
      </c>
    </row>
    <row r="750" spans="1:23">
      <c r="A750">
        <v>10749</v>
      </c>
      <c r="B750" s="5">
        <v>44945</v>
      </c>
      <c r="C750" s="5">
        <v>44950</v>
      </c>
      <c r="D750" s="5">
        <v>44953</v>
      </c>
      <c r="E750" t="s">
        <v>18</v>
      </c>
      <c r="F750" t="s">
        <v>22</v>
      </c>
      <c r="G750" t="s">
        <v>23</v>
      </c>
      <c r="H750" t="s">
        <v>33</v>
      </c>
      <c r="I750" t="s">
        <v>36</v>
      </c>
      <c r="J750" t="s">
        <v>41</v>
      </c>
      <c r="K750" t="s">
        <v>44</v>
      </c>
      <c r="L750" t="s">
        <v>53</v>
      </c>
      <c r="M750" s="7">
        <v>47438</v>
      </c>
      <c r="N750">
        <v>0.15</v>
      </c>
      <c r="O750" s="7">
        <v>11915</v>
      </c>
      <c r="P750">
        <v>13</v>
      </c>
      <c r="Q750" t="s">
        <v>55</v>
      </c>
      <c r="R750" t="s">
        <v>62</v>
      </c>
      <c r="S750">
        <f t="shared" si="55"/>
        <v>2023</v>
      </c>
      <c r="T750" t="str">
        <f t="shared" si="56"/>
        <v>Jan</v>
      </c>
      <c r="U750">
        <f t="shared" si="57"/>
        <v>5</v>
      </c>
      <c r="V750">
        <f t="shared" si="58"/>
        <v>8</v>
      </c>
      <c r="W750" s="9">
        <f t="shared" si="59"/>
        <v>0.25116994814283905</v>
      </c>
    </row>
    <row r="751" spans="1:23">
      <c r="A751">
        <v>10750</v>
      </c>
      <c r="B751" s="5">
        <v>44946</v>
      </c>
      <c r="C751" s="5">
        <v>44950</v>
      </c>
      <c r="D751" s="5">
        <v>44954</v>
      </c>
      <c r="E751" t="s">
        <v>20</v>
      </c>
      <c r="F751" t="s">
        <v>22</v>
      </c>
      <c r="G751" t="s">
        <v>26</v>
      </c>
      <c r="H751" t="s">
        <v>31</v>
      </c>
      <c r="I751" t="s">
        <v>36</v>
      </c>
      <c r="J751" t="s">
        <v>38</v>
      </c>
      <c r="K751" t="s">
        <v>44</v>
      </c>
      <c r="L751" t="s">
        <v>53</v>
      </c>
      <c r="M751" s="7">
        <v>17117</v>
      </c>
      <c r="N751">
        <v>0.12</v>
      </c>
      <c r="O751" s="7">
        <v>15431</v>
      </c>
      <c r="P751">
        <v>7</v>
      </c>
      <c r="Q751" t="s">
        <v>54</v>
      </c>
      <c r="R751" t="s">
        <v>61</v>
      </c>
      <c r="S751">
        <f t="shared" si="55"/>
        <v>2023</v>
      </c>
      <c r="T751" t="str">
        <f t="shared" si="56"/>
        <v>Jan</v>
      </c>
      <c r="U751">
        <f t="shared" si="57"/>
        <v>4</v>
      </c>
      <c r="V751">
        <f t="shared" si="58"/>
        <v>8</v>
      </c>
      <c r="W751" s="9">
        <f t="shared" si="59"/>
        <v>0.9015014313255828</v>
      </c>
    </row>
    <row r="752" spans="1:23">
      <c r="A752">
        <v>10751</v>
      </c>
      <c r="B752" s="5">
        <v>44947</v>
      </c>
      <c r="C752" s="5">
        <v>44949</v>
      </c>
      <c r="D752" s="5">
        <v>44952</v>
      </c>
      <c r="E752" t="s">
        <v>18</v>
      </c>
      <c r="F752" t="s">
        <v>22</v>
      </c>
      <c r="G752" t="s">
        <v>25</v>
      </c>
      <c r="H752" t="s">
        <v>25</v>
      </c>
      <c r="I752" t="s">
        <v>36</v>
      </c>
      <c r="J752" t="s">
        <v>43</v>
      </c>
      <c r="K752" t="s">
        <v>49</v>
      </c>
      <c r="L752" t="s">
        <v>51</v>
      </c>
      <c r="M752" s="7">
        <v>53624</v>
      </c>
      <c r="N752">
        <v>0.28999999999999998</v>
      </c>
      <c r="O752" s="7">
        <v>18048</v>
      </c>
      <c r="P752">
        <v>16</v>
      </c>
      <c r="Q752" t="s">
        <v>54</v>
      </c>
      <c r="R752" t="s">
        <v>61</v>
      </c>
      <c r="S752">
        <f t="shared" si="55"/>
        <v>2023</v>
      </c>
      <c r="T752" t="str">
        <f t="shared" si="56"/>
        <v>Jan</v>
      </c>
      <c r="U752">
        <f t="shared" si="57"/>
        <v>2</v>
      </c>
      <c r="V752">
        <f t="shared" si="58"/>
        <v>5</v>
      </c>
      <c r="W752" s="9">
        <f t="shared" si="59"/>
        <v>0.33656571684320452</v>
      </c>
    </row>
    <row r="753" spans="1:23">
      <c r="A753">
        <v>10752</v>
      </c>
      <c r="B753" s="5">
        <v>44948</v>
      </c>
      <c r="C753" s="5">
        <v>44954</v>
      </c>
      <c r="D753" s="5">
        <v>44959</v>
      </c>
      <c r="E753" t="s">
        <v>18</v>
      </c>
      <c r="F753" t="s">
        <v>22</v>
      </c>
      <c r="G753" t="s">
        <v>26</v>
      </c>
      <c r="H753" t="s">
        <v>25</v>
      </c>
      <c r="I753" t="s">
        <v>35</v>
      </c>
      <c r="J753" t="s">
        <v>40</v>
      </c>
      <c r="K753" t="s">
        <v>49</v>
      </c>
      <c r="L753" t="s">
        <v>53</v>
      </c>
      <c r="M753" s="7">
        <v>696</v>
      </c>
      <c r="N753">
        <v>0.06</v>
      </c>
      <c r="O753" s="7">
        <v>7668</v>
      </c>
      <c r="P753">
        <v>5</v>
      </c>
      <c r="Q753" t="s">
        <v>56</v>
      </c>
      <c r="R753" t="s">
        <v>60</v>
      </c>
      <c r="S753">
        <f t="shared" si="55"/>
        <v>2023</v>
      </c>
      <c r="T753" t="str">
        <f t="shared" si="56"/>
        <v>Jan</v>
      </c>
      <c r="U753">
        <f t="shared" si="57"/>
        <v>6</v>
      </c>
      <c r="V753">
        <f t="shared" si="58"/>
        <v>11</v>
      </c>
      <c r="W753" s="9">
        <f t="shared" si="59"/>
        <v>11.017241379310345</v>
      </c>
    </row>
    <row r="754" spans="1:23">
      <c r="A754">
        <v>10753</v>
      </c>
      <c r="B754" s="5">
        <v>44949</v>
      </c>
      <c r="C754" s="5">
        <v>44956</v>
      </c>
      <c r="D754" s="5">
        <v>44960</v>
      </c>
      <c r="E754" t="s">
        <v>21</v>
      </c>
      <c r="F754" t="s">
        <v>22</v>
      </c>
      <c r="G754" t="s">
        <v>27</v>
      </c>
      <c r="H754" t="s">
        <v>25</v>
      </c>
      <c r="I754" t="s">
        <v>35</v>
      </c>
      <c r="J754" t="s">
        <v>43</v>
      </c>
      <c r="K754" t="s">
        <v>46</v>
      </c>
      <c r="L754" t="s">
        <v>52</v>
      </c>
      <c r="M754" s="7">
        <v>27552</v>
      </c>
      <c r="N754">
        <v>0.02</v>
      </c>
      <c r="O754" s="7">
        <v>17441</v>
      </c>
      <c r="P754">
        <v>7</v>
      </c>
      <c r="Q754" t="s">
        <v>57</v>
      </c>
      <c r="R754" t="s">
        <v>60</v>
      </c>
      <c r="S754">
        <f t="shared" si="55"/>
        <v>2023</v>
      </c>
      <c r="T754" t="str">
        <f t="shared" si="56"/>
        <v>Jan</v>
      </c>
      <c r="U754">
        <f t="shared" si="57"/>
        <v>7</v>
      </c>
      <c r="V754">
        <f t="shared" si="58"/>
        <v>11</v>
      </c>
      <c r="W754" s="9">
        <f t="shared" si="59"/>
        <v>0.63302119628339137</v>
      </c>
    </row>
    <row r="755" spans="1:23">
      <c r="A755">
        <v>10754</v>
      </c>
      <c r="B755" s="5">
        <v>44950</v>
      </c>
      <c r="C755" s="5">
        <v>44956</v>
      </c>
      <c r="D755" s="5">
        <v>44958</v>
      </c>
      <c r="E755" t="s">
        <v>21</v>
      </c>
      <c r="F755" t="s">
        <v>22</v>
      </c>
      <c r="G755" t="s">
        <v>24</v>
      </c>
      <c r="H755" t="s">
        <v>29</v>
      </c>
      <c r="I755" t="s">
        <v>34</v>
      </c>
      <c r="J755" t="s">
        <v>39</v>
      </c>
      <c r="K755" t="s">
        <v>47</v>
      </c>
      <c r="L755" t="s">
        <v>51</v>
      </c>
      <c r="M755" s="7">
        <v>2646</v>
      </c>
      <c r="N755">
        <v>0.14000000000000001</v>
      </c>
      <c r="O755" s="7">
        <v>1631</v>
      </c>
      <c r="P755">
        <v>22</v>
      </c>
      <c r="Q755" t="s">
        <v>55</v>
      </c>
      <c r="R755" t="s">
        <v>60</v>
      </c>
      <c r="S755">
        <f t="shared" si="55"/>
        <v>2023</v>
      </c>
      <c r="T755" t="str">
        <f t="shared" si="56"/>
        <v>Jan</v>
      </c>
      <c r="U755">
        <f t="shared" si="57"/>
        <v>6</v>
      </c>
      <c r="V755">
        <f t="shared" si="58"/>
        <v>8</v>
      </c>
      <c r="W755" s="9">
        <f t="shared" si="59"/>
        <v>0.6164021164021164</v>
      </c>
    </row>
    <row r="756" spans="1:23">
      <c r="A756">
        <v>10755</v>
      </c>
      <c r="B756" s="5">
        <v>44951</v>
      </c>
      <c r="C756" s="5">
        <v>44958</v>
      </c>
      <c r="D756" s="5">
        <v>44962</v>
      </c>
      <c r="E756" t="s">
        <v>19</v>
      </c>
      <c r="F756" t="s">
        <v>22</v>
      </c>
      <c r="G756" t="s">
        <v>27</v>
      </c>
      <c r="H756" t="s">
        <v>31</v>
      </c>
      <c r="I756" t="s">
        <v>35</v>
      </c>
      <c r="J756" t="s">
        <v>39</v>
      </c>
      <c r="K756" t="s">
        <v>49</v>
      </c>
      <c r="L756" t="s">
        <v>51</v>
      </c>
      <c r="M756" s="7">
        <v>13622</v>
      </c>
      <c r="N756">
        <v>0.15</v>
      </c>
      <c r="O756" s="7">
        <v>15680</v>
      </c>
      <c r="P756">
        <v>7</v>
      </c>
      <c r="Q756" t="s">
        <v>54</v>
      </c>
      <c r="R756" t="s">
        <v>59</v>
      </c>
      <c r="S756">
        <f t="shared" si="55"/>
        <v>2023</v>
      </c>
      <c r="T756" t="str">
        <f t="shared" si="56"/>
        <v>Jan</v>
      </c>
      <c r="U756">
        <f t="shared" si="57"/>
        <v>7</v>
      </c>
      <c r="V756">
        <f t="shared" si="58"/>
        <v>11</v>
      </c>
      <c r="W756" s="9">
        <f t="shared" si="59"/>
        <v>1.1510791366906474</v>
      </c>
    </row>
    <row r="757" spans="1:23">
      <c r="A757">
        <v>10756</v>
      </c>
      <c r="B757" s="5">
        <v>44952</v>
      </c>
      <c r="C757" s="5">
        <v>44959</v>
      </c>
      <c r="D757" s="5">
        <v>44961</v>
      </c>
      <c r="E757" t="s">
        <v>20</v>
      </c>
      <c r="F757" t="s">
        <v>22</v>
      </c>
      <c r="G757" t="s">
        <v>23</v>
      </c>
      <c r="H757" t="s">
        <v>31</v>
      </c>
      <c r="I757" t="s">
        <v>34</v>
      </c>
      <c r="J757" t="s">
        <v>42</v>
      </c>
      <c r="K757" t="s">
        <v>45</v>
      </c>
      <c r="L757" t="s">
        <v>51</v>
      </c>
      <c r="M757" s="7">
        <v>70613</v>
      </c>
      <c r="N757">
        <v>0.19</v>
      </c>
      <c r="O757" s="7">
        <v>227</v>
      </c>
      <c r="P757">
        <v>14</v>
      </c>
      <c r="Q757" t="s">
        <v>57</v>
      </c>
      <c r="R757" t="s">
        <v>59</v>
      </c>
      <c r="S757">
        <f t="shared" si="55"/>
        <v>2023</v>
      </c>
      <c r="T757" t="str">
        <f t="shared" si="56"/>
        <v>Jan</v>
      </c>
      <c r="U757">
        <f t="shared" si="57"/>
        <v>7</v>
      </c>
      <c r="V757">
        <f t="shared" si="58"/>
        <v>9</v>
      </c>
      <c r="W757" s="9">
        <f t="shared" si="59"/>
        <v>3.2147055074844577E-3</v>
      </c>
    </row>
    <row r="758" spans="1:23">
      <c r="A758">
        <v>10757</v>
      </c>
      <c r="B758" s="5">
        <v>44953</v>
      </c>
      <c r="C758" s="5">
        <v>44956</v>
      </c>
      <c r="D758" s="5">
        <v>44958</v>
      </c>
      <c r="E758" t="s">
        <v>20</v>
      </c>
      <c r="F758" t="s">
        <v>22</v>
      </c>
      <c r="G758" t="s">
        <v>24</v>
      </c>
      <c r="H758" t="s">
        <v>32</v>
      </c>
      <c r="I758" t="s">
        <v>35</v>
      </c>
      <c r="J758" t="s">
        <v>37</v>
      </c>
      <c r="K758" t="s">
        <v>47</v>
      </c>
      <c r="L758" t="s">
        <v>51</v>
      </c>
      <c r="M758" s="7">
        <v>72821</v>
      </c>
      <c r="N758">
        <v>0.27</v>
      </c>
      <c r="O758" s="7">
        <v>-1249</v>
      </c>
      <c r="P758">
        <v>10</v>
      </c>
      <c r="Q758" t="s">
        <v>57</v>
      </c>
      <c r="R758" t="s">
        <v>60</v>
      </c>
      <c r="S758">
        <f t="shared" si="55"/>
        <v>2023</v>
      </c>
      <c r="T758" t="str">
        <f t="shared" si="56"/>
        <v>Jan</v>
      </c>
      <c r="U758">
        <f t="shared" si="57"/>
        <v>3</v>
      </c>
      <c r="V758">
        <f t="shared" si="58"/>
        <v>5</v>
      </c>
      <c r="W758" s="9">
        <f t="shared" si="59"/>
        <v>-1.7151645816454043E-2</v>
      </c>
    </row>
    <row r="759" spans="1:23">
      <c r="A759">
        <v>10758</v>
      </c>
      <c r="B759" s="5">
        <v>44954</v>
      </c>
      <c r="C759" s="5">
        <v>44961</v>
      </c>
      <c r="D759" s="5">
        <v>44963</v>
      </c>
      <c r="E759" t="s">
        <v>20</v>
      </c>
      <c r="F759" t="s">
        <v>22</v>
      </c>
      <c r="G759" t="s">
        <v>25</v>
      </c>
      <c r="H759" t="s">
        <v>32</v>
      </c>
      <c r="I759" t="s">
        <v>34</v>
      </c>
      <c r="J759" t="s">
        <v>40</v>
      </c>
      <c r="K759" t="s">
        <v>50</v>
      </c>
      <c r="L759" t="s">
        <v>53</v>
      </c>
      <c r="M759" s="7">
        <v>11306</v>
      </c>
      <c r="N759">
        <v>0.3</v>
      </c>
      <c r="O759" s="7">
        <v>19895</v>
      </c>
      <c r="P759">
        <v>17</v>
      </c>
      <c r="Q759" t="s">
        <v>57</v>
      </c>
      <c r="R759" t="s">
        <v>59</v>
      </c>
      <c r="S759">
        <f t="shared" si="55"/>
        <v>2023</v>
      </c>
      <c r="T759" t="str">
        <f t="shared" si="56"/>
        <v>Jan</v>
      </c>
      <c r="U759">
        <f t="shared" si="57"/>
        <v>7</v>
      </c>
      <c r="V759">
        <f t="shared" si="58"/>
        <v>9</v>
      </c>
      <c r="W759" s="9">
        <f t="shared" si="59"/>
        <v>1.7596851229435697</v>
      </c>
    </row>
    <row r="760" spans="1:23">
      <c r="A760">
        <v>10759</v>
      </c>
      <c r="B760" s="5">
        <v>44955</v>
      </c>
      <c r="C760" s="5">
        <v>44957</v>
      </c>
      <c r="D760" s="5">
        <v>44958</v>
      </c>
      <c r="E760" t="s">
        <v>18</v>
      </c>
      <c r="F760" t="s">
        <v>22</v>
      </c>
      <c r="G760" t="s">
        <v>23</v>
      </c>
      <c r="H760" t="s">
        <v>31</v>
      </c>
      <c r="I760" t="s">
        <v>36</v>
      </c>
      <c r="J760" t="s">
        <v>42</v>
      </c>
      <c r="K760" t="s">
        <v>45</v>
      </c>
      <c r="L760" t="s">
        <v>52</v>
      </c>
      <c r="M760" s="7">
        <v>9548</v>
      </c>
      <c r="N760">
        <v>0.15</v>
      </c>
      <c r="O760" s="7">
        <v>17274</v>
      </c>
      <c r="P760">
        <v>10</v>
      </c>
      <c r="Q760" t="s">
        <v>57</v>
      </c>
      <c r="R760" t="s">
        <v>61</v>
      </c>
      <c r="S760">
        <f t="shared" si="55"/>
        <v>2023</v>
      </c>
      <c r="T760" t="str">
        <f t="shared" si="56"/>
        <v>Jan</v>
      </c>
      <c r="U760">
        <f t="shared" si="57"/>
        <v>2</v>
      </c>
      <c r="V760">
        <f t="shared" si="58"/>
        <v>3</v>
      </c>
      <c r="W760" s="9">
        <f t="shared" si="59"/>
        <v>1.8091746962714705</v>
      </c>
    </row>
    <row r="761" spans="1:23">
      <c r="A761">
        <v>10760</v>
      </c>
      <c r="B761" s="5">
        <v>44956</v>
      </c>
      <c r="C761" s="5">
        <v>44962</v>
      </c>
      <c r="D761" s="5">
        <v>44964</v>
      </c>
      <c r="E761" t="s">
        <v>20</v>
      </c>
      <c r="F761" t="s">
        <v>22</v>
      </c>
      <c r="G761" t="s">
        <v>28</v>
      </c>
      <c r="H761" t="s">
        <v>25</v>
      </c>
      <c r="I761" t="s">
        <v>35</v>
      </c>
      <c r="J761" t="s">
        <v>41</v>
      </c>
      <c r="K761" t="s">
        <v>47</v>
      </c>
      <c r="L761" t="s">
        <v>52</v>
      </c>
      <c r="M761" s="7">
        <v>20347</v>
      </c>
      <c r="N761">
        <v>0.25</v>
      </c>
      <c r="O761" s="7">
        <v>5735</v>
      </c>
      <c r="P761">
        <v>8</v>
      </c>
      <c r="Q761" t="s">
        <v>54</v>
      </c>
      <c r="R761" t="s">
        <v>61</v>
      </c>
      <c r="S761">
        <f t="shared" si="55"/>
        <v>2023</v>
      </c>
      <c r="T761" t="str">
        <f t="shared" si="56"/>
        <v>Jan</v>
      </c>
      <c r="U761">
        <f t="shared" si="57"/>
        <v>6</v>
      </c>
      <c r="V761">
        <f t="shared" si="58"/>
        <v>8</v>
      </c>
      <c r="W761" s="9">
        <f t="shared" si="59"/>
        <v>0.28185973362166411</v>
      </c>
    </row>
    <row r="762" spans="1:23">
      <c r="A762">
        <v>10761</v>
      </c>
      <c r="B762" s="5">
        <v>44957</v>
      </c>
      <c r="C762" s="5">
        <v>44962</v>
      </c>
      <c r="D762" s="5">
        <v>44966</v>
      </c>
      <c r="E762" t="s">
        <v>21</v>
      </c>
      <c r="F762" t="s">
        <v>22</v>
      </c>
      <c r="G762" t="s">
        <v>28</v>
      </c>
      <c r="H762" t="s">
        <v>25</v>
      </c>
      <c r="I762" t="s">
        <v>36</v>
      </c>
      <c r="J762" t="s">
        <v>39</v>
      </c>
      <c r="K762" t="s">
        <v>46</v>
      </c>
      <c r="L762" t="s">
        <v>53</v>
      </c>
      <c r="M762" s="7">
        <v>61085</v>
      </c>
      <c r="N762">
        <v>0.19</v>
      </c>
      <c r="O762" s="7">
        <v>6366</v>
      </c>
      <c r="P762">
        <v>13</v>
      </c>
      <c r="Q762" t="s">
        <v>58</v>
      </c>
      <c r="R762" t="s">
        <v>62</v>
      </c>
      <c r="S762">
        <f t="shared" si="55"/>
        <v>2023</v>
      </c>
      <c r="T762" t="str">
        <f t="shared" si="56"/>
        <v>Jan</v>
      </c>
      <c r="U762">
        <f t="shared" si="57"/>
        <v>5</v>
      </c>
      <c r="V762">
        <f t="shared" si="58"/>
        <v>9</v>
      </c>
      <c r="W762" s="9">
        <f t="shared" si="59"/>
        <v>0.10421543750511582</v>
      </c>
    </row>
    <row r="763" spans="1:23">
      <c r="A763">
        <v>10762</v>
      </c>
      <c r="B763" s="5">
        <v>44958</v>
      </c>
      <c r="C763" s="5">
        <v>44965</v>
      </c>
      <c r="D763" s="5">
        <v>44969</v>
      </c>
      <c r="E763" t="s">
        <v>21</v>
      </c>
      <c r="F763" t="s">
        <v>22</v>
      </c>
      <c r="G763" t="s">
        <v>28</v>
      </c>
      <c r="H763" t="s">
        <v>33</v>
      </c>
      <c r="I763" t="s">
        <v>34</v>
      </c>
      <c r="J763" t="s">
        <v>43</v>
      </c>
      <c r="K763" t="s">
        <v>45</v>
      </c>
      <c r="L763" t="s">
        <v>52</v>
      </c>
      <c r="M763" s="7">
        <v>49437</v>
      </c>
      <c r="N763">
        <v>0</v>
      </c>
      <c r="O763" s="7">
        <v>14940</v>
      </c>
      <c r="P763">
        <v>8</v>
      </c>
      <c r="Q763" t="s">
        <v>56</v>
      </c>
      <c r="R763" t="s">
        <v>59</v>
      </c>
      <c r="S763">
        <f t="shared" si="55"/>
        <v>2023</v>
      </c>
      <c r="T763" t="str">
        <f t="shared" si="56"/>
        <v>Feb</v>
      </c>
      <c r="U763">
        <f t="shared" si="57"/>
        <v>7</v>
      </c>
      <c r="V763">
        <f t="shared" si="58"/>
        <v>11</v>
      </c>
      <c r="W763" s="9">
        <f t="shared" si="59"/>
        <v>0.30220280356817769</v>
      </c>
    </row>
    <row r="764" spans="1:23">
      <c r="A764">
        <v>10763</v>
      </c>
      <c r="B764" s="5">
        <v>44959</v>
      </c>
      <c r="C764" s="5">
        <v>44963</v>
      </c>
      <c r="D764" s="5">
        <v>44965</v>
      </c>
      <c r="E764" t="s">
        <v>21</v>
      </c>
      <c r="F764" t="s">
        <v>22</v>
      </c>
      <c r="G764" t="s">
        <v>24</v>
      </c>
      <c r="H764" t="s">
        <v>33</v>
      </c>
      <c r="I764" t="s">
        <v>34</v>
      </c>
      <c r="J764" t="s">
        <v>39</v>
      </c>
      <c r="K764" t="s">
        <v>50</v>
      </c>
      <c r="L764" t="s">
        <v>51</v>
      </c>
      <c r="M764" s="7">
        <v>30127</v>
      </c>
      <c r="N764">
        <v>0.35</v>
      </c>
      <c r="O764" s="7">
        <v>18960</v>
      </c>
      <c r="P764">
        <v>23</v>
      </c>
      <c r="Q764" t="s">
        <v>56</v>
      </c>
      <c r="R764" t="s">
        <v>62</v>
      </c>
      <c r="S764">
        <f t="shared" si="55"/>
        <v>2023</v>
      </c>
      <c r="T764" t="str">
        <f t="shared" si="56"/>
        <v>Feb</v>
      </c>
      <c r="U764">
        <f t="shared" si="57"/>
        <v>4</v>
      </c>
      <c r="V764">
        <f t="shared" si="58"/>
        <v>6</v>
      </c>
      <c r="W764" s="9">
        <f t="shared" si="59"/>
        <v>0.62933581173034159</v>
      </c>
    </row>
    <row r="765" spans="1:23">
      <c r="A765">
        <v>10764</v>
      </c>
      <c r="B765" s="5">
        <v>44960</v>
      </c>
      <c r="C765" s="5">
        <v>44965</v>
      </c>
      <c r="D765" s="5">
        <v>44969</v>
      </c>
      <c r="E765" t="s">
        <v>19</v>
      </c>
      <c r="F765" t="s">
        <v>22</v>
      </c>
      <c r="G765" t="s">
        <v>27</v>
      </c>
      <c r="H765" t="s">
        <v>33</v>
      </c>
      <c r="I765" t="s">
        <v>36</v>
      </c>
      <c r="J765" t="s">
        <v>37</v>
      </c>
      <c r="K765" t="s">
        <v>49</v>
      </c>
      <c r="L765" t="s">
        <v>51</v>
      </c>
      <c r="M765" s="7">
        <v>13711</v>
      </c>
      <c r="N765">
        <v>0.23</v>
      </c>
      <c r="O765" s="7">
        <v>12045</v>
      </c>
      <c r="P765">
        <v>3</v>
      </c>
      <c r="Q765" t="s">
        <v>57</v>
      </c>
      <c r="R765" t="s">
        <v>61</v>
      </c>
      <c r="S765">
        <f t="shared" si="55"/>
        <v>2023</v>
      </c>
      <c r="T765" t="str">
        <f t="shared" si="56"/>
        <v>Feb</v>
      </c>
      <c r="U765">
        <f t="shared" si="57"/>
        <v>5</v>
      </c>
      <c r="V765">
        <f t="shared" si="58"/>
        <v>9</v>
      </c>
      <c r="W765" s="9">
        <f t="shared" si="59"/>
        <v>0.87849172197505654</v>
      </c>
    </row>
    <row r="766" spans="1:23">
      <c r="A766">
        <v>10765</v>
      </c>
      <c r="B766" s="5">
        <v>44961</v>
      </c>
      <c r="C766" s="5">
        <v>44965</v>
      </c>
      <c r="D766" s="5">
        <v>44966</v>
      </c>
      <c r="E766" t="s">
        <v>20</v>
      </c>
      <c r="F766" t="s">
        <v>22</v>
      </c>
      <c r="G766" t="s">
        <v>28</v>
      </c>
      <c r="H766" t="s">
        <v>32</v>
      </c>
      <c r="I766" t="s">
        <v>34</v>
      </c>
      <c r="J766" t="s">
        <v>39</v>
      </c>
      <c r="K766" t="s">
        <v>47</v>
      </c>
      <c r="L766" t="s">
        <v>52</v>
      </c>
      <c r="M766" s="7">
        <v>32458</v>
      </c>
      <c r="N766">
        <v>0.17</v>
      </c>
      <c r="O766" s="7">
        <v>14807</v>
      </c>
      <c r="P766">
        <v>24</v>
      </c>
      <c r="Q766" t="s">
        <v>57</v>
      </c>
      <c r="R766" t="s">
        <v>61</v>
      </c>
      <c r="S766">
        <f t="shared" si="55"/>
        <v>2023</v>
      </c>
      <c r="T766" t="str">
        <f t="shared" si="56"/>
        <v>Feb</v>
      </c>
      <c r="U766">
        <f t="shared" si="57"/>
        <v>4</v>
      </c>
      <c r="V766">
        <f t="shared" si="58"/>
        <v>5</v>
      </c>
      <c r="W766" s="9">
        <f t="shared" si="59"/>
        <v>0.45618953724813605</v>
      </c>
    </row>
    <row r="767" spans="1:23">
      <c r="A767">
        <v>10766</v>
      </c>
      <c r="B767" s="5">
        <v>44962</v>
      </c>
      <c r="C767" s="5">
        <v>44968</v>
      </c>
      <c r="D767" s="5">
        <v>44971</v>
      </c>
      <c r="E767" t="s">
        <v>21</v>
      </c>
      <c r="F767" t="s">
        <v>22</v>
      </c>
      <c r="G767" t="s">
        <v>23</v>
      </c>
      <c r="H767" t="s">
        <v>30</v>
      </c>
      <c r="I767" t="s">
        <v>36</v>
      </c>
      <c r="J767" t="s">
        <v>41</v>
      </c>
      <c r="K767" t="s">
        <v>46</v>
      </c>
      <c r="L767" t="s">
        <v>52</v>
      </c>
      <c r="M767" s="7">
        <v>50227</v>
      </c>
      <c r="N767">
        <v>0.18</v>
      </c>
      <c r="O767" s="7">
        <v>8372</v>
      </c>
      <c r="P767">
        <v>11</v>
      </c>
      <c r="Q767" t="s">
        <v>54</v>
      </c>
      <c r="R767" t="s">
        <v>62</v>
      </c>
      <c r="S767">
        <f t="shared" si="55"/>
        <v>2023</v>
      </c>
      <c r="T767" t="str">
        <f t="shared" si="56"/>
        <v>Feb</v>
      </c>
      <c r="U767">
        <f t="shared" si="57"/>
        <v>6</v>
      </c>
      <c r="V767">
        <f t="shared" si="58"/>
        <v>9</v>
      </c>
      <c r="W767" s="9">
        <f t="shared" si="59"/>
        <v>0.16668325800864078</v>
      </c>
    </row>
    <row r="768" spans="1:23">
      <c r="A768">
        <v>10767</v>
      </c>
      <c r="B768" s="5">
        <v>44963</v>
      </c>
      <c r="C768" s="5">
        <v>44965</v>
      </c>
      <c r="D768" s="5">
        <v>44969</v>
      </c>
      <c r="E768" t="s">
        <v>20</v>
      </c>
      <c r="F768" t="s">
        <v>22</v>
      </c>
      <c r="G768" t="s">
        <v>23</v>
      </c>
      <c r="H768" t="s">
        <v>30</v>
      </c>
      <c r="I768" t="s">
        <v>34</v>
      </c>
      <c r="J768" t="s">
        <v>39</v>
      </c>
      <c r="K768" t="s">
        <v>48</v>
      </c>
      <c r="L768" t="s">
        <v>52</v>
      </c>
      <c r="M768" s="7">
        <v>4208</v>
      </c>
      <c r="N768">
        <v>0.18</v>
      </c>
      <c r="O768" s="7">
        <v>17654</v>
      </c>
      <c r="P768">
        <v>21</v>
      </c>
      <c r="Q768" t="s">
        <v>58</v>
      </c>
      <c r="R768" t="s">
        <v>62</v>
      </c>
      <c r="S768">
        <f t="shared" si="55"/>
        <v>2023</v>
      </c>
      <c r="T768" t="str">
        <f t="shared" si="56"/>
        <v>Feb</v>
      </c>
      <c r="U768">
        <f t="shared" si="57"/>
        <v>2</v>
      </c>
      <c r="V768">
        <f t="shared" si="58"/>
        <v>6</v>
      </c>
      <c r="W768" s="9">
        <f t="shared" si="59"/>
        <v>4.1953422053231941</v>
      </c>
    </row>
    <row r="769" spans="1:23">
      <c r="A769">
        <v>10768</v>
      </c>
      <c r="B769" s="5">
        <v>44964</v>
      </c>
      <c r="C769" s="5">
        <v>44970</v>
      </c>
      <c r="D769" s="5">
        <v>44973</v>
      </c>
      <c r="E769" t="s">
        <v>18</v>
      </c>
      <c r="F769" t="s">
        <v>22</v>
      </c>
      <c r="G769" t="s">
        <v>25</v>
      </c>
      <c r="H769" t="s">
        <v>29</v>
      </c>
      <c r="I769" t="s">
        <v>35</v>
      </c>
      <c r="J769" t="s">
        <v>40</v>
      </c>
      <c r="K769" t="s">
        <v>48</v>
      </c>
      <c r="L769" t="s">
        <v>53</v>
      </c>
      <c r="M769" s="7">
        <v>52609</v>
      </c>
      <c r="N769">
        <v>0.22</v>
      </c>
      <c r="O769" s="7">
        <v>-1366</v>
      </c>
      <c r="P769">
        <v>24</v>
      </c>
      <c r="Q769" t="s">
        <v>58</v>
      </c>
      <c r="R769" t="s">
        <v>59</v>
      </c>
      <c r="S769">
        <f t="shared" si="55"/>
        <v>2023</v>
      </c>
      <c r="T769" t="str">
        <f t="shared" si="56"/>
        <v>Feb</v>
      </c>
      <c r="U769">
        <f t="shared" si="57"/>
        <v>6</v>
      </c>
      <c r="V769">
        <f t="shared" si="58"/>
        <v>9</v>
      </c>
      <c r="W769" s="9">
        <f t="shared" si="59"/>
        <v>-2.5965139044650153E-2</v>
      </c>
    </row>
    <row r="770" spans="1:23">
      <c r="A770">
        <v>10769</v>
      </c>
      <c r="B770" s="5">
        <v>44965</v>
      </c>
      <c r="C770" s="5">
        <v>44972</v>
      </c>
      <c r="D770" s="5">
        <v>44977</v>
      </c>
      <c r="E770" t="s">
        <v>21</v>
      </c>
      <c r="F770" t="s">
        <v>22</v>
      </c>
      <c r="G770" t="s">
        <v>27</v>
      </c>
      <c r="H770" t="s">
        <v>29</v>
      </c>
      <c r="I770" t="s">
        <v>34</v>
      </c>
      <c r="J770" t="s">
        <v>38</v>
      </c>
      <c r="K770" t="s">
        <v>46</v>
      </c>
      <c r="L770" t="s">
        <v>51</v>
      </c>
      <c r="M770" s="7">
        <v>30027</v>
      </c>
      <c r="N770">
        <v>0.1</v>
      </c>
      <c r="O770" s="7">
        <v>17302</v>
      </c>
      <c r="P770">
        <v>23</v>
      </c>
      <c r="Q770" t="s">
        <v>55</v>
      </c>
      <c r="R770" t="s">
        <v>62</v>
      </c>
      <c r="S770">
        <f t="shared" si="55"/>
        <v>2023</v>
      </c>
      <c r="T770" t="str">
        <f t="shared" si="56"/>
        <v>Feb</v>
      </c>
      <c r="U770">
        <f t="shared" si="57"/>
        <v>7</v>
      </c>
      <c r="V770">
        <f t="shared" si="58"/>
        <v>12</v>
      </c>
      <c r="W770" s="9">
        <f t="shared" si="59"/>
        <v>0.5762147400672728</v>
      </c>
    </row>
    <row r="771" spans="1:23">
      <c r="A771">
        <v>10770</v>
      </c>
      <c r="B771" s="5">
        <v>44966</v>
      </c>
      <c r="C771" s="5">
        <v>44970</v>
      </c>
      <c r="D771" s="5">
        <v>44972</v>
      </c>
      <c r="E771" t="s">
        <v>20</v>
      </c>
      <c r="F771" t="s">
        <v>22</v>
      </c>
      <c r="G771" t="s">
        <v>24</v>
      </c>
      <c r="H771" t="s">
        <v>31</v>
      </c>
      <c r="I771" t="s">
        <v>36</v>
      </c>
      <c r="J771" t="s">
        <v>38</v>
      </c>
      <c r="K771" t="s">
        <v>48</v>
      </c>
      <c r="L771" t="s">
        <v>53</v>
      </c>
      <c r="M771" s="7">
        <v>38937</v>
      </c>
      <c r="N771">
        <v>0.25</v>
      </c>
      <c r="O771" s="7">
        <v>7185</v>
      </c>
      <c r="P771">
        <v>5</v>
      </c>
      <c r="Q771" t="s">
        <v>57</v>
      </c>
      <c r="R771" t="s">
        <v>62</v>
      </c>
      <c r="S771">
        <f t="shared" ref="S771:S834" si="60">YEAR(B771)</f>
        <v>2023</v>
      </c>
      <c r="T771" t="str">
        <f t="shared" ref="T771:T834" si="61">TEXT(B771,"mmm")</f>
        <v>Feb</v>
      </c>
      <c r="U771">
        <f t="shared" ref="U771:U834" si="62">C771-B771</f>
        <v>4</v>
      </c>
      <c r="V771">
        <f t="shared" ref="V771:V834" si="63">D771-B771</f>
        <v>6</v>
      </c>
      <c r="W771" s="9">
        <f t="shared" ref="W771:W834" si="64">IFERROR(O771/M771,0)</f>
        <v>0.18452885430310501</v>
      </c>
    </row>
    <row r="772" spans="1:23">
      <c r="A772">
        <v>10771</v>
      </c>
      <c r="B772" s="5">
        <v>44967</v>
      </c>
      <c r="C772" s="5">
        <v>44970</v>
      </c>
      <c r="D772" s="5">
        <v>44974</v>
      </c>
      <c r="E772" t="s">
        <v>19</v>
      </c>
      <c r="F772" t="s">
        <v>22</v>
      </c>
      <c r="G772" t="s">
        <v>27</v>
      </c>
      <c r="H772" t="s">
        <v>31</v>
      </c>
      <c r="I772" t="s">
        <v>36</v>
      </c>
      <c r="J772" t="s">
        <v>40</v>
      </c>
      <c r="K772" t="s">
        <v>46</v>
      </c>
      <c r="L772" t="s">
        <v>53</v>
      </c>
      <c r="M772" s="7">
        <v>17447</v>
      </c>
      <c r="N772">
        <v>0.3</v>
      </c>
      <c r="O772" s="7">
        <v>-51</v>
      </c>
      <c r="P772">
        <v>24</v>
      </c>
      <c r="Q772" t="s">
        <v>55</v>
      </c>
      <c r="R772" t="s">
        <v>62</v>
      </c>
      <c r="S772">
        <f t="shared" si="60"/>
        <v>2023</v>
      </c>
      <c r="T772" t="str">
        <f t="shared" si="61"/>
        <v>Feb</v>
      </c>
      <c r="U772">
        <f t="shared" si="62"/>
        <v>3</v>
      </c>
      <c r="V772">
        <f t="shared" si="63"/>
        <v>7</v>
      </c>
      <c r="W772" s="9">
        <f t="shared" si="64"/>
        <v>-2.9231386484782486E-3</v>
      </c>
    </row>
    <row r="773" spans="1:23">
      <c r="A773">
        <v>10772</v>
      </c>
      <c r="B773" s="5">
        <v>44968</v>
      </c>
      <c r="C773" s="5">
        <v>44970</v>
      </c>
      <c r="D773" s="5">
        <v>44974</v>
      </c>
      <c r="E773" t="s">
        <v>18</v>
      </c>
      <c r="F773" t="s">
        <v>22</v>
      </c>
      <c r="G773" t="s">
        <v>26</v>
      </c>
      <c r="H773" t="s">
        <v>32</v>
      </c>
      <c r="I773" t="s">
        <v>36</v>
      </c>
      <c r="J773" t="s">
        <v>43</v>
      </c>
      <c r="K773" t="s">
        <v>49</v>
      </c>
      <c r="L773" t="s">
        <v>53</v>
      </c>
      <c r="M773" s="7">
        <v>71815</v>
      </c>
      <c r="N773">
        <v>0.13</v>
      </c>
      <c r="O773" s="7">
        <v>91</v>
      </c>
      <c r="P773">
        <v>18</v>
      </c>
      <c r="Q773" t="s">
        <v>58</v>
      </c>
      <c r="R773" t="s">
        <v>59</v>
      </c>
      <c r="S773">
        <f t="shared" si="60"/>
        <v>2023</v>
      </c>
      <c r="T773" t="str">
        <f t="shared" si="61"/>
        <v>Feb</v>
      </c>
      <c r="U773">
        <f t="shared" si="62"/>
        <v>2</v>
      </c>
      <c r="V773">
        <f t="shared" si="63"/>
        <v>6</v>
      </c>
      <c r="W773" s="9">
        <f t="shared" si="64"/>
        <v>1.2671447469191674E-3</v>
      </c>
    </row>
    <row r="774" spans="1:23">
      <c r="A774">
        <v>10773</v>
      </c>
      <c r="B774" s="5">
        <v>44969</v>
      </c>
      <c r="C774" s="5">
        <v>44972</v>
      </c>
      <c r="D774" s="5">
        <v>44976</v>
      </c>
      <c r="E774" t="s">
        <v>19</v>
      </c>
      <c r="F774" t="s">
        <v>22</v>
      </c>
      <c r="G774" t="s">
        <v>28</v>
      </c>
      <c r="H774" t="s">
        <v>30</v>
      </c>
      <c r="I774" t="s">
        <v>36</v>
      </c>
      <c r="J774" t="s">
        <v>39</v>
      </c>
      <c r="K774" t="s">
        <v>48</v>
      </c>
      <c r="L774" t="s">
        <v>52</v>
      </c>
      <c r="M774" s="7">
        <v>65421</v>
      </c>
      <c r="N774">
        <v>0.1</v>
      </c>
      <c r="O774" s="7">
        <v>19950</v>
      </c>
      <c r="P774">
        <v>15</v>
      </c>
      <c r="Q774" t="s">
        <v>57</v>
      </c>
      <c r="R774" t="s">
        <v>59</v>
      </c>
      <c r="S774">
        <f t="shared" si="60"/>
        <v>2023</v>
      </c>
      <c r="T774" t="str">
        <f t="shared" si="61"/>
        <v>Feb</v>
      </c>
      <c r="U774">
        <f t="shared" si="62"/>
        <v>3</v>
      </c>
      <c r="V774">
        <f t="shared" si="63"/>
        <v>7</v>
      </c>
      <c r="W774" s="9">
        <f t="shared" si="64"/>
        <v>0.30494795249231899</v>
      </c>
    </row>
    <row r="775" spans="1:23">
      <c r="A775">
        <v>10774</v>
      </c>
      <c r="B775" s="5">
        <v>44970</v>
      </c>
      <c r="C775" s="5">
        <v>44977</v>
      </c>
      <c r="D775" s="5">
        <v>44979</v>
      </c>
      <c r="E775" t="s">
        <v>21</v>
      </c>
      <c r="F775" t="s">
        <v>22</v>
      </c>
      <c r="G775" t="s">
        <v>26</v>
      </c>
      <c r="H775" t="s">
        <v>29</v>
      </c>
      <c r="I775" t="s">
        <v>35</v>
      </c>
      <c r="J775" t="s">
        <v>40</v>
      </c>
      <c r="K775" t="s">
        <v>49</v>
      </c>
      <c r="L775" t="s">
        <v>51</v>
      </c>
      <c r="M775" s="7">
        <v>21797</v>
      </c>
      <c r="N775">
        <v>0.24</v>
      </c>
      <c r="O775" s="7">
        <v>15034</v>
      </c>
      <c r="P775">
        <v>23</v>
      </c>
      <c r="Q775" t="s">
        <v>56</v>
      </c>
      <c r="R775" t="s">
        <v>60</v>
      </c>
      <c r="S775">
        <f t="shared" si="60"/>
        <v>2023</v>
      </c>
      <c r="T775" t="str">
        <f t="shared" si="61"/>
        <v>Feb</v>
      </c>
      <c r="U775">
        <f t="shared" si="62"/>
        <v>7</v>
      </c>
      <c r="V775">
        <f t="shared" si="63"/>
        <v>9</v>
      </c>
      <c r="W775" s="9">
        <f t="shared" si="64"/>
        <v>0.68972794421250627</v>
      </c>
    </row>
    <row r="776" spans="1:23">
      <c r="A776">
        <v>10775</v>
      </c>
      <c r="B776" s="5">
        <v>44971</v>
      </c>
      <c r="C776" s="5">
        <v>44977</v>
      </c>
      <c r="D776" s="5">
        <v>44980</v>
      </c>
      <c r="E776" t="s">
        <v>18</v>
      </c>
      <c r="F776" t="s">
        <v>22</v>
      </c>
      <c r="G776" t="s">
        <v>24</v>
      </c>
      <c r="H776" t="s">
        <v>31</v>
      </c>
      <c r="I776" t="s">
        <v>34</v>
      </c>
      <c r="J776" t="s">
        <v>41</v>
      </c>
      <c r="K776" t="s">
        <v>45</v>
      </c>
      <c r="L776" t="s">
        <v>53</v>
      </c>
      <c r="M776" s="7">
        <v>1681</v>
      </c>
      <c r="N776">
        <v>0.34</v>
      </c>
      <c r="O776" s="7">
        <v>-924</v>
      </c>
      <c r="P776">
        <v>18</v>
      </c>
      <c r="Q776" t="s">
        <v>55</v>
      </c>
      <c r="R776" t="s">
        <v>61</v>
      </c>
      <c r="S776">
        <f t="shared" si="60"/>
        <v>2023</v>
      </c>
      <c r="T776" t="str">
        <f t="shared" si="61"/>
        <v>Feb</v>
      </c>
      <c r="U776">
        <f t="shared" si="62"/>
        <v>6</v>
      </c>
      <c r="V776">
        <f t="shared" si="63"/>
        <v>9</v>
      </c>
      <c r="W776" s="9">
        <f t="shared" si="64"/>
        <v>-0.54967281380130872</v>
      </c>
    </row>
    <row r="777" spans="1:23">
      <c r="A777">
        <v>10776</v>
      </c>
      <c r="B777" s="5">
        <v>44972</v>
      </c>
      <c r="C777" s="5">
        <v>44975</v>
      </c>
      <c r="D777" s="5">
        <v>44977</v>
      </c>
      <c r="E777" t="s">
        <v>21</v>
      </c>
      <c r="F777" t="s">
        <v>22</v>
      </c>
      <c r="G777" t="s">
        <v>27</v>
      </c>
      <c r="H777" t="s">
        <v>33</v>
      </c>
      <c r="I777" t="s">
        <v>34</v>
      </c>
      <c r="J777" t="s">
        <v>40</v>
      </c>
      <c r="K777" t="s">
        <v>49</v>
      </c>
      <c r="L777" t="s">
        <v>52</v>
      </c>
      <c r="M777" s="7">
        <v>72391</v>
      </c>
      <c r="N777">
        <v>0.14000000000000001</v>
      </c>
      <c r="O777" s="7">
        <v>2601</v>
      </c>
      <c r="P777">
        <v>20</v>
      </c>
      <c r="Q777" t="s">
        <v>55</v>
      </c>
      <c r="R777" t="s">
        <v>62</v>
      </c>
      <c r="S777">
        <f t="shared" si="60"/>
        <v>2023</v>
      </c>
      <c r="T777" t="str">
        <f t="shared" si="61"/>
        <v>Feb</v>
      </c>
      <c r="U777">
        <f t="shared" si="62"/>
        <v>3</v>
      </c>
      <c r="V777">
        <f t="shared" si="63"/>
        <v>5</v>
      </c>
      <c r="W777" s="9">
        <f t="shared" si="64"/>
        <v>3.592988078628559E-2</v>
      </c>
    </row>
    <row r="778" spans="1:23">
      <c r="A778">
        <v>10777</v>
      </c>
      <c r="B778" s="5">
        <v>44973</v>
      </c>
      <c r="C778" s="5">
        <v>44980</v>
      </c>
      <c r="D778" s="5">
        <v>44985</v>
      </c>
      <c r="E778" t="s">
        <v>21</v>
      </c>
      <c r="F778" t="s">
        <v>22</v>
      </c>
      <c r="G778" t="s">
        <v>23</v>
      </c>
      <c r="H778" t="s">
        <v>31</v>
      </c>
      <c r="I778" t="s">
        <v>36</v>
      </c>
      <c r="J778" t="s">
        <v>38</v>
      </c>
      <c r="K778" t="s">
        <v>49</v>
      </c>
      <c r="L778" t="s">
        <v>51</v>
      </c>
      <c r="M778" s="7">
        <v>60101</v>
      </c>
      <c r="N778">
        <v>0.39</v>
      </c>
      <c r="O778" s="7">
        <v>7245</v>
      </c>
      <c r="P778">
        <v>7</v>
      </c>
      <c r="Q778" t="s">
        <v>58</v>
      </c>
      <c r="R778" t="s">
        <v>61</v>
      </c>
      <c r="S778">
        <f t="shared" si="60"/>
        <v>2023</v>
      </c>
      <c r="T778" t="str">
        <f t="shared" si="61"/>
        <v>Feb</v>
      </c>
      <c r="U778">
        <f t="shared" si="62"/>
        <v>7</v>
      </c>
      <c r="V778">
        <f t="shared" si="63"/>
        <v>12</v>
      </c>
      <c r="W778" s="9">
        <f t="shared" si="64"/>
        <v>0.1205470790835427</v>
      </c>
    </row>
    <row r="779" spans="1:23">
      <c r="A779">
        <v>10778</v>
      </c>
      <c r="B779" s="5">
        <v>44974</v>
      </c>
      <c r="C779" s="5">
        <v>44978</v>
      </c>
      <c r="D779" s="5">
        <v>44981</v>
      </c>
      <c r="E779" t="s">
        <v>21</v>
      </c>
      <c r="F779" t="s">
        <v>22</v>
      </c>
      <c r="G779" t="s">
        <v>23</v>
      </c>
      <c r="H779" t="s">
        <v>32</v>
      </c>
      <c r="I779" t="s">
        <v>35</v>
      </c>
      <c r="J779" t="s">
        <v>40</v>
      </c>
      <c r="K779" t="s">
        <v>46</v>
      </c>
      <c r="L779" t="s">
        <v>51</v>
      </c>
      <c r="M779" s="7">
        <v>14641</v>
      </c>
      <c r="N779">
        <v>0.23</v>
      </c>
      <c r="O779" s="7">
        <v>14555</v>
      </c>
      <c r="P779">
        <v>21</v>
      </c>
      <c r="Q779" t="s">
        <v>57</v>
      </c>
      <c r="R779" t="s">
        <v>61</v>
      </c>
      <c r="S779">
        <f t="shared" si="60"/>
        <v>2023</v>
      </c>
      <c r="T779" t="str">
        <f t="shared" si="61"/>
        <v>Feb</v>
      </c>
      <c r="U779">
        <f t="shared" si="62"/>
        <v>4</v>
      </c>
      <c r="V779">
        <f t="shared" si="63"/>
        <v>7</v>
      </c>
      <c r="W779" s="9">
        <f t="shared" si="64"/>
        <v>0.9941260842838604</v>
      </c>
    </row>
    <row r="780" spans="1:23">
      <c r="A780">
        <v>10779</v>
      </c>
      <c r="B780" s="5">
        <v>44975</v>
      </c>
      <c r="C780" s="5">
        <v>44982</v>
      </c>
      <c r="D780" s="5">
        <v>44985</v>
      </c>
      <c r="E780" t="s">
        <v>18</v>
      </c>
      <c r="F780" t="s">
        <v>22</v>
      </c>
      <c r="G780" t="s">
        <v>25</v>
      </c>
      <c r="H780" t="s">
        <v>25</v>
      </c>
      <c r="I780" t="s">
        <v>36</v>
      </c>
      <c r="J780" t="s">
        <v>37</v>
      </c>
      <c r="K780" t="s">
        <v>50</v>
      </c>
      <c r="L780" t="s">
        <v>53</v>
      </c>
      <c r="M780" s="7">
        <v>51361</v>
      </c>
      <c r="N780">
        <v>0.11</v>
      </c>
      <c r="O780" s="7">
        <v>18498</v>
      </c>
      <c r="P780">
        <v>4</v>
      </c>
      <c r="Q780" t="s">
        <v>56</v>
      </c>
      <c r="R780" t="s">
        <v>62</v>
      </c>
      <c r="S780">
        <f t="shared" si="60"/>
        <v>2023</v>
      </c>
      <c r="T780" t="str">
        <f t="shared" si="61"/>
        <v>Feb</v>
      </c>
      <c r="U780">
        <f t="shared" si="62"/>
        <v>7</v>
      </c>
      <c r="V780">
        <f t="shared" si="63"/>
        <v>10</v>
      </c>
      <c r="W780" s="9">
        <f t="shared" si="64"/>
        <v>0.36015653900819689</v>
      </c>
    </row>
    <row r="781" spans="1:23">
      <c r="A781">
        <v>10780</v>
      </c>
      <c r="B781" s="5">
        <v>44976</v>
      </c>
      <c r="C781" s="5">
        <v>44978</v>
      </c>
      <c r="D781" s="5">
        <v>44981</v>
      </c>
      <c r="E781" t="s">
        <v>20</v>
      </c>
      <c r="F781" t="s">
        <v>22</v>
      </c>
      <c r="G781" t="s">
        <v>27</v>
      </c>
      <c r="H781" t="s">
        <v>30</v>
      </c>
      <c r="I781" t="s">
        <v>36</v>
      </c>
      <c r="J781" t="s">
        <v>43</v>
      </c>
      <c r="K781" t="s">
        <v>45</v>
      </c>
      <c r="L781" t="s">
        <v>53</v>
      </c>
      <c r="M781" s="7">
        <v>61944</v>
      </c>
      <c r="N781">
        <v>0.13</v>
      </c>
      <c r="O781" s="7">
        <v>13538</v>
      </c>
      <c r="P781">
        <v>24</v>
      </c>
      <c r="Q781" t="s">
        <v>54</v>
      </c>
      <c r="R781" t="s">
        <v>59</v>
      </c>
      <c r="S781">
        <f t="shared" si="60"/>
        <v>2023</v>
      </c>
      <c r="T781" t="str">
        <f t="shared" si="61"/>
        <v>Feb</v>
      </c>
      <c r="U781">
        <f t="shared" si="62"/>
        <v>2</v>
      </c>
      <c r="V781">
        <f t="shared" si="63"/>
        <v>5</v>
      </c>
      <c r="W781" s="9">
        <f t="shared" si="64"/>
        <v>0.2185522407335658</v>
      </c>
    </row>
    <row r="782" spans="1:23">
      <c r="A782">
        <v>10781</v>
      </c>
      <c r="B782" s="5">
        <v>44977</v>
      </c>
      <c r="C782" s="5">
        <v>44983</v>
      </c>
      <c r="D782" s="5">
        <v>44984</v>
      </c>
      <c r="E782" t="s">
        <v>20</v>
      </c>
      <c r="F782" t="s">
        <v>22</v>
      </c>
      <c r="G782" t="s">
        <v>23</v>
      </c>
      <c r="H782" t="s">
        <v>25</v>
      </c>
      <c r="I782" t="s">
        <v>36</v>
      </c>
      <c r="J782" t="s">
        <v>43</v>
      </c>
      <c r="K782" t="s">
        <v>45</v>
      </c>
      <c r="L782" t="s">
        <v>51</v>
      </c>
      <c r="M782" s="7">
        <v>69383</v>
      </c>
      <c r="N782">
        <v>0.2</v>
      </c>
      <c r="O782" s="7">
        <v>-344</v>
      </c>
      <c r="P782">
        <v>23</v>
      </c>
      <c r="Q782" t="s">
        <v>56</v>
      </c>
      <c r="R782" t="s">
        <v>60</v>
      </c>
      <c r="S782">
        <f t="shared" si="60"/>
        <v>2023</v>
      </c>
      <c r="T782" t="str">
        <f t="shared" si="61"/>
        <v>Feb</v>
      </c>
      <c r="U782">
        <f t="shared" si="62"/>
        <v>6</v>
      </c>
      <c r="V782">
        <f t="shared" si="63"/>
        <v>7</v>
      </c>
      <c r="W782" s="9">
        <f t="shared" si="64"/>
        <v>-4.9579868267443034E-3</v>
      </c>
    </row>
    <row r="783" spans="1:23">
      <c r="A783">
        <v>10782</v>
      </c>
      <c r="B783" s="5">
        <v>44978</v>
      </c>
      <c r="C783" s="5">
        <v>44980</v>
      </c>
      <c r="D783" s="5">
        <v>44984</v>
      </c>
      <c r="E783" t="s">
        <v>19</v>
      </c>
      <c r="F783" t="s">
        <v>22</v>
      </c>
      <c r="G783" t="s">
        <v>25</v>
      </c>
      <c r="H783" t="s">
        <v>31</v>
      </c>
      <c r="I783" t="s">
        <v>35</v>
      </c>
      <c r="J783" t="s">
        <v>40</v>
      </c>
      <c r="K783" t="s">
        <v>50</v>
      </c>
      <c r="L783" t="s">
        <v>53</v>
      </c>
      <c r="M783" s="7">
        <v>62948</v>
      </c>
      <c r="N783">
        <v>0.16</v>
      </c>
      <c r="O783" s="7">
        <v>8519</v>
      </c>
      <c r="P783">
        <v>5</v>
      </c>
      <c r="Q783" t="s">
        <v>58</v>
      </c>
      <c r="R783" t="s">
        <v>59</v>
      </c>
      <c r="S783">
        <f t="shared" si="60"/>
        <v>2023</v>
      </c>
      <c r="T783" t="str">
        <f t="shared" si="61"/>
        <v>Feb</v>
      </c>
      <c r="U783">
        <f t="shared" si="62"/>
        <v>2</v>
      </c>
      <c r="V783">
        <f t="shared" si="63"/>
        <v>6</v>
      </c>
      <c r="W783" s="9">
        <f t="shared" si="64"/>
        <v>0.13533392641545403</v>
      </c>
    </row>
    <row r="784" spans="1:23">
      <c r="A784">
        <v>10783</v>
      </c>
      <c r="B784" s="5">
        <v>44979</v>
      </c>
      <c r="C784" s="5">
        <v>44984</v>
      </c>
      <c r="D784" s="5">
        <v>44989</v>
      </c>
      <c r="E784" t="s">
        <v>20</v>
      </c>
      <c r="F784" t="s">
        <v>22</v>
      </c>
      <c r="G784" t="s">
        <v>28</v>
      </c>
      <c r="H784" t="s">
        <v>31</v>
      </c>
      <c r="I784" t="s">
        <v>35</v>
      </c>
      <c r="J784" t="s">
        <v>38</v>
      </c>
      <c r="K784" t="s">
        <v>49</v>
      </c>
      <c r="L784" t="s">
        <v>51</v>
      </c>
      <c r="M784" s="7">
        <v>15772</v>
      </c>
      <c r="N784">
        <v>0.22</v>
      </c>
      <c r="O784" s="7">
        <v>12860</v>
      </c>
      <c r="P784">
        <v>15</v>
      </c>
      <c r="Q784" t="s">
        <v>54</v>
      </c>
      <c r="R784" t="s">
        <v>61</v>
      </c>
      <c r="S784">
        <f t="shared" si="60"/>
        <v>2023</v>
      </c>
      <c r="T784" t="str">
        <f t="shared" si="61"/>
        <v>Feb</v>
      </c>
      <c r="U784">
        <f t="shared" si="62"/>
        <v>5</v>
      </c>
      <c r="V784">
        <f t="shared" si="63"/>
        <v>10</v>
      </c>
      <c r="W784" s="9">
        <f t="shared" si="64"/>
        <v>0.81536900836926196</v>
      </c>
    </row>
    <row r="785" spans="1:23">
      <c r="A785">
        <v>10784</v>
      </c>
      <c r="B785" s="5">
        <v>44980</v>
      </c>
      <c r="C785" s="5">
        <v>44986</v>
      </c>
      <c r="D785" s="5">
        <v>44987</v>
      </c>
      <c r="E785" t="s">
        <v>19</v>
      </c>
      <c r="F785" t="s">
        <v>22</v>
      </c>
      <c r="G785" t="s">
        <v>26</v>
      </c>
      <c r="H785" t="s">
        <v>25</v>
      </c>
      <c r="I785" t="s">
        <v>36</v>
      </c>
      <c r="J785" t="s">
        <v>43</v>
      </c>
      <c r="K785" t="s">
        <v>44</v>
      </c>
      <c r="L785" t="s">
        <v>53</v>
      </c>
      <c r="M785" s="7">
        <v>19637</v>
      </c>
      <c r="N785">
        <v>0.01</v>
      </c>
      <c r="O785" s="7">
        <v>269</v>
      </c>
      <c r="P785">
        <v>23</v>
      </c>
      <c r="Q785" t="s">
        <v>56</v>
      </c>
      <c r="R785" t="s">
        <v>60</v>
      </c>
      <c r="S785">
        <f t="shared" si="60"/>
        <v>2023</v>
      </c>
      <c r="T785" t="str">
        <f t="shared" si="61"/>
        <v>Feb</v>
      </c>
      <c r="U785">
        <f t="shared" si="62"/>
        <v>6</v>
      </c>
      <c r="V785">
        <f t="shared" si="63"/>
        <v>7</v>
      </c>
      <c r="W785" s="9">
        <f t="shared" si="64"/>
        <v>1.3698630136986301E-2</v>
      </c>
    </row>
    <row r="786" spans="1:23">
      <c r="A786">
        <v>10785</v>
      </c>
      <c r="B786" s="5">
        <v>44981</v>
      </c>
      <c r="C786" s="5">
        <v>44983</v>
      </c>
      <c r="D786" s="5">
        <v>44988</v>
      </c>
      <c r="E786" t="s">
        <v>20</v>
      </c>
      <c r="F786" t="s">
        <v>22</v>
      </c>
      <c r="G786" t="s">
        <v>28</v>
      </c>
      <c r="H786" t="s">
        <v>31</v>
      </c>
      <c r="I786" t="s">
        <v>36</v>
      </c>
      <c r="J786" t="s">
        <v>39</v>
      </c>
      <c r="K786" t="s">
        <v>49</v>
      </c>
      <c r="L786" t="s">
        <v>53</v>
      </c>
      <c r="M786" s="7">
        <v>9417</v>
      </c>
      <c r="N786">
        <v>0.35</v>
      </c>
      <c r="O786" s="7">
        <v>1612</v>
      </c>
      <c r="P786">
        <v>15</v>
      </c>
      <c r="Q786" t="s">
        <v>55</v>
      </c>
      <c r="R786" t="s">
        <v>60</v>
      </c>
      <c r="S786">
        <f t="shared" si="60"/>
        <v>2023</v>
      </c>
      <c r="T786" t="str">
        <f t="shared" si="61"/>
        <v>Feb</v>
      </c>
      <c r="U786">
        <f t="shared" si="62"/>
        <v>2</v>
      </c>
      <c r="V786">
        <f t="shared" si="63"/>
        <v>7</v>
      </c>
      <c r="W786" s="9">
        <f t="shared" si="64"/>
        <v>0.17117978124668154</v>
      </c>
    </row>
    <row r="787" spans="1:23">
      <c r="A787">
        <v>10786</v>
      </c>
      <c r="B787" s="5">
        <v>44982</v>
      </c>
      <c r="C787" s="5">
        <v>44989</v>
      </c>
      <c r="D787" s="5">
        <v>44992</v>
      </c>
      <c r="E787" t="s">
        <v>20</v>
      </c>
      <c r="F787" t="s">
        <v>22</v>
      </c>
      <c r="G787" t="s">
        <v>26</v>
      </c>
      <c r="H787" t="s">
        <v>29</v>
      </c>
      <c r="I787" t="s">
        <v>34</v>
      </c>
      <c r="J787" t="s">
        <v>38</v>
      </c>
      <c r="K787" t="s">
        <v>48</v>
      </c>
      <c r="L787" t="s">
        <v>51</v>
      </c>
      <c r="M787" s="7">
        <v>42377</v>
      </c>
      <c r="N787">
        <v>0.33</v>
      </c>
      <c r="O787" s="7">
        <v>1228</v>
      </c>
      <c r="P787">
        <v>14</v>
      </c>
      <c r="Q787" t="s">
        <v>58</v>
      </c>
      <c r="R787" t="s">
        <v>59</v>
      </c>
      <c r="S787">
        <f t="shared" si="60"/>
        <v>2023</v>
      </c>
      <c r="T787" t="str">
        <f t="shared" si="61"/>
        <v>Feb</v>
      </c>
      <c r="U787">
        <f t="shared" si="62"/>
        <v>7</v>
      </c>
      <c r="V787">
        <f t="shared" si="63"/>
        <v>10</v>
      </c>
      <c r="W787" s="9">
        <f t="shared" si="64"/>
        <v>2.8977983340019352E-2</v>
      </c>
    </row>
    <row r="788" spans="1:23">
      <c r="A788">
        <v>10787</v>
      </c>
      <c r="B788" s="5">
        <v>44983</v>
      </c>
      <c r="C788" s="5">
        <v>44989</v>
      </c>
      <c r="D788" s="5">
        <v>44993</v>
      </c>
      <c r="E788" t="s">
        <v>18</v>
      </c>
      <c r="F788" t="s">
        <v>22</v>
      </c>
      <c r="G788" t="s">
        <v>24</v>
      </c>
      <c r="H788" t="s">
        <v>32</v>
      </c>
      <c r="I788" t="s">
        <v>35</v>
      </c>
      <c r="J788" t="s">
        <v>42</v>
      </c>
      <c r="K788" t="s">
        <v>49</v>
      </c>
      <c r="L788" t="s">
        <v>52</v>
      </c>
      <c r="M788" s="7">
        <v>58700</v>
      </c>
      <c r="N788">
        <v>0.24</v>
      </c>
      <c r="O788" s="7">
        <v>10349</v>
      </c>
      <c r="P788">
        <v>17</v>
      </c>
      <c r="Q788" t="s">
        <v>57</v>
      </c>
      <c r="R788" t="s">
        <v>59</v>
      </c>
      <c r="S788">
        <f t="shared" si="60"/>
        <v>2023</v>
      </c>
      <c r="T788" t="str">
        <f t="shared" si="61"/>
        <v>Feb</v>
      </c>
      <c r="U788">
        <f t="shared" si="62"/>
        <v>6</v>
      </c>
      <c r="V788">
        <f t="shared" si="63"/>
        <v>10</v>
      </c>
      <c r="W788" s="9">
        <f t="shared" si="64"/>
        <v>0.17630323679727428</v>
      </c>
    </row>
    <row r="789" spans="1:23">
      <c r="A789">
        <v>10788</v>
      </c>
      <c r="B789" s="5">
        <v>44984</v>
      </c>
      <c r="C789" s="5">
        <v>44989</v>
      </c>
      <c r="D789" s="5">
        <v>44993</v>
      </c>
      <c r="E789" t="s">
        <v>20</v>
      </c>
      <c r="F789" t="s">
        <v>22</v>
      </c>
      <c r="G789" t="s">
        <v>24</v>
      </c>
      <c r="H789" t="s">
        <v>32</v>
      </c>
      <c r="I789" t="s">
        <v>34</v>
      </c>
      <c r="J789" t="s">
        <v>39</v>
      </c>
      <c r="K789" t="s">
        <v>49</v>
      </c>
      <c r="L789" t="s">
        <v>52</v>
      </c>
      <c r="M789" s="7">
        <v>45941</v>
      </c>
      <c r="N789">
        <v>0.14000000000000001</v>
      </c>
      <c r="O789" s="7">
        <v>18244</v>
      </c>
      <c r="P789">
        <v>12</v>
      </c>
      <c r="Q789" t="s">
        <v>57</v>
      </c>
      <c r="R789" t="s">
        <v>59</v>
      </c>
      <c r="S789">
        <f t="shared" si="60"/>
        <v>2023</v>
      </c>
      <c r="T789" t="str">
        <f t="shared" si="61"/>
        <v>Feb</v>
      </c>
      <c r="U789">
        <f t="shared" si="62"/>
        <v>5</v>
      </c>
      <c r="V789">
        <f t="shared" si="63"/>
        <v>9</v>
      </c>
      <c r="W789" s="9">
        <f t="shared" si="64"/>
        <v>0.39711804270695023</v>
      </c>
    </row>
    <row r="790" spans="1:23">
      <c r="A790">
        <v>10789</v>
      </c>
      <c r="B790" s="5">
        <v>44985</v>
      </c>
      <c r="C790" s="5">
        <v>44991</v>
      </c>
      <c r="D790" s="5">
        <v>44996</v>
      </c>
      <c r="E790" t="s">
        <v>21</v>
      </c>
      <c r="F790" t="s">
        <v>22</v>
      </c>
      <c r="G790" t="s">
        <v>23</v>
      </c>
      <c r="H790" t="s">
        <v>32</v>
      </c>
      <c r="I790" t="s">
        <v>36</v>
      </c>
      <c r="J790" t="s">
        <v>39</v>
      </c>
      <c r="K790" t="s">
        <v>50</v>
      </c>
      <c r="L790" t="s">
        <v>51</v>
      </c>
      <c r="M790" s="7">
        <v>7522</v>
      </c>
      <c r="N790">
        <v>0.39</v>
      </c>
      <c r="O790" s="7">
        <v>10701</v>
      </c>
      <c r="P790">
        <v>13</v>
      </c>
      <c r="Q790" t="s">
        <v>55</v>
      </c>
      <c r="R790" t="s">
        <v>60</v>
      </c>
      <c r="S790">
        <f t="shared" si="60"/>
        <v>2023</v>
      </c>
      <c r="T790" t="str">
        <f t="shared" si="61"/>
        <v>Feb</v>
      </c>
      <c r="U790">
        <f t="shared" si="62"/>
        <v>6</v>
      </c>
      <c r="V790">
        <f t="shared" si="63"/>
        <v>11</v>
      </c>
      <c r="W790" s="9">
        <f t="shared" si="64"/>
        <v>1.4226269609146505</v>
      </c>
    </row>
    <row r="791" spans="1:23">
      <c r="A791">
        <v>10790</v>
      </c>
      <c r="B791" s="5">
        <v>44986</v>
      </c>
      <c r="C791" s="5">
        <v>44992</v>
      </c>
      <c r="D791" s="5">
        <v>44993</v>
      </c>
      <c r="E791" t="s">
        <v>18</v>
      </c>
      <c r="F791" t="s">
        <v>22</v>
      </c>
      <c r="G791" t="s">
        <v>25</v>
      </c>
      <c r="H791" t="s">
        <v>31</v>
      </c>
      <c r="I791" t="s">
        <v>36</v>
      </c>
      <c r="J791" t="s">
        <v>42</v>
      </c>
      <c r="K791" t="s">
        <v>49</v>
      </c>
      <c r="L791" t="s">
        <v>52</v>
      </c>
      <c r="M791" s="7">
        <v>70896</v>
      </c>
      <c r="N791">
        <v>0.35</v>
      </c>
      <c r="O791" s="7">
        <v>13553</v>
      </c>
      <c r="P791">
        <v>14</v>
      </c>
      <c r="Q791" t="s">
        <v>54</v>
      </c>
      <c r="R791" t="s">
        <v>61</v>
      </c>
      <c r="S791">
        <f t="shared" si="60"/>
        <v>2023</v>
      </c>
      <c r="T791" t="str">
        <f t="shared" si="61"/>
        <v>Mar</v>
      </c>
      <c r="U791">
        <f t="shared" si="62"/>
        <v>6</v>
      </c>
      <c r="V791">
        <f t="shared" si="63"/>
        <v>7</v>
      </c>
      <c r="W791" s="9">
        <f t="shared" si="64"/>
        <v>0.19116734371473709</v>
      </c>
    </row>
    <row r="792" spans="1:23">
      <c r="A792">
        <v>10791</v>
      </c>
      <c r="B792" s="5">
        <v>44987</v>
      </c>
      <c r="C792" s="5">
        <v>44994</v>
      </c>
      <c r="D792" s="5">
        <v>44996</v>
      </c>
      <c r="E792" t="s">
        <v>21</v>
      </c>
      <c r="F792" t="s">
        <v>22</v>
      </c>
      <c r="G792" t="s">
        <v>28</v>
      </c>
      <c r="H792" t="s">
        <v>31</v>
      </c>
      <c r="I792" t="s">
        <v>34</v>
      </c>
      <c r="J792" t="s">
        <v>37</v>
      </c>
      <c r="K792" t="s">
        <v>50</v>
      </c>
      <c r="L792" t="s">
        <v>53</v>
      </c>
      <c r="M792" s="7">
        <v>10841</v>
      </c>
      <c r="N792">
        <v>0.26</v>
      </c>
      <c r="O792" s="7">
        <v>10757</v>
      </c>
      <c r="P792">
        <v>14</v>
      </c>
      <c r="Q792" t="s">
        <v>58</v>
      </c>
      <c r="R792" t="s">
        <v>61</v>
      </c>
      <c r="S792">
        <f t="shared" si="60"/>
        <v>2023</v>
      </c>
      <c r="T792" t="str">
        <f t="shared" si="61"/>
        <v>Mar</v>
      </c>
      <c r="U792">
        <f t="shared" si="62"/>
        <v>7</v>
      </c>
      <c r="V792">
        <f t="shared" si="63"/>
        <v>9</v>
      </c>
      <c r="W792" s="9">
        <f t="shared" si="64"/>
        <v>0.99225163730283183</v>
      </c>
    </row>
    <row r="793" spans="1:23">
      <c r="A793">
        <v>10792</v>
      </c>
      <c r="B793" s="5">
        <v>44988</v>
      </c>
      <c r="C793" s="5">
        <v>44992</v>
      </c>
      <c r="D793" s="5">
        <v>44994</v>
      </c>
      <c r="E793" t="s">
        <v>18</v>
      </c>
      <c r="F793" t="s">
        <v>22</v>
      </c>
      <c r="G793" t="s">
        <v>24</v>
      </c>
      <c r="H793" t="s">
        <v>29</v>
      </c>
      <c r="I793" t="s">
        <v>36</v>
      </c>
      <c r="J793" t="s">
        <v>39</v>
      </c>
      <c r="K793" t="s">
        <v>44</v>
      </c>
      <c r="L793" t="s">
        <v>53</v>
      </c>
      <c r="M793" s="7">
        <v>69928</v>
      </c>
      <c r="N793">
        <v>0.2</v>
      </c>
      <c r="O793" s="7">
        <v>3481</v>
      </c>
      <c r="P793">
        <v>2</v>
      </c>
      <c r="Q793" t="s">
        <v>57</v>
      </c>
      <c r="R793" t="s">
        <v>61</v>
      </c>
      <c r="S793">
        <f t="shared" si="60"/>
        <v>2023</v>
      </c>
      <c r="T793" t="str">
        <f t="shared" si="61"/>
        <v>Mar</v>
      </c>
      <c r="U793">
        <f t="shared" si="62"/>
        <v>4</v>
      </c>
      <c r="V793">
        <f t="shared" si="63"/>
        <v>6</v>
      </c>
      <c r="W793" s="9">
        <f t="shared" si="64"/>
        <v>4.9779773481295045E-2</v>
      </c>
    </row>
    <row r="794" spans="1:23">
      <c r="A794">
        <v>10793</v>
      </c>
      <c r="B794" s="5">
        <v>44989</v>
      </c>
      <c r="C794" s="5">
        <v>44991</v>
      </c>
      <c r="D794" s="5">
        <v>44994</v>
      </c>
      <c r="E794" t="s">
        <v>21</v>
      </c>
      <c r="F794" t="s">
        <v>22</v>
      </c>
      <c r="G794" t="s">
        <v>28</v>
      </c>
      <c r="H794" t="s">
        <v>32</v>
      </c>
      <c r="I794" t="s">
        <v>36</v>
      </c>
      <c r="J794" t="s">
        <v>37</v>
      </c>
      <c r="K794" t="s">
        <v>44</v>
      </c>
      <c r="L794" t="s">
        <v>51</v>
      </c>
      <c r="M794" s="7">
        <v>70702</v>
      </c>
      <c r="N794">
        <v>0.12</v>
      </c>
      <c r="O794" s="7">
        <v>-406</v>
      </c>
      <c r="P794">
        <v>9</v>
      </c>
      <c r="Q794" t="s">
        <v>54</v>
      </c>
      <c r="R794" t="s">
        <v>59</v>
      </c>
      <c r="S794">
        <f t="shared" si="60"/>
        <v>2023</v>
      </c>
      <c r="T794" t="str">
        <f t="shared" si="61"/>
        <v>Mar</v>
      </c>
      <c r="U794">
        <f t="shared" si="62"/>
        <v>2</v>
      </c>
      <c r="V794">
        <f t="shared" si="63"/>
        <v>5</v>
      </c>
      <c r="W794" s="9">
        <f t="shared" si="64"/>
        <v>-5.742411812961444E-3</v>
      </c>
    </row>
    <row r="795" spans="1:23">
      <c r="A795">
        <v>10794</v>
      </c>
      <c r="B795" s="5">
        <v>44990</v>
      </c>
      <c r="C795" s="5">
        <v>44992</v>
      </c>
      <c r="D795" s="5">
        <v>44997</v>
      </c>
      <c r="E795" t="s">
        <v>20</v>
      </c>
      <c r="F795" t="s">
        <v>22</v>
      </c>
      <c r="G795" t="s">
        <v>23</v>
      </c>
      <c r="H795" t="s">
        <v>30</v>
      </c>
      <c r="I795" t="s">
        <v>35</v>
      </c>
      <c r="J795" t="s">
        <v>38</v>
      </c>
      <c r="K795" t="s">
        <v>47</v>
      </c>
      <c r="L795" t="s">
        <v>52</v>
      </c>
      <c r="M795" s="7">
        <v>30981</v>
      </c>
      <c r="N795">
        <v>7.0000000000000007E-2</v>
      </c>
      <c r="O795" s="7">
        <v>16130</v>
      </c>
      <c r="P795">
        <v>18</v>
      </c>
      <c r="Q795" t="s">
        <v>56</v>
      </c>
      <c r="R795" t="s">
        <v>59</v>
      </c>
      <c r="S795">
        <f t="shared" si="60"/>
        <v>2023</v>
      </c>
      <c r="T795" t="str">
        <f t="shared" si="61"/>
        <v>Mar</v>
      </c>
      <c r="U795">
        <f t="shared" si="62"/>
        <v>2</v>
      </c>
      <c r="V795">
        <f t="shared" si="63"/>
        <v>7</v>
      </c>
      <c r="W795" s="9">
        <f t="shared" si="64"/>
        <v>0.52064168361253671</v>
      </c>
    </row>
    <row r="796" spans="1:23">
      <c r="A796">
        <v>10795</v>
      </c>
      <c r="B796" s="5">
        <v>44991</v>
      </c>
      <c r="C796" s="5">
        <v>44997</v>
      </c>
      <c r="D796" s="5">
        <v>45001</v>
      </c>
      <c r="E796" t="s">
        <v>20</v>
      </c>
      <c r="F796" t="s">
        <v>22</v>
      </c>
      <c r="G796" t="s">
        <v>25</v>
      </c>
      <c r="H796" t="s">
        <v>25</v>
      </c>
      <c r="I796" t="s">
        <v>36</v>
      </c>
      <c r="J796" t="s">
        <v>42</v>
      </c>
      <c r="K796" t="s">
        <v>44</v>
      </c>
      <c r="L796" t="s">
        <v>52</v>
      </c>
      <c r="M796" s="7">
        <v>26200</v>
      </c>
      <c r="N796">
        <v>0.11</v>
      </c>
      <c r="O796" s="7">
        <v>1952</v>
      </c>
      <c r="P796">
        <v>6</v>
      </c>
      <c r="Q796" t="s">
        <v>57</v>
      </c>
      <c r="R796" t="s">
        <v>62</v>
      </c>
      <c r="S796">
        <f t="shared" si="60"/>
        <v>2023</v>
      </c>
      <c r="T796" t="str">
        <f t="shared" si="61"/>
        <v>Mar</v>
      </c>
      <c r="U796">
        <f t="shared" si="62"/>
        <v>6</v>
      </c>
      <c r="V796">
        <f t="shared" si="63"/>
        <v>10</v>
      </c>
      <c r="W796" s="9">
        <f t="shared" si="64"/>
        <v>7.4503816793893132E-2</v>
      </c>
    </row>
    <row r="797" spans="1:23">
      <c r="A797">
        <v>10796</v>
      </c>
      <c r="B797" s="5">
        <v>44992</v>
      </c>
      <c r="C797" s="5">
        <v>44995</v>
      </c>
      <c r="D797" s="5">
        <v>44999</v>
      </c>
      <c r="E797" t="s">
        <v>19</v>
      </c>
      <c r="F797" t="s">
        <v>22</v>
      </c>
      <c r="G797" t="s">
        <v>26</v>
      </c>
      <c r="H797" t="s">
        <v>25</v>
      </c>
      <c r="I797" t="s">
        <v>35</v>
      </c>
      <c r="J797" t="s">
        <v>41</v>
      </c>
      <c r="K797" t="s">
        <v>44</v>
      </c>
      <c r="L797" t="s">
        <v>53</v>
      </c>
      <c r="M797" s="7">
        <v>19152</v>
      </c>
      <c r="N797">
        <v>0.01</v>
      </c>
      <c r="O797" s="7">
        <v>12472</v>
      </c>
      <c r="P797">
        <v>6</v>
      </c>
      <c r="Q797" t="s">
        <v>55</v>
      </c>
      <c r="R797" t="s">
        <v>62</v>
      </c>
      <c r="S797">
        <f t="shared" si="60"/>
        <v>2023</v>
      </c>
      <c r="T797" t="str">
        <f t="shared" si="61"/>
        <v>Mar</v>
      </c>
      <c r="U797">
        <f t="shared" si="62"/>
        <v>3</v>
      </c>
      <c r="V797">
        <f t="shared" si="63"/>
        <v>7</v>
      </c>
      <c r="W797" s="9">
        <f t="shared" si="64"/>
        <v>0.65121136173767757</v>
      </c>
    </row>
    <row r="798" spans="1:23">
      <c r="A798">
        <v>10797</v>
      </c>
      <c r="B798" s="5">
        <v>44993</v>
      </c>
      <c r="C798" s="5">
        <v>45000</v>
      </c>
      <c r="D798" s="5">
        <v>45003</v>
      </c>
      <c r="E798" t="s">
        <v>18</v>
      </c>
      <c r="F798" t="s">
        <v>22</v>
      </c>
      <c r="G798" t="s">
        <v>25</v>
      </c>
      <c r="H798" t="s">
        <v>32</v>
      </c>
      <c r="I798" t="s">
        <v>35</v>
      </c>
      <c r="J798" t="s">
        <v>43</v>
      </c>
      <c r="K798" t="s">
        <v>49</v>
      </c>
      <c r="L798" t="s">
        <v>53</v>
      </c>
      <c r="M798" s="7">
        <v>7604</v>
      </c>
      <c r="N798">
        <v>0.38</v>
      </c>
      <c r="O798" s="7">
        <v>222</v>
      </c>
      <c r="P798">
        <v>6</v>
      </c>
      <c r="Q798" t="s">
        <v>56</v>
      </c>
      <c r="R798" t="s">
        <v>60</v>
      </c>
      <c r="S798">
        <f t="shared" si="60"/>
        <v>2023</v>
      </c>
      <c r="T798" t="str">
        <f t="shared" si="61"/>
        <v>Mar</v>
      </c>
      <c r="U798">
        <f t="shared" si="62"/>
        <v>7</v>
      </c>
      <c r="V798">
        <f t="shared" si="63"/>
        <v>10</v>
      </c>
      <c r="W798" s="9">
        <f t="shared" si="64"/>
        <v>2.9195160441872699E-2</v>
      </c>
    </row>
    <row r="799" spans="1:23">
      <c r="A799">
        <v>10798</v>
      </c>
      <c r="B799" s="5">
        <v>44994</v>
      </c>
      <c r="C799" s="5">
        <v>44998</v>
      </c>
      <c r="D799" s="5">
        <v>45003</v>
      </c>
      <c r="E799" t="s">
        <v>21</v>
      </c>
      <c r="F799" t="s">
        <v>22</v>
      </c>
      <c r="G799" t="s">
        <v>27</v>
      </c>
      <c r="H799" t="s">
        <v>25</v>
      </c>
      <c r="I799" t="s">
        <v>36</v>
      </c>
      <c r="J799" t="s">
        <v>40</v>
      </c>
      <c r="K799" t="s">
        <v>47</v>
      </c>
      <c r="L799" t="s">
        <v>53</v>
      </c>
      <c r="M799" s="7">
        <v>70546</v>
      </c>
      <c r="N799">
        <v>0.3</v>
      </c>
      <c r="O799" s="7">
        <v>3256</v>
      </c>
      <c r="P799">
        <v>3</v>
      </c>
      <c r="Q799" t="s">
        <v>56</v>
      </c>
      <c r="R799" t="s">
        <v>61</v>
      </c>
      <c r="S799">
        <f t="shared" si="60"/>
        <v>2023</v>
      </c>
      <c r="T799" t="str">
        <f t="shared" si="61"/>
        <v>Mar</v>
      </c>
      <c r="U799">
        <f t="shared" si="62"/>
        <v>4</v>
      </c>
      <c r="V799">
        <f t="shared" si="63"/>
        <v>9</v>
      </c>
      <c r="W799" s="9">
        <f t="shared" si="64"/>
        <v>4.6154282312250161E-2</v>
      </c>
    </row>
    <row r="800" spans="1:23">
      <c r="A800">
        <v>10799</v>
      </c>
      <c r="B800" s="5">
        <v>44995</v>
      </c>
      <c r="C800" s="5">
        <v>45002</v>
      </c>
      <c r="D800" s="5">
        <v>45004</v>
      </c>
      <c r="E800" t="s">
        <v>19</v>
      </c>
      <c r="F800" t="s">
        <v>22</v>
      </c>
      <c r="G800" t="s">
        <v>24</v>
      </c>
      <c r="H800" t="s">
        <v>32</v>
      </c>
      <c r="I800" t="s">
        <v>34</v>
      </c>
      <c r="J800" t="s">
        <v>41</v>
      </c>
      <c r="K800" t="s">
        <v>44</v>
      </c>
      <c r="L800" t="s">
        <v>53</v>
      </c>
      <c r="M800" s="7">
        <v>51458</v>
      </c>
      <c r="N800">
        <v>0.14000000000000001</v>
      </c>
      <c r="O800" s="7">
        <v>11097</v>
      </c>
      <c r="P800">
        <v>7</v>
      </c>
      <c r="Q800" t="s">
        <v>54</v>
      </c>
      <c r="R800" t="s">
        <v>62</v>
      </c>
      <c r="S800">
        <f t="shared" si="60"/>
        <v>2023</v>
      </c>
      <c r="T800" t="str">
        <f t="shared" si="61"/>
        <v>Mar</v>
      </c>
      <c r="U800">
        <f t="shared" si="62"/>
        <v>7</v>
      </c>
      <c r="V800">
        <f t="shared" si="63"/>
        <v>9</v>
      </c>
      <c r="W800" s="9">
        <f t="shared" si="64"/>
        <v>0.21565159936258696</v>
      </c>
    </row>
    <row r="801" spans="1:23">
      <c r="A801">
        <v>10800</v>
      </c>
      <c r="B801" s="5">
        <v>44996</v>
      </c>
      <c r="C801" s="5">
        <v>44999</v>
      </c>
      <c r="D801" s="5">
        <v>45004</v>
      </c>
      <c r="E801" t="s">
        <v>21</v>
      </c>
      <c r="F801" t="s">
        <v>22</v>
      </c>
      <c r="G801" t="s">
        <v>24</v>
      </c>
      <c r="H801" t="s">
        <v>32</v>
      </c>
      <c r="I801" t="s">
        <v>34</v>
      </c>
      <c r="J801" t="s">
        <v>43</v>
      </c>
      <c r="K801" t="s">
        <v>48</v>
      </c>
      <c r="L801" t="s">
        <v>51</v>
      </c>
      <c r="M801" s="7">
        <v>12028</v>
      </c>
      <c r="N801">
        <v>0.17</v>
      </c>
      <c r="O801" s="7">
        <v>3798</v>
      </c>
      <c r="P801">
        <v>15</v>
      </c>
      <c r="Q801" t="s">
        <v>58</v>
      </c>
      <c r="R801" t="s">
        <v>62</v>
      </c>
      <c r="S801">
        <f t="shared" si="60"/>
        <v>2023</v>
      </c>
      <c r="T801" t="str">
        <f t="shared" si="61"/>
        <v>Mar</v>
      </c>
      <c r="U801">
        <f t="shared" si="62"/>
        <v>3</v>
      </c>
      <c r="V801">
        <f t="shared" si="63"/>
        <v>8</v>
      </c>
      <c r="W801" s="9">
        <f t="shared" si="64"/>
        <v>0.31576321915530431</v>
      </c>
    </row>
    <row r="802" spans="1:23">
      <c r="A802">
        <v>10801</v>
      </c>
      <c r="B802" s="5">
        <v>44997</v>
      </c>
      <c r="C802" s="5">
        <v>44999</v>
      </c>
      <c r="D802" s="5">
        <v>45002</v>
      </c>
      <c r="E802" t="s">
        <v>19</v>
      </c>
      <c r="F802" t="s">
        <v>22</v>
      </c>
      <c r="G802" t="s">
        <v>28</v>
      </c>
      <c r="H802" t="s">
        <v>33</v>
      </c>
      <c r="I802" t="s">
        <v>34</v>
      </c>
      <c r="J802" t="s">
        <v>41</v>
      </c>
      <c r="K802" t="s">
        <v>47</v>
      </c>
      <c r="L802" t="s">
        <v>53</v>
      </c>
      <c r="M802" s="7">
        <v>65227</v>
      </c>
      <c r="N802">
        <v>0.33</v>
      </c>
      <c r="O802" s="7">
        <v>4056</v>
      </c>
      <c r="P802">
        <v>19</v>
      </c>
      <c r="Q802" t="s">
        <v>56</v>
      </c>
      <c r="R802" t="s">
        <v>60</v>
      </c>
      <c r="S802">
        <f t="shared" si="60"/>
        <v>2023</v>
      </c>
      <c r="T802" t="str">
        <f t="shared" si="61"/>
        <v>Mar</v>
      </c>
      <c r="U802">
        <f t="shared" si="62"/>
        <v>2</v>
      </c>
      <c r="V802">
        <f t="shared" si="63"/>
        <v>5</v>
      </c>
      <c r="W802" s="9">
        <f t="shared" si="64"/>
        <v>6.2182838395143117E-2</v>
      </c>
    </row>
    <row r="803" spans="1:23">
      <c r="A803">
        <v>10802</v>
      </c>
      <c r="B803" s="5">
        <v>44998</v>
      </c>
      <c r="C803" s="5">
        <v>45001</v>
      </c>
      <c r="D803" s="5">
        <v>45003</v>
      </c>
      <c r="E803" t="s">
        <v>19</v>
      </c>
      <c r="F803" t="s">
        <v>22</v>
      </c>
      <c r="G803" t="s">
        <v>23</v>
      </c>
      <c r="H803" t="s">
        <v>30</v>
      </c>
      <c r="I803" t="s">
        <v>36</v>
      </c>
      <c r="J803" t="s">
        <v>42</v>
      </c>
      <c r="K803" t="s">
        <v>47</v>
      </c>
      <c r="L803" t="s">
        <v>52</v>
      </c>
      <c r="M803" s="7">
        <v>21710</v>
      </c>
      <c r="N803">
        <v>7.0000000000000007E-2</v>
      </c>
      <c r="O803" s="7">
        <v>1572</v>
      </c>
      <c r="P803">
        <v>11</v>
      </c>
      <c r="Q803" t="s">
        <v>58</v>
      </c>
      <c r="R803" t="s">
        <v>60</v>
      </c>
      <c r="S803">
        <f t="shared" si="60"/>
        <v>2023</v>
      </c>
      <c r="T803" t="str">
        <f t="shared" si="61"/>
        <v>Mar</v>
      </c>
      <c r="U803">
        <f t="shared" si="62"/>
        <v>3</v>
      </c>
      <c r="V803">
        <f t="shared" si="63"/>
        <v>5</v>
      </c>
      <c r="W803" s="9">
        <f t="shared" si="64"/>
        <v>7.2409028097650846E-2</v>
      </c>
    </row>
    <row r="804" spans="1:23">
      <c r="A804">
        <v>10803</v>
      </c>
      <c r="B804" s="5">
        <v>44999</v>
      </c>
      <c r="C804" s="5">
        <v>45002</v>
      </c>
      <c r="D804" s="5">
        <v>45005</v>
      </c>
      <c r="E804" t="s">
        <v>18</v>
      </c>
      <c r="F804" t="s">
        <v>22</v>
      </c>
      <c r="G804" t="s">
        <v>23</v>
      </c>
      <c r="H804" t="s">
        <v>32</v>
      </c>
      <c r="I804" t="s">
        <v>35</v>
      </c>
      <c r="J804" t="s">
        <v>41</v>
      </c>
      <c r="K804" t="s">
        <v>50</v>
      </c>
      <c r="L804" t="s">
        <v>51</v>
      </c>
      <c r="M804" s="7">
        <v>50993</v>
      </c>
      <c r="N804">
        <v>0.22</v>
      </c>
      <c r="O804" s="7">
        <v>17887</v>
      </c>
      <c r="P804">
        <v>18</v>
      </c>
      <c r="Q804" t="s">
        <v>56</v>
      </c>
      <c r="R804" t="s">
        <v>60</v>
      </c>
      <c r="S804">
        <f t="shared" si="60"/>
        <v>2023</v>
      </c>
      <c r="T804" t="str">
        <f t="shared" si="61"/>
        <v>Mar</v>
      </c>
      <c r="U804">
        <f t="shared" si="62"/>
        <v>3</v>
      </c>
      <c r="V804">
        <f t="shared" si="63"/>
        <v>6</v>
      </c>
      <c r="W804" s="9">
        <f t="shared" si="64"/>
        <v>0.35077363559704272</v>
      </c>
    </row>
    <row r="805" spans="1:23">
      <c r="A805">
        <v>10804</v>
      </c>
      <c r="B805" s="5">
        <v>45000</v>
      </c>
      <c r="C805" s="5">
        <v>45002</v>
      </c>
      <c r="D805" s="5">
        <v>45006</v>
      </c>
      <c r="E805" t="s">
        <v>19</v>
      </c>
      <c r="F805" t="s">
        <v>22</v>
      </c>
      <c r="G805" t="s">
        <v>23</v>
      </c>
      <c r="H805" t="s">
        <v>25</v>
      </c>
      <c r="I805" t="s">
        <v>35</v>
      </c>
      <c r="J805" t="s">
        <v>40</v>
      </c>
      <c r="K805" t="s">
        <v>47</v>
      </c>
      <c r="L805" t="s">
        <v>52</v>
      </c>
      <c r="M805" s="7">
        <v>43750</v>
      </c>
      <c r="N805">
        <v>0.05</v>
      </c>
      <c r="O805" s="7">
        <v>726</v>
      </c>
      <c r="P805">
        <v>1</v>
      </c>
      <c r="Q805" t="s">
        <v>57</v>
      </c>
      <c r="R805" t="s">
        <v>59</v>
      </c>
      <c r="S805">
        <f t="shared" si="60"/>
        <v>2023</v>
      </c>
      <c r="T805" t="str">
        <f t="shared" si="61"/>
        <v>Mar</v>
      </c>
      <c r="U805">
        <f t="shared" si="62"/>
        <v>2</v>
      </c>
      <c r="V805">
        <f t="shared" si="63"/>
        <v>6</v>
      </c>
      <c r="W805" s="9">
        <f t="shared" si="64"/>
        <v>1.6594285714285714E-2</v>
      </c>
    </row>
    <row r="806" spans="1:23">
      <c r="A806">
        <v>10805</v>
      </c>
      <c r="B806" s="5">
        <v>45001</v>
      </c>
      <c r="C806" s="5">
        <v>45008</v>
      </c>
      <c r="D806" s="5">
        <v>45012</v>
      </c>
      <c r="E806" t="s">
        <v>20</v>
      </c>
      <c r="F806" t="s">
        <v>22</v>
      </c>
      <c r="G806" t="s">
        <v>27</v>
      </c>
      <c r="H806" t="s">
        <v>25</v>
      </c>
      <c r="I806" t="s">
        <v>34</v>
      </c>
      <c r="J806" t="s">
        <v>43</v>
      </c>
      <c r="K806" t="s">
        <v>45</v>
      </c>
      <c r="L806" t="s">
        <v>53</v>
      </c>
      <c r="M806" s="7">
        <v>36014</v>
      </c>
      <c r="N806">
        <v>0.19</v>
      </c>
      <c r="O806" s="7">
        <v>7558</v>
      </c>
      <c r="P806">
        <v>6</v>
      </c>
      <c r="Q806" t="s">
        <v>54</v>
      </c>
      <c r="R806" t="s">
        <v>60</v>
      </c>
      <c r="S806">
        <f t="shared" si="60"/>
        <v>2023</v>
      </c>
      <c r="T806" t="str">
        <f t="shared" si="61"/>
        <v>Mar</v>
      </c>
      <c r="U806">
        <f t="shared" si="62"/>
        <v>7</v>
      </c>
      <c r="V806">
        <f t="shared" si="63"/>
        <v>11</v>
      </c>
      <c r="W806" s="9">
        <f t="shared" si="64"/>
        <v>0.20986283112123064</v>
      </c>
    </row>
    <row r="807" spans="1:23">
      <c r="A807">
        <v>10806</v>
      </c>
      <c r="B807" s="5">
        <v>45002</v>
      </c>
      <c r="C807" s="5">
        <v>45005</v>
      </c>
      <c r="D807" s="5">
        <v>45008</v>
      </c>
      <c r="E807" t="s">
        <v>19</v>
      </c>
      <c r="F807" t="s">
        <v>22</v>
      </c>
      <c r="G807" t="s">
        <v>25</v>
      </c>
      <c r="H807" t="s">
        <v>25</v>
      </c>
      <c r="I807" t="s">
        <v>36</v>
      </c>
      <c r="J807" t="s">
        <v>41</v>
      </c>
      <c r="K807" t="s">
        <v>50</v>
      </c>
      <c r="L807" t="s">
        <v>51</v>
      </c>
      <c r="M807" s="7">
        <v>74496</v>
      </c>
      <c r="N807">
        <v>0.13</v>
      </c>
      <c r="O807" s="7">
        <v>11703</v>
      </c>
      <c r="P807">
        <v>9</v>
      </c>
      <c r="Q807" t="s">
        <v>56</v>
      </c>
      <c r="R807" t="s">
        <v>60</v>
      </c>
      <c r="S807">
        <f t="shared" si="60"/>
        <v>2023</v>
      </c>
      <c r="T807" t="str">
        <f t="shared" si="61"/>
        <v>Mar</v>
      </c>
      <c r="U807">
        <f t="shared" si="62"/>
        <v>3</v>
      </c>
      <c r="V807">
        <f t="shared" si="63"/>
        <v>6</v>
      </c>
      <c r="W807" s="9">
        <f t="shared" si="64"/>
        <v>0.15709568298969073</v>
      </c>
    </row>
    <row r="808" spans="1:23">
      <c r="A808">
        <v>10807</v>
      </c>
      <c r="B808" s="5">
        <v>45003</v>
      </c>
      <c r="C808" s="5">
        <v>45005</v>
      </c>
      <c r="D808" s="5">
        <v>45008</v>
      </c>
      <c r="E808" t="s">
        <v>19</v>
      </c>
      <c r="F808" t="s">
        <v>22</v>
      </c>
      <c r="G808" t="s">
        <v>28</v>
      </c>
      <c r="H808" t="s">
        <v>31</v>
      </c>
      <c r="I808" t="s">
        <v>34</v>
      </c>
      <c r="J808" t="s">
        <v>42</v>
      </c>
      <c r="K808" t="s">
        <v>50</v>
      </c>
      <c r="L808" t="s">
        <v>53</v>
      </c>
      <c r="M808" s="7">
        <v>18524</v>
      </c>
      <c r="N808">
        <v>0.28000000000000003</v>
      </c>
      <c r="O808" s="7">
        <v>13040</v>
      </c>
      <c r="P808">
        <v>8</v>
      </c>
      <c r="Q808" t="s">
        <v>57</v>
      </c>
      <c r="R808" t="s">
        <v>60</v>
      </c>
      <c r="S808">
        <f t="shared" si="60"/>
        <v>2023</v>
      </c>
      <c r="T808" t="str">
        <f t="shared" si="61"/>
        <v>Mar</v>
      </c>
      <c r="U808">
        <f t="shared" si="62"/>
        <v>2</v>
      </c>
      <c r="V808">
        <f t="shared" si="63"/>
        <v>5</v>
      </c>
      <c r="W808" s="9">
        <f t="shared" si="64"/>
        <v>0.70395163031742602</v>
      </c>
    </row>
    <row r="809" spans="1:23">
      <c r="A809">
        <v>10808</v>
      </c>
      <c r="B809" s="5">
        <v>45004</v>
      </c>
      <c r="C809" s="5">
        <v>45010</v>
      </c>
      <c r="D809" s="5">
        <v>45014</v>
      </c>
      <c r="E809" t="s">
        <v>20</v>
      </c>
      <c r="F809" t="s">
        <v>22</v>
      </c>
      <c r="G809" t="s">
        <v>28</v>
      </c>
      <c r="H809" t="s">
        <v>30</v>
      </c>
      <c r="I809" t="s">
        <v>36</v>
      </c>
      <c r="J809" t="s">
        <v>38</v>
      </c>
      <c r="K809" t="s">
        <v>46</v>
      </c>
      <c r="L809" t="s">
        <v>51</v>
      </c>
      <c r="M809" s="7">
        <v>15041</v>
      </c>
      <c r="N809">
        <v>0.1</v>
      </c>
      <c r="O809" s="7">
        <v>16475</v>
      </c>
      <c r="P809">
        <v>16</v>
      </c>
      <c r="Q809" t="s">
        <v>55</v>
      </c>
      <c r="R809" t="s">
        <v>59</v>
      </c>
      <c r="S809">
        <f t="shared" si="60"/>
        <v>2023</v>
      </c>
      <c r="T809" t="str">
        <f t="shared" si="61"/>
        <v>Mar</v>
      </c>
      <c r="U809">
        <f t="shared" si="62"/>
        <v>6</v>
      </c>
      <c r="V809">
        <f t="shared" si="63"/>
        <v>10</v>
      </c>
      <c r="W809" s="9">
        <f t="shared" si="64"/>
        <v>1.095339405624626</v>
      </c>
    </row>
    <row r="810" spans="1:23">
      <c r="A810">
        <v>10809</v>
      </c>
      <c r="B810" s="5">
        <v>45005</v>
      </c>
      <c r="C810" s="5">
        <v>45008</v>
      </c>
      <c r="D810" s="5">
        <v>45009</v>
      </c>
      <c r="E810" t="s">
        <v>19</v>
      </c>
      <c r="F810" t="s">
        <v>22</v>
      </c>
      <c r="G810" t="s">
        <v>24</v>
      </c>
      <c r="H810" t="s">
        <v>32</v>
      </c>
      <c r="I810" t="s">
        <v>35</v>
      </c>
      <c r="J810" t="s">
        <v>43</v>
      </c>
      <c r="K810" t="s">
        <v>50</v>
      </c>
      <c r="L810" t="s">
        <v>52</v>
      </c>
      <c r="M810" s="7">
        <v>54826</v>
      </c>
      <c r="N810">
        <v>0.3</v>
      </c>
      <c r="O810" s="7">
        <v>12185</v>
      </c>
      <c r="P810">
        <v>11</v>
      </c>
      <c r="Q810" t="s">
        <v>58</v>
      </c>
      <c r="R810" t="s">
        <v>60</v>
      </c>
      <c r="S810">
        <f t="shared" si="60"/>
        <v>2023</v>
      </c>
      <c r="T810" t="str">
        <f t="shared" si="61"/>
        <v>Mar</v>
      </c>
      <c r="U810">
        <f t="shared" si="62"/>
        <v>3</v>
      </c>
      <c r="V810">
        <f t="shared" si="63"/>
        <v>4</v>
      </c>
      <c r="W810" s="9">
        <f t="shared" si="64"/>
        <v>0.2222485681975705</v>
      </c>
    </row>
    <row r="811" spans="1:23">
      <c r="A811">
        <v>10810</v>
      </c>
      <c r="B811" s="5">
        <v>45006</v>
      </c>
      <c r="C811" s="5">
        <v>45010</v>
      </c>
      <c r="D811" s="5">
        <v>45014</v>
      </c>
      <c r="E811" t="s">
        <v>19</v>
      </c>
      <c r="F811" t="s">
        <v>22</v>
      </c>
      <c r="G811" t="s">
        <v>27</v>
      </c>
      <c r="H811" t="s">
        <v>33</v>
      </c>
      <c r="I811" t="s">
        <v>36</v>
      </c>
      <c r="J811" t="s">
        <v>43</v>
      </c>
      <c r="K811" t="s">
        <v>44</v>
      </c>
      <c r="L811" t="s">
        <v>51</v>
      </c>
      <c r="M811" s="7">
        <v>74391</v>
      </c>
      <c r="N811">
        <v>0.09</v>
      </c>
      <c r="O811" s="7">
        <v>11681</v>
      </c>
      <c r="P811">
        <v>11</v>
      </c>
      <c r="Q811" t="s">
        <v>54</v>
      </c>
      <c r="R811" t="s">
        <v>62</v>
      </c>
      <c r="S811">
        <f t="shared" si="60"/>
        <v>2023</v>
      </c>
      <c r="T811" t="str">
        <f t="shared" si="61"/>
        <v>Mar</v>
      </c>
      <c r="U811">
        <f t="shared" si="62"/>
        <v>4</v>
      </c>
      <c r="V811">
        <f t="shared" si="63"/>
        <v>8</v>
      </c>
      <c r="W811" s="9">
        <f t="shared" si="64"/>
        <v>0.15702168273043782</v>
      </c>
    </row>
    <row r="812" spans="1:23">
      <c r="A812">
        <v>10811</v>
      </c>
      <c r="B812" s="5">
        <v>45007</v>
      </c>
      <c r="C812" s="5">
        <v>45009</v>
      </c>
      <c r="D812" s="5">
        <v>45014</v>
      </c>
      <c r="E812" t="s">
        <v>18</v>
      </c>
      <c r="F812" t="s">
        <v>22</v>
      </c>
      <c r="G812" t="s">
        <v>27</v>
      </c>
      <c r="H812" t="s">
        <v>30</v>
      </c>
      <c r="I812" t="s">
        <v>34</v>
      </c>
      <c r="J812" t="s">
        <v>43</v>
      </c>
      <c r="K812" t="s">
        <v>50</v>
      </c>
      <c r="L812" t="s">
        <v>52</v>
      </c>
      <c r="M812" s="7">
        <v>56555</v>
      </c>
      <c r="N812">
        <v>0.26</v>
      </c>
      <c r="O812" s="7">
        <v>13442</v>
      </c>
      <c r="P812">
        <v>10</v>
      </c>
      <c r="Q812" t="s">
        <v>54</v>
      </c>
      <c r="R812" t="s">
        <v>62</v>
      </c>
      <c r="S812">
        <f t="shared" si="60"/>
        <v>2023</v>
      </c>
      <c r="T812" t="str">
        <f t="shared" si="61"/>
        <v>Mar</v>
      </c>
      <c r="U812">
        <f t="shared" si="62"/>
        <v>2</v>
      </c>
      <c r="V812">
        <f t="shared" si="63"/>
        <v>7</v>
      </c>
      <c r="W812" s="9">
        <f t="shared" si="64"/>
        <v>0.23768013438245955</v>
      </c>
    </row>
    <row r="813" spans="1:23">
      <c r="A813">
        <v>10812</v>
      </c>
      <c r="B813" s="5">
        <v>45008</v>
      </c>
      <c r="C813" s="5">
        <v>45013</v>
      </c>
      <c r="D813" s="5">
        <v>45017</v>
      </c>
      <c r="E813" t="s">
        <v>21</v>
      </c>
      <c r="F813" t="s">
        <v>22</v>
      </c>
      <c r="G813" t="s">
        <v>23</v>
      </c>
      <c r="H813" t="s">
        <v>29</v>
      </c>
      <c r="I813" t="s">
        <v>35</v>
      </c>
      <c r="J813" t="s">
        <v>38</v>
      </c>
      <c r="K813" t="s">
        <v>49</v>
      </c>
      <c r="L813" t="s">
        <v>51</v>
      </c>
      <c r="M813" s="7">
        <v>14578</v>
      </c>
      <c r="N813">
        <v>0.28999999999999998</v>
      </c>
      <c r="O813" s="7">
        <v>-1726</v>
      </c>
      <c r="P813">
        <v>17</v>
      </c>
      <c r="Q813" t="s">
        <v>58</v>
      </c>
      <c r="R813" t="s">
        <v>60</v>
      </c>
      <c r="S813">
        <f t="shared" si="60"/>
        <v>2023</v>
      </c>
      <c r="T813" t="str">
        <f t="shared" si="61"/>
        <v>Mar</v>
      </c>
      <c r="U813">
        <f t="shared" si="62"/>
        <v>5</v>
      </c>
      <c r="V813">
        <f t="shared" si="63"/>
        <v>9</v>
      </c>
      <c r="W813" s="9">
        <f t="shared" si="64"/>
        <v>-0.11839758540266154</v>
      </c>
    </row>
    <row r="814" spans="1:23">
      <c r="A814">
        <v>10813</v>
      </c>
      <c r="B814" s="5">
        <v>45009</v>
      </c>
      <c r="C814" s="5">
        <v>45011</v>
      </c>
      <c r="D814" s="5">
        <v>45015</v>
      </c>
      <c r="E814" t="s">
        <v>19</v>
      </c>
      <c r="F814" t="s">
        <v>22</v>
      </c>
      <c r="G814" t="s">
        <v>25</v>
      </c>
      <c r="H814" t="s">
        <v>30</v>
      </c>
      <c r="I814" t="s">
        <v>35</v>
      </c>
      <c r="J814" t="s">
        <v>40</v>
      </c>
      <c r="K814" t="s">
        <v>50</v>
      </c>
      <c r="L814" t="s">
        <v>51</v>
      </c>
      <c r="M814" s="7">
        <v>3283</v>
      </c>
      <c r="N814">
        <v>0.28999999999999998</v>
      </c>
      <c r="O814" s="7">
        <v>5978</v>
      </c>
      <c r="P814">
        <v>2</v>
      </c>
      <c r="Q814" t="s">
        <v>55</v>
      </c>
      <c r="R814" t="s">
        <v>61</v>
      </c>
      <c r="S814">
        <f t="shared" si="60"/>
        <v>2023</v>
      </c>
      <c r="T814" t="str">
        <f t="shared" si="61"/>
        <v>Mar</v>
      </c>
      <c r="U814">
        <f t="shared" si="62"/>
        <v>2</v>
      </c>
      <c r="V814">
        <f t="shared" si="63"/>
        <v>6</v>
      </c>
      <c r="W814" s="9">
        <f t="shared" si="64"/>
        <v>1.8208955223880596</v>
      </c>
    </row>
    <row r="815" spans="1:23">
      <c r="A815">
        <v>10814</v>
      </c>
      <c r="B815" s="5">
        <v>45010</v>
      </c>
      <c r="C815" s="5">
        <v>45015</v>
      </c>
      <c r="D815" s="5">
        <v>45017</v>
      </c>
      <c r="E815" t="s">
        <v>21</v>
      </c>
      <c r="F815" t="s">
        <v>22</v>
      </c>
      <c r="G815" t="s">
        <v>27</v>
      </c>
      <c r="H815" t="s">
        <v>32</v>
      </c>
      <c r="I815" t="s">
        <v>35</v>
      </c>
      <c r="J815" t="s">
        <v>38</v>
      </c>
      <c r="K815" t="s">
        <v>44</v>
      </c>
      <c r="L815" t="s">
        <v>52</v>
      </c>
      <c r="M815" s="7">
        <v>8715</v>
      </c>
      <c r="N815">
        <v>0</v>
      </c>
      <c r="O815" s="7">
        <v>2076</v>
      </c>
      <c r="P815">
        <v>16</v>
      </c>
      <c r="Q815" t="s">
        <v>54</v>
      </c>
      <c r="R815" t="s">
        <v>61</v>
      </c>
      <c r="S815">
        <f t="shared" si="60"/>
        <v>2023</v>
      </c>
      <c r="T815" t="str">
        <f t="shared" si="61"/>
        <v>Mar</v>
      </c>
      <c r="U815">
        <f t="shared" si="62"/>
        <v>5</v>
      </c>
      <c r="V815">
        <f t="shared" si="63"/>
        <v>7</v>
      </c>
      <c r="W815" s="9">
        <f t="shared" si="64"/>
        <v>0.23820998278829605</v>
      </c>
    </row>
    <row r="816" spans="1:23">
      <c r="A816">
        <v>10815</v>
      </c>
      <c r="B816" s="5">
        <v>45011</v>
      </c>
      <c r="C816" s="5">
        <v>45014</v>
      </c>
      <c r="D816" s="5">
        <v>45018</v>
      </c>
      <c r="E816" t="s">
        <v>18</v>
      </c>
      <c r="F816" t="s">
        <v>22</v>
      </c>
      <c r="G816" t="s">
        <v>25</v>
      </c>
      <c r="H816" t="s">
        <v>33</v>
      </c>
      <c r="I816" t="s">
        <v>35</v>
      </c>
      <c r="J816" t="s">
        <v>43</v>
      </c>
      <c r="K816" t="s">
        <v>45</v>
      </c>
      <c r="L816" t="s">
        <v>53</v>
      </c>
      <c r="M816" s="7">
        <v>25768</v>
      </c>
      <c r="N816">
        <v>0.26</v>
      </c>
      <c r="O816" s="7">
        <v>8506</v>
      </c>
      <c r="P816">
        <v>20</v>
      </c>
      <c r="Q816" t="s">
        <v>54</v>
      </c>
      <c r="R816" t="s">
        <v>62</v>
      </c>
      <c r="S816">
        <f t="shared" si="60"/>
        <v>2023</v>
      </c>
      <c r="T816" t="str">
        <f t="shared" si="61"/>
        <v>Mar</v>
      </c>
      <c r="U816">
        <f t="shared" si="62"/>
        <v>3</v>
      </c>
      <c r="V816">
        <f t="shared" si="63"/>
        <v>7</v>
      </c>
      <c r="W816" s="9">
        <f t="shared" si="64"/>
        <v>0.33009934802856256</v>
      </c>
    </row>
    <row r="817" spans="1:23">
      <c r="A817">
        <v>10816</v>
      </c>
      <c r="B817" s="5">
        <v>45012</v>
      </c>
      <c r="C817" s="5">
        <v>45016</v>
      </c>
      <c r="D817" s="5">
        <v>45018</v>
      </c>
      <c r="E817" t="s">
        <v>18</v>
      </c>
      <c r="F817" t="s">
        <v>22</v>
      </c>
      <c r="G817" t="s">
        <v>28</v>
      </c>
      <c r="H817" t="s">
        <v>31</v>
      </c>
      <c r="I817" t="s">
        <v>35</v>
      </c>
      <c r="J817" t="s">
        <v>40</v>
      </c>
      <c r="K817" t="s">
        <v>44</v>
      </c>
      <c r="L817" t="s">
        <v>51</v>
      </c>
      <c r="M817" s="7">
        <v>6060</v>
      </c>
      <c r="N817">
        <v>0.06</v>
      </c>
      <c r="O817" s="7">
        <v>17364</v>
      </c>
      <c r="P817">
        <v>20</v>
      </c>
      <c r="Q817" t="s">
        <v>58</v>
      </c>
      <c r="R817" t="s">
        <v>62</v>
      </c>
      <c r="S817">
        <f t="shared" si="60"/>
        <v>2023</v>
      </c>
      <c r="T817" t="str">
        <f t="shared" si="61"/>
        <v>Mar</v>
      </c>
      <c r="U817">
        <f t="shared" si="62"/>
        <v>4</v>
      </c>
      <c r="V817">
        <f t="shared" si="63"/>
        <v>6</v>
      </c>
      <c r="W817" s="9">
        <f t="shared" si="64"/>
        <v>2.8653465346534652</v>
      </c>
    </row>
    <row r="818" spans="1:23">
      <c r="A818">
        <v>10817</v>
      </c>
      <c r="B818" s="5">
        <v>45013</v>
      </c>
      <c r="C818" s="5">
        <v>45020</v>
      </c>
      <c r="D818" s="5">
        <v>45021</v>
      </c>
      <c r="E818" t="s">
        <v>20</v>
      </c>
      <c r="F818" t="s">
        <v>22</v>
      </c>
      <c r="G818" t="s">
        <v>28</v>
      </c>
      <c r="H818" t="s">
        <v>29</v>
      </c>
      <c r="I818" t="s">
        <v>34</v>
      </c>
      <c r="J818" t="s">
        <v>41</v>
      </c>
      <c r="K818" t="s">
        <v>50</v>
      </c>
      <c r="L818" t="s">
        <v>53</v>
      </c>
      <c r="M818" s="7">
        <v>26493</v>
      </c>
      <c r="N818">
        <v>0.13</v>
      </c>
      <c r="O818" s="7">
        <v>8426</v>
      </c>
      <c r="P818">
        <v>9</v>
      </c>
      <c r="Q818" t="s">
        <v>55</v>
      </c>
      <c r="R818" t="s">
        <v>59</v>
      </c>
      <c r="S818">
        <f t="shared" si="60"/>
        <v>2023</v>
      </c>
      <c r="T818" t="str">
        <f t="shared" si="61"/>
        <v>Mar</v>
      </c>
      <c r="U818">
        <f t="shared" si="62"/>
        <v>7</v>
      </c>
      <c r="V818">
        <f t="shared" si="63"/>
        <v>8</v>
      </c>
      <c r="W818" s="9">
        <f t="shared" si="64"/>
        <v>0.31804627637489147</v>
      </c>
    </row>
    <row r="819" spans="1:23">
      <c r="A819">
        <v>10818</v>
      </c>
      <c r="B819" s="5">
        <v>45014</v>
      </c>
      <c r="C819" s="5">
        <v>45018</v>
      </c>
      <c r="D819" s="5">
        <v>45021</v>
      </c>
      <c r="E819" t="s">
        <v>19</v>
      </c>
      <c r="F819" t="s">
        <v>22</v>
      </c>
      <c r="G819" t="s">
        <v>28</v>
      </c>
      <c r="H819" t="s">
        <v>33</v>
      </c>
      <c r="I819" t="s">
        <v>36</v>
      </c>
      <c r="J819" t="s">
        <v>38</v>
      </c>
      <c r="K819" t="s">
        <v>49</v>
      </c>
      <c r="L819" t="s">
        <v>51</v>
      </c>
      <c r="M819" s="7">
        <v>8963</v>
      </c>
      <c r="N819">
        <v>0.23</v>
      </c>
      <c r="O819" s="7">
        <v>16902</v>
      </c>
      <c r="P819">
        <v>2</v>
      </c>
      <c r="Q819" t="s">
        <v>57</v>
      </c>
      <c r="R819" t="s">
        <v>60</v>
      </c>
      <c r="S819">
        <f t="shared" si="60"/>
        <v>2023</v>
      </c>
      <c r="T819" t="str">
        <f t="shared" si="61"/>
        <v>Mar</v>
      </c>
      <c r="U819">
        <f t="shared" si="62"/>
        <v>4</v>
      </c>
      <c r="V819">
        <f t="shared" si="63"/>
        <v>7</v>
      </c>
      <c r="W819" s="9">
        <f t="shared" si="64"/>
        <v>1.8857525382126521</v>
      </c>
    </row>
    <row r="820" spans="1:23">
      <c r="A820">
        <v>10819</v>
      </c>
      <c r="B820" s="5">
        <v>45015</v>
      </c>
      <c r="C820" s="5">
        <v>45017</v>
      </c>
      <c r="D820" s="5">
        <v>45020</v>
      </c>
      <c r="E820" t="s">
        <v>18</v>
      </c>
      <c r="F820" t="s">
        <v>22</v>
      </c>
      <c r="G820" t="s">
        <v>26</v>
      </c>
      <c r="H820" t="s">
        <v>32</v>
      </c>
      <c r="I820" t="s">
        <v>36</v>
      </c>
      <c r="J820" t="s">
        <v>41</v>
      </c>
      <c r="K820" t="s">
        <v>46</v>
      </c>
      <c r="L820" t="s">
        <v>52</v>
      </c>
      <c r="M820" s="7">
        <v>74206</v>
      </c>
      <c r="N820">
        <v>0.17</v>
      </c>
      <c r="O820" s="7">
        <v>-1040</v>
      </c>
      <c r="P820">
        <v>21</v>
      </c>
      <c r="Q820" t="s">
        <v>55</v>
      </c>
      <c r="R820" t="s">
        <v>62</v>
      </c>
      <c r="S820">
        <f t="shared" si="60"/>
        <v>2023</v>
      </c>
      <c r="T820" t="str">
        <f t="shared" si="61"/>
        <v>Mar</v>
      </c>
      <c r="U820">
        <f t="shared" si="62"/>
        <v>2</v>
      </c>
      <c r="V820">
        <f t="shared" si="63"/>
        <v>5</v>
      </c>
      <c r="W820" s="9">
        <f t="shared" si="64"/>
        <v>-1.4015039215157805E-2</v>
      </c>
    </row>
    <row r="821" spans="1:23">
      <c r="A821">
        <v>10820</v>
      </c>
      <c r="B821" s="5">
        <v>45016</v>
      </c>
      <c r="C821" s="5">
        <v>45023</v>
      </c>
      <c r="D821" s="5">
        <v>45024</v>
      </c>
      <c r="E821" t="s">
        <v>21</v>
      </c>
      <c r="F821" t="s">
        <v>22</v>
      </c>
      <c r="G821" t="s">
        <v>23</v>
      </c>
      <c r="H821" t="s">
        <v>31</v>
      </c>
      <c r="I821" t="s">
        <v>35</v>
      </c>
      <c r="J821" t="s">
        <v>42</v>
      </c>
      <c r="K821" t="s">
        <v>46</v>
      </c>
      <c r="L821" t="s">
        <v>51</v>
      </c>
      <c r="M821" s="7">
        <v>6996</v>
      </c>
      <c r="N821">
        <v>0.35</v>
      </c>
      <c r="O821" s="7">
        <v>4386</v>
      </c>
      <c r="P821">
        <v>15</v>
      </c>
      <c r="Q821" t="s">
        <v>56</v>
      </c>
      <c r="R821" t="s">
        <v>60</v>
      </c>
      <c r="S821">
        <f t="shared" si="60"/>
        <v>2023</v>
      </c>
      <c r="T821" t="str">
        <f t="shared" si="61"/>
        <v>Mar</v>
      </c>
      <c r="U821">
        <f t="shared" si="62"/>
        <v>7</v>
      </c>
      <c r="V821">
        <f t="shared" si="63"/>
        <v>8</v>
      </c>
      <c r="W821" s="9">
        <f t="shared" si="64"/>
        <v>0.62692967409948541</v>
      </c>
    </row>
    <row r="822" spans="1:23">
      <c r="A822">
        <v>10821</v>
      </c>
      <c r="B822" s="5">
        <v>45017</v>
      </c>
      <c r="C822" s="5">
        <v>45022</v>
      </c>
      <c r="D822" s="5">
        <v>45026</v>
      </c>
      <c r="E822" t="s">
        <v>19</v>
      </c>
      <c r="F822" t="s">
        <v>22</v>
      </c>
      <c r="G822" t="s">
        <v>27</v>
      </c>
      <c r="H822" t="s">
        <v>33</v>
      </c>
      <c r="I822" t="s">
        <v>34</v>
      </c>
      <c r="J822" t="s">
        <v>43</v>
      </c>
      <c r="K822" t="s">
        <v>50</v>
      </c>
      <c r="L822" t="s">
        <v>51</v>
      </c>
      <c r="M822" s="7">
        <v>37092</v>
      </c>
      <c r="N822">
        <v>0.03</v>
      </c>
      <c r="O822" s="7">
        <v>19134</v>
      </c>
      <c r="P822">
        <v>7</v>
      </c>
      <c r="Q822" t="s">
        <v>54</v>
      </c>
      <c r="R822" t="s">
        <v>60</v>
      </c>
      <c r="S822">
        <f t="shared" si="60"/>
        <v>2023</v>
      </c>
      <c r="T822" t="str">
        <f t="shared" si="61"/>
        <v>Apr</v>
      </c>
      <c r="U822">
        <f t="shared" si="62"/>
        <v>5</v>
      </c>
      <c r="V822">
        <f t="shared" si="63"/>
        <v>9</v>
      </c>
      <c r="W822" s="9">
        <f t="shared" si="64"/>
        <v>0.51585247492720798</v>
      </c>
    </row>
    <row r="823" spans="1:23">
      <c r="A823">
        <v>10822</v>
      </c>
      <c r="B823" s="5">
        <v>45018</v>
      </c>
      <c r="C823" s="5">
        <v>45020</v>
      </c>
      <c r="D823" s="5">
        <v>45025</v>
      </c>
      <c r="E823" t="s">
        <v>18</v>
      </c>
      <c r="F823" t="s">
        <v>22</v>
      </c>
      <c r="G823" t="s">
        <v>23</v>
      </c>
      <c r="H823" t="s">
        <v>30</v>
      </c>
      <c r="I823" t="s">
        <v>36</v>
      </c>
      <c r="J823" t="s">
        <v>43</v>
      </c>
      <c r="K823" t="s">
        <v>47</v>
      </c>
      <c r="L823" t="s">
        <v>53</v>
      </c>
      <c r="M823" s="7">
        <v>73041</v>
      </c>
      <c r="N823">
        <v>0.14000000000000001</v>
      </c>
      <c r="O823" s="7">
        <v>211</v>
      </c>
      <c r="P823">
        <v>5</v>
      </c>
      <c r="Q823" t="s">
        <v>58</v>
      </c>
      <c r="R823" t="s">
        <v>62</v>
      </c>
      <c r="S823">
        <f t="shared" si="60"/>
        <v>2023</v>
      </c>
      <c r="T823" t="str">
        <f t="shared" si="61"/>
        <v>Apr</v>
      </c>
      <c r="U823">
        <f t="shared" si="62"/>
        <v>2</v>
      </c>
      <c r="V823">
        <f t="shared" si="63"/>
        <v>7</v>
      </c>
      <c r="W823" s="9">
        <f t="shared" si="64"/>
        <v>2.8887884886570556E-3</v>
      </c>
    </row>
    <row r="824" spans="1:23">
      <c r="A824">
        <v>10823</v>
      </c>
      <c r="B824" s="5">
        <v>45019</v>
      </c>
      <c r="C824" s="5">
        <v>45021</v>
      </c>
      <c r="D824" s="5">
        <v>45022</v>
      </c>
      <c r="E824" t="s">
        <v>21</v>
      </c>
      <c r="F824" t="s">
        <v>22</v>
      </c>
      <c r="G824" t="s">
        <v>27</v>
      </c>
      <c r="H824" t="s">
        <v>30</v>
      </c>
      <c r="I824" t="s">
        <v>35</v>
      </c>
      <c r="J824" t="s">
        <v>40</v>
      </c>
      <c r="K824" t="s">
        <v>45</v>
      </c>
      <c r="L824" t="s">
        <v>51</v>
      </c>
      <c r="M824" s="7">
        <v>74828</v>
      </c>
      <c r="N824">
        <v>0.19</v>
      </c>
      <c r="O824" s="7">
        <v>10657</v>
      </c>
      <c r="P824">
        <v>1</v>
      </c>
      <c r="Q824" t="s">
        <v>56</v>
      </c>
      <c r="R824" t="s">
        <v>61</v>
      </c>
      <c r="S824">
        <f t="shared" si="60"/>
        <v>2023</v>
      </c>
      <c r="T824" t="str">
        <f t="shared" si="61"/>
        <v>Apr</v>
      </c>
      <c r="U824">
        <f t="shared" si="62"/>
        <v>2</v>
      </c>
      <c r="V824">
        <f t="shared" si="63"/>
        <v>3</v>
      </c>
      <c r="W824" s="9">
        <f t="shared" si="64"/>
        <v>0.14241994975142994</v>
      </c>
    </row>
    <row r="825" spans="1:23">
      <c r="A825">
        <v>10824</v>
      </c>
      <c r="B825" s="5">
        <v>45020</v>
      </c>
      <c r="C825" s="5">
        <v>45027</v>
      </c>
      <c r="D825" s="5">
        <v>45032</v>
      </c>
      <c r="E825" t="s">
        <v>18</v>
      </c>
      <c r="F825" t="s">
        <v>22</v>
      </c>
      <c r="G825" t="s">
        <v>26</v>
      </c>
      <c r="H825" t="s">
        <v>32</v>
      </c>
      <c r="I825" t="s">
        <v>36</v>
      </c>
      <c r="J825" t="s">
        <v>39</v>
      </c>
      <c r="K825" t="s">
        <v>45</v>
      </c>
      <c r="L825" t="s">
        <v>51</v>
      </c>
      <c r="M825" s="7">
        <v>55993</v>
      </c>
      <c r="N825">
        <v>0.12</v>
      </c>
      <c r="O825" s="7">
        <v>9645</v>
      </c>
      <c r="P825">
        <v>3</v>
      </c>
      <c r="Q825" t="s">
        <v>55</v>
      </c>
      <c r="R825" t="s">
        <v>62</v>
      </c>
      <c r="S825">
        <f t="shared" si="60"/>
        <v>2023</v>
      </c>
      <c r="T825" t="str">
        <f t="shared" si="61"/>
        <v>Apr</v>
      </c>
      <c r="U825">
        <f t="shared" si="62"/>
        <v>7</v>
      </c>
      <c r="V825">
        <f t="shared" si="63"/>
        <v>12</v>
      </c>
      <c r="W825" s="9">
        <f t="shared" si="64"/>
        <v>0.17225367456646368</v>
      </c>
    </row>
    <row r="826" spans="1:23">
      <c r="A826">
        <v>10825</v>
      </c>
      <c r="B826" s="5">
        <v>45021</v>
      </c>
      <c r="C826" s="5">
        <v>45023</v>
      </c>
      <c r="D826" s="5">
        <v>45027</v>
      </c>
      <c r="E826" t="s">
        <v>21</v>
      </c>
      <c r="F826" t="s">
        <v>22</v>
      </c>
      <c r="G826" t="s">
        <v>26</v>
      </c>
      <c r="H826" t="s">
        <v>33</v>
      </c>
      <c r="I826" t="s">
        <v>35</v>
      </c>
      <c r="J826" t="s">
        <v>39</v>
      </c>
      <c r="K826" t="s">
        <v>49</v>
      </c>
      <c r="L826" t="s">
        <v>51</v>
      </c>
      <c r="M826" s="7">
        <v>68537</v>
      </c>
      <c r="N826">
        <v>0.37</v>
      </c>
      <c r="O826" s="7">
        <v>11790</v>
      </c>
      <c r="P826">
        <v>14</v>
      </c>
      <c r="Q826" t="s">
        <v>56</v>
      </c>
      <c r="R826" t="s">
        <v>60</v>
      </c>
      <c r="S826">
        <f t="shared" si="60"/>
        <v>2023</v>
      </c>
      <c r="T826" t="str">
        <f t="shared" si="61"/>
        <v>Apr</v>
      </c>
      <c r="U826">
        <f t="shared" si="62"/>
        <v>2</v>
      </c>
      <c r="V826">
        <f t="shared" si="63"/>
        <v>6</v>
      </c>
      <c r="W826" s="9">
        <f t="shared" si="64"/>
        <v>0.17202387031822228</v>
      </c>
    </row>
    <row r="827" spans="1:23">
      <c r="A827">
        <v>10826</v>
      </c>
      <c r="B827" s="5">
        <v>45022</v>
      </c>
      <c r="C827" s="5">
        <v>45025</v>
      </c>
      <c r="D827" s="5">
        <v>45030</v>
      </c>
      <c r="E827" t="s">
        <v>19</v>
      </c>
      <c r="F827" t="s">
        <v>22</v>
      </c>
      <c r="G827" t="s">
        <v>26</v>
      </c>
      <c r="H827" t="s">
        <v>25</v>
      </c>
      <c r="I827" t="s">
        <v>34</v>
      </c>
      <c r="J827" t="s">
        <v>38</v>
      </c>
      <c r="K827" t="s">
        <v>46</v>
      </c>
      <c r="L827" t="s">
        <v>52</v>
      </c>
      <c r="M827" s="7">
        <v>4498</v>
      </c>
      <c r="N827">
        <v>0.12</v>
      </c>
      <c r="O827" s="7">
        <v>-1281</v>
      </c>
      <c r="P827">
        <v>16</v>
      </c>
      <c r="Q827" t="s">
        <v>56</v>
      </c>
      <c r="R827" t="s">
        <v>60</v>
      </c>
      <c r="S827">
        <f t="shared" si="60"/>
        <v>2023</v>
      </c>
      <c r="T827" t="str">
        <f t="shared" si="61"/>
        <v>Apr</v>
      </c>
      <c r="U827">
        <f t="shared" si="62"/>
        <v>3</v>
      </c>
      <c r="V827">
        <f t="shared" si="63"/>
        <v>8</v>
      </c>
      <c r="W827" s="9">
        <f t="shared" si="64"/>
        <v>-0.28479324144064028</v>
      </c>
    </row>
    <row r="828" spans="1:23">
      <c r="A828">
        <v>10827</v>
      </c>
      <c r="B828" s="5">
        <v>45023</v>
      </c>
      <c r="C828" s="5">
        <v>45025</v>
      </c>
      <c r="D828" s="5">
        <v>45026</v>
      </c>
      <c r="E828" t="s">
        <v>18</v>
      </c>
      <c r="F828" t="s">
        <v>22</v>
      </c>
      <c r="G828" t="s">
        <v>24</v>
      </c>
      <c r="H828" t="s">
        <v>32</v>
      </c>
      <c r="I828" t="s">
        <v>36</v>
      </c>
      <c r="J828" t="s">
        <v>37</v>
      </c>
      <c r="K828" t="s">
        <v>48</v>
      </c>
      <c r="L828" t="s">
        <v>52</v>
      </c>
      <c r="M828" s="7">
        <v>22543</v>
      </c>
      <c r="N828">
        <v>0.37</v>
      </c>
      <c r="O828" s="7">
        <v>16060</v>
      </c>
      <c r="P828">
        <v>7</v>
      </c>
      <c r="Q828" t="s">
        <v>58</v>
      </c>
      <c r="R828" t="s">
        <v>60</v>
      </c>
      <c r="S828">
        <f t="shared" si="60"/>
        <v>2023</v>
      </c>
      <c r="T828" t="str">
        <f t="shared" si="61"/>
        <v>Apr</v>
      </c>
      <c r="U828">
        <f t="shared" si="62"/>
        <v>2</v>
      </c>
      <c r="V828">
        <f t="shared" si="63"/>
        <v>3</v>
      </c>
      <c r="W828" s="9">
        <f t="shared" si="64"/>
        <v>0.71241627112629202</v>
      </c>
    </row>
    <row r="829" spans="1:23">
      <c r="A829">
        <v>10828</v>
      </c>
      <c r="B829" s="5">
        <v>45024</v>
      </c>
      <c r="C829" s="5">
        <v>45026</v>
      </c>
      <c r="D829" s="5">
        <v>45027</v>
      </c>
      <c r="E829" t="s">
        <v>19</v>
      </c>
      <c r="F829" t="s">
        <v>22</v>
      </c>
      <c r="G829" t="s">
        <v>25</v>
      </c>
      <c r="H829" t="s">
        <v>31</v>
      </c>
      <c r="I829" t="s">
        <v>36</v>
      </c>
      <c r="J829" t="s">
        <v>37</v>
      </c>
      <c r="K829" t="s">
        <v>47</v>
      </c>
      <c r="L829" t="s">
        <v>53</v>
      </c>
      <c r="M829" s="7">
        <v>7582</v>
      </c>
      <c r="N829">
        <v>0.12</v>
      </c>
      <c r="O829" s="7">
        <v>10511</v>
      </c>
      <c r="P829">
        <v>15</v>
      </c>
      <c r="Q829" t="s">
        <v>55</v>
      </c>
      <c r="R829" t="s">
        <v>59</v>
      </c>
      <c r="S829">
        <f t="shared" si="60"/>
        <v>2023</v>
      </c>
      <c r="T829" t="str">
        <f t="shared" si="61"/>
        <v>Apr</v>
      </c>
      <c r="U829">
        <f t="shared" si="62"/>
        <v>2</v>
      </c>
      <c r="V829">
        <f t="shared" si="63"/>
        <v>3</v>
      </c>
      <c r="W829" s="9">
        <f t="shared" si="64"/>
        <v>1.3863096808230018</v>
      </c>
    </row>
    <row r="830" spans="1:23">
      <c r="A830">
        <v>10829</v>
      </c>
      <c r="B830" s="5">
        <v>45025</v>
      </c>
      <c r="C830" s="5">
        <v>45032</v>
      </c>
      <c r="D830" s="5">
        <v>45033</v>
      </c>
      <c r="E830" t="s">
        <v>21</v>
      </c>
      <c r="F830" t="s">
        <v>22</v>
      </c>
      <c r="G830" t="s">
        <v>24</v>
      </c>
      <c r="H830" t="s">
        <v>31</v>
      </c>
      <c r="I830" t="s">
        <v>35</v>
      </c>
      <c r="J830" t="s">
        <v>42</v>
      </c>
      <c r="K830" t="s">
        <v>49</v>
      </c>
      <c r="L830" t="s">
        <v>52</v>
      </c>
      <c r="M830" s="7">
        <v>17671</v>
      </c>
      <c r="N830">
        <v>0.12</v>
      </c>
      <c r="O830" s="7">
        <v>3177</v>
      </c>
      <c r="P830">
        <v>4</v>
      </c>
      <c r="Q830" t="s">
        <v>57</v>
      </c>
      <c r="R830" t="s">
        <v>59</v>
      </c>
      <c r="S830">
        <f t="shared" si="60"/>
        <v>2023</v>
      </c>
      <c r="T830" t="str">
        <f t="shared" si="61"/>
        <v>Apr</v>
      </c>
      <c r="U830">
        <f t="shared" si="62"/>
        <v>7</v>
      </c>
      <c r="V830">
        <f t="shared" si="63"/>
        <v>8</v>
      </c>
      <c r="W830" s="9">
        <f t="shared" si="64"/>
        <v>0.17978609020428951</v>
      </c>
    </row>
    <row r="831" spans="1:23">
      <c r="A831">
        <v>10830</v>
      </c>
      <c r="B831" s="5">
        <v>45026</v>
      </c>
      <c r="C831" s="5">
        <v>45033</v>
      </c>
      <c r="D831" s="5">
        <v>45035</v>
      </c>
      <c r="E831" t="s">
        <v>21</v>
      </c>
      <c r="F831" t="s">
        <v>22</v>
      </c>
      <c r="G831" t="s">
        <v>26</v>
      </c>
      <c r="H831" t="s">
        <v>33</v>
      </c>
      <c r="I831" t="s">
        <v>35</v>
      </c>
      <c r="J831" t="s">
        <v>41</v>
      </c>
      <c r="K831" t="s">
        <v>49</v>
      </c>
      <c r="L831" t="s">
        <v>52</v>
      </c>
      <c r="M831" s="7">
        <v>49918</v>
      </c>
      <c r="N831">
        <v>0.38</v>
      </c>
      <c r="O831" s="7">
        <v>12424</v>
      </c>
      <c r="P831">
        <v>15</v>
      </c>
      <c r="Q831" t="s">
        <v>55</v>
      </c>
      <c r="R831" t="s">
        <v>59</v>
      </c>
      <c r="S831">
        <f t="shared" si="60"/>
        <v>2023</v>
      </c>
      <c r="T831" t="str">
        <f t="shared" si="61"/>
        <v>Apr</v>
      </c>
      <c r="U831">
        <f t="shared" si="62"/>
        <v>7</v>
      </c>
      <c r="V831">
        <f t="shared" si="63"/>
        <v>9</v>
      </c>
      <c r="W831" s="9">
        <f t="shared" si="64"/>
        <v>0.2488881766096398</v>
      </c>
    </row>
    <row r="832" spans="1:23">
      <c r="A832">
        <v>10831</v>
      </c>
      <c r="B832" s="5">
        <v>45027</v>
      </c>
      <c r="C832" s="5">
        <v>45029</v>
      </c>
      <c r="D832" s="5">
        <v>45031</v>
      </c>
      <c r="E832" t="s">
        <v>21</v>
      </c>
      <c r="F832" t="s">
        <v>22</v>
      </c>
      <c r="G832" t="s">
        <v>27</v>
      </c>
      <c r="H832" t="s">
        <v>25</v>
      </c>
      <c r="I832" t="s">
        <v>34</v>
      </c>
      <c r="J832" t="s">
        <v>41</v>
      </c>
      <c r="K832" t="s">
        <v>48</v>
      </c>
      <c r="L832" t="s">
        <v>53</v>
      </c>
      <c r="M832" s="7">
        <v>23139</v>
      </c>
      <c r="N832">
        <v>0.37</v>
      </c>
      <c r="O832" s="7">
        <v>5965</v>
      </c>
      <c r="P832">
        <v>2</v>
      </c>
      <c r="Q832" t="s">
        <v>54</v>
      </c>
      <c r="R832" t="s">
        <v>60</v>
      </c>
      <c r="S832">
        <f t="shared" si="60"/>
        <v>2023</v>
      </c>
      <c r="T832" t="str">
        <f t="shared" si="61"/>
        <v>Apr</v>
      </c>
      <c r="U832">
        <f t="shared" si="62"/>
        <v>2</v>
      </c>
      <c r="V832">
        <f t="shared" si="63"/>
        <v>4</v>
      </c>
      <c r="W832" s="9">
        <f t="shared" si="64"/>
        <v>0.2577898785600069</v>
      </c>
    </row>
    <row r="833" spans="1:23">
      <c r="A833">
        <v>10832</v>
      </c>
      <c r="B833" s="5">
        <v>45028</v>
      </c>
      <c r="C833" s="5">
        <v>45031</v>
      </c>
      <c r="D833" s="5">
        <v>45034</v>
      </c>
      <c r="E833" t="s">
        <v>18</v>
      </c>
      <c r="F833" t="s">
        <v>22</v>
      </c>
      <c r="G833" t="s">
        <v>26</v>
      </c>
      <c r="H833" t="s">
        <v>32</v>
      </c>
      <c r="I833" t="s">
        <v>35</v>
      </c>
      <c r="J833" t="s">
        <v>39</v>
      </c>
      <c r="K833" t="s">
        <v>49</v>
      </c>
      <c r="L833" t="s">
        <v>51</v>
      </c>
      <c r="M833" s="7">
        <v>33749</v>
      </c>
      <c r="N833">
        <v>0.15</v>
      </c>
      <c r="O833" s="7">
        <v>3294</v>
      </c>
      <c r="P833">
        <v>11</v>
      </c>
      <c r="Q833" t="s">
        <v>54</v>
      </c>
      <c r="R833" t="s">
        <v>62</v>
      </c>
      <c r="S833">
        <f t="shared" si="60"/>
        <v>2023</v>
      </c>
      <c r="T833" t="str">
        <f t="shared" si="61"/>
        <v>Apr</v>
      </c>
      <c r="U833">
        <f t="shared" si="62"/>
        <v>3</v>
      </c>
      <c r="V833">
        <f t="shared" si="63"/>
        <v>6</v>
      </c>
      <c r="W833" s="9">
        <f t="shared" si="64"/>
        <v>9.7602891937538891E-2</v>
      </c>
    </row>
    <row r="834" spans="1:23">
      <c r="A834">
        <v>10833</v>
      </c>
      <c r="B834" s="5">
        <v>45029</v>
      </c>
      <c r="C834" s="5">
        <v>45032</v>
      </c>
      <c r="D834" s="5">
        <v>45035</v>
      </c>
      <c r="E834" t="s">
        <v>20</v>
      </c>
      <c r="F834" t="s">
        <v>22</v>
      </c>
      <c r="G834" t="s">
        <v>25</v>
      </c>
      <c r="H834" t="s">
        <v>32</v>
      </c>
      <c r="I834" t="s">
        <v>36</v>
      </c>
      <c r="J834" t="s">
        <v>41</v>
      </c>
      <c r="K834" t="s">
        <v>49</v>
      </c>
      <c r="L834" t="s">
        <v>52</v>
      </c>
      <c r="M834" s="7">
        <v>59306</v>
      </c>
      <c r="N834">
        <v>0.09</v>
      </c>
      <c r="O834" s="7">
        <v>18877</v>
      </c>
      <c r="P834">
        <v>20</v>
      </c>
      <c r="Q834" t="s">
        <v>56</v>
      </c>
      <c r="R834" t="s">
        <v>61</v>
      </c>
      <c r="S834">
        <f t="shared" si="60"/>
        <v>2023</v>
      </c>
      <c r="T834" t="str">
        <f t="shared" si="61"/>
        <v>Apr</v>
      </c>
      <c r="U834">
        <f t="shared" si="62"/>
        <v>3</v>
      </c>
      <c r="V834">
        <f t="shared" si="63"/>
        <v>6</v>
      </c>
      <c r="W834" s="9">
        <f t="shared" si="64"/>
        <v>0.31829831720230667</v>
      </c>
    </row>
    <row r="835" spans="1:23">
      <c r="A835">
        <v>10834</v>
      </c>
      <c r="B835" s="5">
        <v>45030</v>
      </c>
      <c r="C835" s="5">
        <v>45034</v>
      </c>
      <c r="D835" s="5">
        <v>45038</v>
      </c>
      <c r="E835" t="s">
        <v>21</v>
      </c>
      <c r="F835" t="s">
        <v>22</v>
      </c>
      <c r="G835" t="s">
        <v>24</v>
      </c>
      <c r="H835" t="s">
        <v>30</v>
      </c>
      <c r="I835" t="s">
        <v>36</v>
      </c>
      <c r="J835" t="s">
        <v>40</v>
      </c>
      <c r="K835" t="s">
        <v>45</v>
      </c>
      <c r="L835" t="s">
        <v>52</v>
      </c>
      <c r="M835" s="7">
        <v>73030</v>
      </c>
      <c r="N835">
        <v>0.15</v>
      </c>
      <c r="O835" s="7">
        <v>-316</v>
      </c>
      <c r="P835">
        <v>18</v>
      </c>
      <c r="Q835" t="s">
        <v>58</v>
      </c>
      <c r="R835" t="s">
        <v>61</v>
      </c>
      <c r="S835">
        <f t="shared" ref="S835:S898" si="65">YEAR(B835)</f>
        <v>2023</v>
      </c>
      <c r="T835" t="str">
        <f t="shared" ref="T835:T898" si="66">TEXT(B835,"mmm")</f>
        <v>Apr</v>
      </c>
      <c r="U835">
        <f t="shared" ref="U835:U898" si="67">C835-B835</f>
        <v>4</v>
      </c>
      <c r="V835">
        <f t="shared" ref="V835:V898" si="68">D835-B835</f>
        <v>8</v>
      </c>
      <c r="W835" s="9">
        <f t="shared" ref="W835:W898" si="69">IFERROR(O835/M835,0)</f>
        <v>-4.326988908667671E-3</v>
      </c>
    </row>
    <row r="836" spans="1:23">
      <c r="A836">
        <v>10835</v>
      </c>
      <c r="B836" s="5">
        <v>45031</v>
      </c>
      <c r="C836" s="5">
        <v>45033</v>
      </c>
      <c r="D836" s="5">
        <v>45037</v>
      </c>
      <c r="E836" t="s">
        <v>18</v>
      </c>
      <c r="F836" t="s">
        <v>22</v>
      </c>
      <c r="G836" t="s">
        <v>25</v>
      </c>
      <c r="H836" t="s">
        <v>32</v>
      </c>
      <c r="I836" t="s">
        <v>35</v>
      </c>
      <c r="J836" t="s">
        <v>43</v>
      </c>
      <c r="K836" t="s">
        <v>46</v>
      </c>
      <c r="L836" t="s">
        <v>51</v>
      </c>
      <c r="M836" s="7">
        <v>2425</v>
      </c>
      <c r="N836">
        <v>0.16</v>
      </c>
      <c r="O836" s="7">
        <v>7528</v>
      </c>
      <c r="P836">
        <v>12</v>
      </c>
      <c r="Q836" t="s">
        <v>58</v>
      </c>
      <c r="R836" t="s">
        <v>61</v>
      </c>
      <c r="S836">
        <f t="shared" si="65"/>
        <v>2023</v>
      </c>
      <c r="T836" t="str">
        <f t="shared" si="66"/>
        <v>Apr</v>
      </c>
      <c r="U836">
        <f t="shared" si="67"/>
        <v>2</v>
      </c>
      <c r="V836">
        <f t="shared" si="68"/>
        <v>6</v>
      </c>
      <c r="W836" s="9">
        <f t="shared" si="69"/>
        <v>3.1043298969072164</v>
      </c>
    </row>
    <row r="837" spans="1:23">
      <c r="A837">
        <v>10836</v>
      </c>
      <c r="B837" s="5">
        <v>45032</v>
      </c>
      <c r="C837" s="5">
        <v>45035</v>
      </c>
      <c r="D837" s="5">
        <v>45039</v>
      </c>
      <c r="E837" t="s">
        <v>21</v>
      </c>
      <c r="F837" t="s">
        <v>22</v>
      </c>
      <c r="G837" t="s">
        <v>26</v>
      </c>
      <c r="H837" t="s">
        <v>32</v>
      </c>
      <c r="I837" t="s">
        <v>35</v>
      </c>
      <c r="J837" t="s">
        <v>39</v>
      </c>
      <c r="K837" t="s">
        <v>50</v>
      </c>
      <c r="L837" t="s">
        <v>53</v>
      </c>
      <c r="M837" s="7">
        <v>6109</v>
      </c>
      <c r="N837">
        <v>0.36</v>
      </c>
      <c r="O837" s="7">
        <v>589</v>
      </c>
      <c r="P837">
        <v>5</v>
      </c>
      <c r="Q837" t="s">
        <v>58</v>
      </c>
      <c r="R837" t="s">
        <v>62</v>
      </c>
      <c r="S837">
        <f t="shared" si="65"/>
        <v>2023</v>
      </c>
      <c r="T837" t="str">
        <f t="shared" si="66"/>
        <v>Apr</v>
      </c>
      <c r="U837">
        <f t="shared" si="67"/>
        <v>3</v>
      </c>
      <c r="V837">
        <f t="shared" si="68"/>
        <v>7</v>
      </c>
      <c r="W837" s="9">
        <f t="shared" si="69"/>
        <v>9.6415125225077752E-2</v>
      </c>
    </row>
    <row r="838" spans="1:23">
      <c r="A838">
        <v>10837</v>
      </c>
      <c r="B838" s="5">
        <v>45033</v>
      </c>
      <c r="C838" s="5">
        <v>45036</v>
      </c>
      <c r="D838" s="5">
        <v>45040</v>
      </c>
      <c r="E838" t="s">
        <v>18</v>
      </c>
      <c r="F838" t="s">
        <v>22</v>
      </c>
      <c r="G838" t="s">
        <v>23</v>
      </c>
      <c r="H838" t="s">
        <v>31</v>
      </c>
      <c r="I838" t="s">
        <v>35</v>
      </c>
      <c r="J838" t="s">
        <v>39</v>
      </c>
      <c r="K838" t="s">
        <v>45</v>
      </c>
      <c r="L838" t="s">
        <v>52</v>
      </c>
      <c r="M838" s="7">
        <v>16857</v>
      </c>
      <c r="N838">
        <v>0.2</v>
      </c>
      <c r="O838" s="7">
        <v>3571</v>
      </c>
      <c r="P838">
        <v>12</v>
      </c>
      <c r="Q838" t="s">
        <v>58</v>
      </c>
      <c r="R838" t="s">
        <v>59</v>
      </c>
      <c r="S838">
        <f t="shared" si="65"/>
        <v>2023</v>
      </c>
      <c r="T838" t="str">
        <f t="shared" si="66"/>
        <v>Apr</v>
      </c>
      <c r="U838">
        <f t="shared" si="67"/>
        <v>3</v>
      </c>
      <c r="V838">
        <f t="shared" si="68"/>
        <v>7</v>
      </c>
      <c r="W838" s="9">
        <f t="shared" si="69"/>
        <v>0.21184077831168061</v>
      </c>
    </row>
    <row r="839" spans="1:23">
      <c r="A839">
        <v>10838</v>
      </c>
      <c r="B839" s="5">
        <v>45034</v>
      </c>
      <c r="C839" s="5">
        <v>45036</v>
      </c>
      <c r="D839" s="5">
        <v>45041</v>
      </c>
      <c r="E839" t="s">
        <v>20</v>
      </c>
      <c r="F839" t="s">
        <v>22</v>
      </c>
      <c r="G839" t="s">
        <v>24</v>
      </c>
      <c r="H839" t="s">
        <v>25</v>
      </c>
      <c r="I839" t="s">
        <v>35</v>
      </c>
      <c r="J839" t="s">
        <v>38</v>
      </c>
      <c r="K839" t="s">
        <v>48</v>
      </c>
      <c r="L839" t="s">
        <v>53</v>
      </c>
      <c r="M839" s="7">
        <v>22575</v>
      </c>
      <c r="N839">
        <v>0.14000000000000001</v>
      </c>
      <c r="O839" s="7">
        <v>7562</v>
      </c>
      <c r="P839">
        <v>23</v>
      </c>
      <c r="Q839" t="s">
        <v>56</v>
      </c>
      <c r="R839" t="s">
        <v>61</v>
      </c>
      <c r="S839">
        <f t="shared" si="65"/>
        <v>2023</v>
      </c>
      <c r="T839" t="str">
        <f t="shared" si="66"/>
        <v>Apr</v>
      </c>
      <c r="U839">
        <f t="shared" si="67"/>
        <v>2</v>
      </c>
      <c r="V839">
        <f t="shared" si="68"/>
        <v>7</v>
      </c>
      <c r="W839" s="9">
        <f t="shared" si="69"/>
        <v>0.33497231450719822</v>
      </c>
    </row>
    <row r="840" spans="1:23">
      <c r="A840">
        <v>10839</v>
      </c>
      <c r="B840" s="5">
        <v>45035</v>
      </c>
      <c r="C840" s="5">
        <v>45041</v>
      </c>
      <c r="D840" s="5">
        <v>45042</v>
      </c>
      <c r="E840" t="s">
        <v>18</v>
      </c>
      <c r="F840" t="s">
        <v>22</v>
      </c>
      <c r="G840" t="s">
        <v>24</v>
      </c>
      <c r="H840" t="s">
        <v>31</v>
      </c>
      <c r="I840" t="s">
        <v>36</v>
      </c>
      <c r="J840" t="s">
        <v>38</v>
      </c>
      <c r="K840" t="s">
        <v>48</v>
      </c>
      <c r="L840" t="s">
        <v>53</v>
      </c>
      <c r="M840" s="7">
        <v>35773</v>
      </c>
      <c r="N840">
        <v>0.24</v>
      </c>
      <c r="O840" s="7">
        <v>13990</v>
      </c>
      <c r="P840">
        <v>5</v>
      </c>
      <c r="Q840" t="s">
        <v>58</v>
      </c>
      <c r="R840" t="s">
        <v>62</v>
      </c>
      <c r="S840">
        <f t="shared" si="65"/>
        <v>2023</v>
      </c>
      <c r="T840" t="str">
        <f t="shared" si="66"/>
        <v>Apr</v>
      </c>
      <c r="U840">
        <f t="shared" si="67"/>
        <v>6</v>
      </c>
      <c r="V840">
        <f t="shared" si="68"/>
        <v>7</v>
      </c>
      <c r="W840" s="9">
        <f t="shared" si="69"/>
        <v>0.39107706929807395</v>
      </c>
    </row>
    <row r="841" spans="1:23">
      <c r="A841">
        <v>10840</v>
      </c>
      <c r="B841" s="5">
        <v>45036</v>
      </c>
      <c r="C841" s="5">
        <v>45042</v>
      </c>
      <c r="D841" s="5">
        <v>45044</v>
      </c>
      <c r="E841" t="s">
        <v>21</v>
      </c>
      <c r="F841" t="s">
        <v>22</v>
      </c>
      <c r="G841" t="s">
        <v>23</v>
      </c>
      <c r="H841" t="s">
        <v>25</v>
      </c>
      <c r="I841" t="s">
        <v>35</v>
      </c>
      <c r="J841" t="s">
        <v>41</v>
      </c>
      <c r="K841" t="s">
        <v>46</v>
      </c>
      <c r="L841" t="s">
        <v>52</v>
      </c>
      <c r="M841" s="7">
        <v>35516</v>
      </c>
      <c r="N841">
        <v>0.28999999999999998</v>
      </c>
      <c r="O841" s="7">
        <v>-228</v>
      </c>
      <c r="P841">
        <v>3</v>
      </c>
      <c r="Q841" t="s">
        <v>58</v>
      </c>
      <c r="R841" t="s">
        <v>60</v>
      </c>
      <c r="S841">
        <f t="shared" si="65"/>
        <v>2023</v>
      </c>
      <c r="T841" t="str">
        <f t="shared" si="66"/>
        <v>Apr</v>
      </c>
      <c r="U841">
        <f t="shared" si="67"/>
        <v>6</v>
      </c>
      <c r="V841">
        <f t="shared" si="68"/>
        <v>8</v>
      </c>
      <c r="W841" s="9">
        <f t="shared" si="69"/>
        <v>-6.4196418515598602E-3</v>
      </c>
    </row>
    <row r="842" spans="1:23">
      <c r="A842">
        <v>10841</v>
      </c>
      <c r="B842" s="5">
        <v>45037</v>
      </c>
      <c r="C842" s="5">
        <v>45039</v>
      </c>
      <c r="D842" s="5">
        <v>45040</v>
      </c>
      <c r="E842" t="s">
        <v>20</v>
      </c>
      <c r="F842" t="s">
        <v>22</v>
      </c>
      <c r="G842" t="s">
        <v>26</v>
      </c>
      <c r="H842" t="s">
        <v>29</v>
      </c>
      <c r="I842" t="s">
        <v>36</v>
      </c>
      <c r="J842" t="s">
        <v>43</v>
      </c>
      <c r="K842" t="s">
        <v>44</v>
      </c>
      <c r="L842" t="s">
        <v>51</v>
      </c>
      <c r="M842" s="7">
        <v>3074</v>
      </c>
      <c r="N842">
        <v>0.04</v>
      </c>
      <c r="O842" s="7">
        <v>3084</v>
      </c>
      <c r="P842">
        <v>7</v>
      </c>
      <c r="Q842" t="s">
        <v>54</v>
      </c>
      <c r="R842" t="s">
        <v>60</v>
      </c>
      <c r="S842">
        <f t="shared" si="65"/>
        <v>2023</v>
      </c>
      <c r="T842" t="str">
        <f t="shared" si="66"/>
        <v>Apr</v>
      </c>
      <c r="U842">
        <f t="shared" si="67"/>
        <v>2</v>
      </c>
      <c r="V842">
        <f t="shared" si="68"/>
        <v>3</v>
      </c>
      <c r="W842" s="9">
        <f t="shared" si="69"/>
        <v>1.003253090435914</v>
      </c>
    </row>
    <row r="843" spans="1:23">
      <c r="A843">
        <v>10842</v>
      </c>
      <c r="B843" s="5">
        <v>45038</v>
      </c>
      <c r="C843" s="5">
        <v>45045</v>
      </c>
      <c r="D843" s="5">
        <v>45050</v>
      </c>
      <c r="E843" t="s">
        <v>19</v>
      </c>
      <c r="F843" t="s">
        <v>22</v>
      </c>
      <c r="G843" t="s">
        <v>24</v>
      </c>
      <c r="H843" t="s">
        <v>32</v>
      </c>
      <c r="I843" t="s">
        <v>36</v>
      </c>
      <c r="J843" t="s">
        <v>40</v>
      </c>
      <c r="K843" t="s">
        <v>48</v>
      </c>
      <c r="L843" t="s">
        <v>52</v>
      </c>
      <c r="M843" s="7">
        <v>18692</v>
      </c>
      <c r="N843">
        <v>0.34</v>
      </c>
      <c r="O843" s="7">
        <v>9411</v>
      </c>
      <c r="P843">
        <v>20</v>
      </c>
      <c r="Q843" t="s">
        <v>58</v>
      </c>
      <c r="R843" t="s">
        <v>62</v>
      </c>
      <c r="S843">
        <f t="shared" si="65"/>
        <v>2023</v>
      </c>
      <c r="T843" t="str">
        <f t="shared" si="66"/>
        <v>Apr</v>
      </c>
      <c r="U843">
        <f t="shared" si="67"/>
        <v>7</v>
      </c>
      <c r="V843">
        <f t="shared" si="68"/>
        <v>12</v>
      </c>
      <c r="W843" s="9">
        <f t="shared" si="69"/>
        <v>0.50347742349668312</v>
      </c>
    </row>
    <row r="844" spans="1:23">
      <c r="A844">
        <v>10843</v>
      </c>
      <c r="B844" s="5">
        <v>45039</v>
      </c>
      <c r="C844" s="5">
        <v>45042</v>
      </c>
      <c r="D844" s="5">
        <v>45044</v>
      </c>
      <c r="E844" t="s">
        <v>19</v>
      </c>
      <c r="F844" t="s">
        <v>22</v>
      </c>
      <c r="G844" t="s">
        <v>24</v>
      </c>
      <c r="H844" t="s">
        <v>33</v>
      </c>
      <c r="I844" t="s">
        <v>34</v>
      </c>
      <c r="J844" t="s">
        <v>37</v>
      </c>
      <c r="K844" t="s">
        <v>50</v>
      </c>
      <c r="L844" t="s">
        <v>52</v>
      </c>
      <c r="M844" s="7">
        <v>46814</v>
      </c>
      <c r="N844">
        <v>7.0000000000000007E-2</v>
      </c>
      <c r="O844" s="7">
        <v>2116</v>
      </c>
      <c r="P844">
        <v>18</v>
      </c>
      <c r="Q844" t="s">
        <v>56</v>
      </c>
      <c r="R844" t="s">
        <v>62</v>
      </c>
      <c r="S844">
        <f t="shared" si="65"/>
        <v>2023</v>
      </c>
      <c r="T844" t="str">
        <f t="shared" si="66"/>
        <v>Apr</v>
      </c>
      <c r="U844">
        <f t="shared" si="67"/>
        <v>3</v>
      </c>
      <c r="V844">
        <f t="shared" si="68"/>
        <v>5</v>
      </c>
      <c r="W844" s="9">
        <f t="shared" si="69"/>
        <v>4.5200153800145255E-2</v>
      </c>
    </row>
    <row r="845" spans="1:23">
      <c r="A845">
        <v>10844</v>
      </c>
      <c r="B845" s="5">
        <v>45040</v>
      </c>
      <c r="C845" s="5">
        <v>45044</v>
      </c>
      <c r="D845" s="5">
        <v>45045</v>
      </c>
      <c r="E845" t="s">
        <v>21</v>
      </c>
      <c r="F845" t="s">
        <v>22</v>
      </c>
      <c r="G845" t="s">
        <v>24</v>
      </c>
      <c r="H845" t="s">
        <v>29</v>
      </c>
      <c r="I845" t="s">
        <v>35</v>
      </c>
      <c r="J845" t="s">
        <v>37</v>
      </c>
      <c r="K845" t="s">
        <v>44</v>
      </c>
      <c r="L845" t="s">
        <v>51</v>
      </c>
      <c r="M845" s="7">
        <v>2876</v>
      </c>
      <c r="N845">
        <v>0.2</v>
      </c>
      <c r="O845" s="7">
        <v>-780</v>
      </c>
      <c r="P845">
        <v>22</v>
      </c>
      <c r="Q845" t="s">
        <v>56</v>
      </c>
      <c r="R845" t="s">
        <v>61</v>
      </c>
      <c r="S845">
        <f t="shared" si="65"/>
        <v>2023</v>
      </c>
      <c r="T845" t="str">
        <f t="shared" si="66"/>
        <v>Apr</v>
      </c>
      <c r="U845">
        <f t="shared" si="67"/>
        <v>4</v>
      </c>
      <c r="V845">
        <f t="shared" si="68"/>
        <v>5</v>
      </c>
      <c r="W845" s="9">
        <f t="shared" si="69"/>
        <v>-0.27121001390820582</v>
      </c>
    </row>
    <row r="846" spans="1:23">
      <c r="A846">
        <v>10845</v>
      </c>
      <c r="B846" s="5">
        <v>45041</v>
      </c>
      <c r="C846" s="5">
        <v>45044</v>
      </c>
      <c r="D846" s="5">
        <v>45047</v>
      </c>
      <c r="E846" t="s">
        <v>20</v>
      </c>
      <c r="F846" t="s">
        <v>22</v>
      </c>
      <c r="G846" t="s">
        <v>27</v>
      </c>
      <c r="H846" t="s">
        <v>31</v>
      </c>
      <c r="I846" t="s">
        <v>34</v>
      </c>
      <c r="J846" t="s">
        <v>42</v>
      </c>
      <c r="K846" t="s">
        <v>44</v>
      </c>
      <c r="L846" t="s">
        <v>53</v>
      </c>
      <c r="M846" s="7">
        <v>21033</v>
      </c>
      <c r="N846">
        <v>0.37</v>
      </c>
      <c r="O846" s="7">
        <v>2455</v>
      </c>
      <c r="P846">
        <v>14</v>
      </c>
      <c r="Q846" t="s">
        <v>56</v>
      </c>
      <c r="R846" t="s">
        <v>60</v>
      </c>
      <c r="S846">
        <f t="shared" si="65"/>
        <v>2023</v>
      </c>
      <c r="T846" t="str">
        <f t="shared" si="66"/>
        <v>Apr</v>
      </c>
      <c r="U846">
        <f t="shared" si="67"/>
        <v>3</v>
      </c>
      <c r="V846">
        <f t="shared" si="68"/>
        <v>6</v>
      </c>
      <c r="W846" s="9">
        <f t="shared" si="69"/>
        <v>0.11672134265202301</v>
      </c>
    </row>
    <row r="847" spans="1:23">
      <c r="A847">
        <v>10846</v>
      </c>
      <c r="B847" s="5">
        <v>45042</v>
      </c>
      <c r="C847" s="5">
        <v>45048</v>
      </c>
      <c r="D847" s="5">
        <v>45050</v>
      </c>
      <c r="E847" t="s">
        <v>20</v>
      </c>
      <c r="F847" t="s">
        <v>22</v>
      </c>
      <c r="G847" t="s">
        <v>28</v>
      </c>
      <c r="H847" t="s">
        <v>33</v>
      </c>
      <c r="I847" t="s">
        <v>36</v>
      </c>
      <c r="J847" t="s">
        <v>41</v>
      </c>
      <c r="K847" t="s">
        <v>49</v>
      </c>
      <c r="L847" t="s">
        <v>51</v>
      </c>
      <c r="M847" s="7">
        <v>40326</v>
      </c>
      <c r="N847">
        <v>0.05</v>
      </c>
      <c r="O847" s="7">
        <v>19037</v>
      </c>
      <c r="P847">
        <v>7</v>
      </c>
      <c r="Q847" t="s">
        <v>56</v>
      </c>
      <c r="R847" t="s">
        <v>59</v>
      </c>
      <c r="S847">
        <f t="shared" si="65"/>
        <v>2023</v>
      </c>
      <c r="T847" t="str">
        <f t="shared" si="66"/>
        <v>Apr</v>
      </c>
      <c r="U847">
        <f t="shared" si="67"/>
        <v>6</v>
      </c>
      <c r="V847">
        <f t="shared" si="68"/>
        <v>8</v>
      </c>
      <c r="W847" s="9">
        <f t="shared" si="69"/>
        <v>0.47207756782224869</v>
      </c>
    </row>
    <row r="848" spans="1:23">
      <c r="A848">
        <v>10847</v>
      </c>
      <c r="B848" s="5">
        <v>45043</v>
      </c>
      <c r="C848" s="5">
        <v>45046</v>
      </c>
      <c r="D848" s="5">
        <v>45048</v>
      </c>
      <c r="E848" t="s">
        <v>20</v>
      </c>
      <c r="F848" t="s">
        <v>22</v>
      </c>
      <c r="G848" t="s">
        <v>26</v>
      </c>
      <c r="H848" t="s">
        <v>29</v>
      </c>
      <c r="I848" t="s">
        <v>35</v>
      </c>
      <c r="J848" t="s">
        <v>37</v>
      </c>
      <c r="K848" t="s">
        <v>48</v>
      </c>
      <c r="L848" t="s">
        <v>53</v>
      </c>
      <c r="M848" s="7">
        <v>50684</v>
      </c>
      <c r="N848">
        <v>0.23</v>
      </c>
      <c r="O848" s="7">
        <v>17410</v>
      </c>
      <c r="P848">
        <v>21</v>
      </c>
      <c r="Q848" t="s">
        <v>54</v>
      </c>
      <c r="R848" t="s">
        <v>61</v>
      </c>
      <c r="S848">
        <f t="shared" si="65"/>
        <v>2023</v>
      </c>
      <c r="T848" t="str">
        <f t="shared" si="66"/>
        <v>Apr</v>
      </c>
      <c r="U848">
        <f t="shared" si="67"/>
        <v>3</v>
      </c>
      <c r="V848">
        <f t="shared" si="68"/>
        <v>5</v>
      </c>
      <c r="W848" s="9">
        <f t="shared" si="69"/>
        <v>0.34350090758424751</v>
      </c>
    </row>
    <row r="849" spans="1:23">
      <c r="A849">
        <v>10848</v>
      </c>
      <c r="B849" s="5">
        <v>45044</v>
      </c>
      <c r="C849" s="5">
        <v>45051</v>
      </c>
      <c r="D849" s="5">
        <v>45053</v>
      </c>
      <c r="E849" t="s">
        <v>19</v>
      </c>
      <c r="F849" t="s">
        <v>22</v>
      </c>
      <c r="G849" t="s">
        <v>23</v>
      </c>
      <c r="H849" t="s">
        <v>31</v>
      </c>
      <c r="I849" t="s">
        <v>34</v>
      </c>
      <c r="J849" t="s">
        <v>41</v>
      </c>
      <c r="K849" t="s">
        <v>50</v>
      </c>
      <c r="L849" t="s">
        <v>51</v>
      </c>
      <c r="M849" s="7">
        <v>46573</v>
      </c>
      <c r="N849">
        <v>0.38</v>
      </c>
      <c r="O849" s="7">
        <v>12697</v>
      </c>
      <c r="P849">
        <v>7</v>
      </c>
      <c r="Q849" t="s">
        <v>56</v>
      </c>
      <c r="R849" t="s">
        <v>61</v>
      </c>
      <c r="S849">
        <f t="shared" si="65"/>
        <v>2023</v>
      </c>
      <c r="T849" t="str">
        <f t="shared" si="66"/>
        <v>Apr</v>
      </c>
      <c r="U849">
        <f t="shared" si="67"/>
        <v>7</v>
      </c>
      <c r="V849">
        <f t="shared" si="68"/>
        <v>9</v>
      </c>
      <c r="W849" s="9">
        <f t="shared" si="69"/>
        <v>0.27262577029609431</v>
      </c>
    </row>
    <row r="850" spans="1:23">
      <c r="A850">
        <v>10849</v>
      </c>
      <c r="B850" s="5">
        <v>45045</v>
      </c>
      <c r="C850" s="5">
        <v>45052</v>
      </c>
      <c r="D850" s="5">
        <v>45054</v>
      </c>
      <c r="E850" t="s">
        <v>20</v>
      </c>
      <c r="F850" t="s">
        <v>22</v>
      </c>
      <c r="G850" t="s">
        <v>28</v>
      </c>
      <c r="H850" t="s">
        <v>25</v>
      </c>
      <c r="I850" t="s">
        <v>36</v>
      </c>
      <c r="J850" t="s">
        <v>43</v>
      </c>
      <c r="K850" t="s">
        <v>48</v>
      </c>
      <c r="L850" t="s">
        <v>53</v>
      </c>
      <c r="M850" s="7">
        <v>16982</v>
      </c>
      <c r="N850">
        <v>0.16</v>
      </c>
      <c r="O850" s="7">
        <v>18498</v>
      </c>
      <c r="P850">
        <v>11</v>
      </c>
      <c r="Q850" t="s">
        <v>57</v>
      </c>
      <c r="R850" t="s">
        <v>59</v>
      </c>
      <c r="S850">
        <f t="shared" si="65"/>
        <v>2023</v>
      </c>
      <c r="T850" t="str">
        <f t="shared" si="66"/>
        <v>Apr</v>
      </c>
      <c r="U850">
        <f t="shared" si="67"/>
        <v>7</v>
      </c>
      <c r="V850">
        <f t="shared" si="68"/>
        <v>9</v>
      </c>
      <c r="W850" s="9">
        <f t="shared" si="69"/>
        <v>1.0892709928159228</v>
      </c>
    </row>
    <row r="851" spans="1:23">
      <c r="A851">
        <v>10850</v>
      </c>
      <c r="B851" s="5">
        <v>45046</v>
      </c>
      <c r="C851" s="5">
        <v>45052</v>
      </c>
      <c r="D851" s="5">
        <v>45055</v>
      </c>
      <c r="E851" t="s">
        <v>21</v>
      </c>
      <c r="F851" t="s">
        <v>22</v>
      </c>
      <c r="G851" t="s">
        <v>23</v>
      </c>
      <c r="H851" t="s">
        <v>32</v>
      </c>
      <c r="I851" t="s">
        <v>35</v>
      </c>
      <c r="J851" t="s">
        <v>40</v>
      </c>
      <c r="K851" t="s">
        <v>44</v>
      </c>
      <c r="L851" t="s">
        <v>51</v>
      </c>
      <c r="M851" s="7">
        <v>61431</v>
      </c>
      <c r="N851">
        <v>0.3</v>
      </c>
      <c r="O851" s="7">
        <v>-1522</v>
      </c>
      <c r="P851">
        <v>24</v>
      </c>
      <c r="Q851" t="s">
        <v>54</v>
      </c>
      <c r="R851" t="s">
        <v>60</v>
      </c>
      <c r="S851">
        <f t="shared" si="65"/>
        <v>2023</v>
      </c>
      <c r="T851" t="str">
        <f t="shared" si="66"/>
        <v>Apr</v>
      </c>
      <c r="U851">
        <f t="shared" si="67"/>
        <v>6</v>
      </c>
      <c r="V851">
        <f t="shared" si="68"/>
        <v>9</v>
      </c>
      <c r="W851" s="9">
        <f t="shared" si="69"/>
        <v>-2.4775764679070826E-2</v>
      </c>
    </row>
    <row r="852" spans="1:23">
      <c r="A852">
        <v>10851</v>
      </c>
      <c r="B852" s="5">
        <v>45047</v>
      </c>
      <c r="C852" s="5">
        <v>45051</v>
      </c>
      <c r="D852" s="5">
        <v>45052</v>
      </c>
      <c r="E852" t="s">
        <v>20</v>
      </c>
      <c r="F852" t="s">
        <v>22</v>
      </c>
      <c r="G852" t="s">
        <v>23</v>
      </c>
      <c r="H852" t="s">
        <v>29</v>
      </c>
      <c r="I852" t="s">
        <v>35</v>
      </c>
      <c r="J852" t="s">
        <v>41</v>
      </c>
      <c r="K852" t="s">
        <v>48</v>
      </c>
      <c r="L852" t="s">
        <v>53</v>
      </c>
      <c r="M852" s="7">
        <v>11231</v>
      </c>
      <c r="N852">
        <v>0.09</v>
      </c>
      <c r="O852" s="7">
        <v>6967</v>
      </c>
      <c r="P852">
        <v>18</v>
      </c>
      <c r="Q852" t="s">
        <v>55</v>
      </c>
      <c r="R852" t="s">
        <v>60</v>
      </c>
      <c r="S852">
        <f t="shared" si="65"/>
        <v>2023</v>
      </c>
      <c r="T852" t="str">
        <f t="shared" si="66"/>
        <v>May</v>
      </c>
      <c r="U852">
        <f t="shared" si="67"/>
        <v>4</v>
      </c>
      <c r="V852">
        <f t="shared" si="68"/>
        <v>5</v>
      </c>
      <c r="W852" s="9">
        <f t="shared" si="69"/>
        <v>0.62033656842667617</v>
      </c>
    </row>
    <row r="853" spans="1:23">
      <c r="A853">
        <v>10852</v>
      </c>
      <c r="B853" s="5">
        <v>45048</v>
      </c>
      <c r="C853" s="5">
        <v>45055</v>
      </c>
      <c r="D853" s="5">
        <v>45058</v>
      </c>
      <c r="E853" t="s">
        <v>20</v>
      </c>
      <c r="F853" t="s">
        <v>22</v>
      </c>
      <c r="G853" t="s">
        <v>26</v>
      </c>
      <c r="H853" t="s">
        <v>31</v>
      </c>
      <c r="I853" t="s">
        <v>35</v>
      </c>
      <c r="J853" t="s">
        <v>43</v>
      </c>
      <c r="K853" t="s">
        <v>50</v>
      </c>
      <c r="L853" t="s">
        <v>52</v>
      </c>
      <c r="M853" s="7">
        <v>41059</v>
      </c>
      <c r="N853">
        <v>0.05</v>
      </c>
      <c r="O853" s="7">
        <v>17444</v>
      </c>
      <c r="P853">
        <v>22</v>
      </c>
      <c r="Q853" t="s">
        <v>55</v>
      </c>
      <c r="R853" t="s">
        <v>59</v>
      </c>
      <c r="S853">
        <f t="shared" si="65"/>
        <v>2023</v>
      </c>
      <c r="T853" t="str">
        <f t="shared" si="66"/>
        <v>May</v>
      </c>
      <c r="U853">
        <f t="shared" si="67"/>
        <v>7</v>
      </c>
      <c r="V853">
        <f t="shared" si="68"/>
        <v>10</v>
      </c>
      <c r="W853" s="9">
        <f t="shared" si="69"/>
        <v>0.42485204218319977</v>
      </c>
    </row>
    <row r="854" spans="1:23">
      <c r="A854">
        <v>10853</v>
      </c>
      <c r="B854" s="5">
        <v>45049</v>
      </c>
      <c r="C854" s="5">
        <v>45052</v>
      </c>
      <c r="D854" s="5">
        <v>45055</v>
      </c>
      <c r="E854" t="s">
        <v>18</v>
      </c>
      <c r="F854" t="s">
        <v>22</v>
      </c>
      <c r="G854" t="s">
        <v>27</v>
      </c>
      <c r="H854" t="s">
        <v>29</v>
      </c>
      <c r="I854" t="s">
        <v>34</v>
      </c>
      <c r="J854" t="s">
        <v>37</v>
      </c>
      <c r="K854" t="s">
        <v>48</v>
      </c>
      <c r="L854" t="s">
        <v>53</v>
      </c>
      <c r="M854" s="7">
        <v>66376</v>
      </c>
      <c r="N854">
        <v>0.04</v>
      </c>
      <c r="O854" s="7">
        <v>14173</v>
      </c>
      <c r="P854">
        <v>19</v>
      </c>
      <c r="Q854" t="s">
        <v>58</v>
      </c>
      <c r="R854" t="s">
        <v>59</v>
      </c>
      <c r="S854">
        <f t="shared" si="65"/>
        <v>2023</v>
      </c>
      <c r="T854" t="str">
        <f t="shared" si="66"/>
        <v>May</v>
      </c>
      <c r="U854">
        <f t="shared" si="67"/>
        <v>3</v>
      </c>
      <c r="V854">
        <f t="shared" si="68"/>
        <v>6</v>
      </c>
      <c r="W854" s="9">
        <f t="shared" si="69"/>
        <v>0.21352597324334097</v>
      </c>
    </row>
    <row r="855" spans="1:23">
      <c r="A855">
        <v>10854</v>
      </c>
      <c r="B855" s="5">
        <v>45050</v>
      </c>
      <c r="C855" s="5">
        <v>45053</v>
      </c>
      <c r="D855" s="5">
        <v>45057</v>
      </c>
      <c r="E855" t="s">
        <v>21</v>
      </c>
      <c r="F855" t="s">
        <v>22</v>
      </c>
      <c r="G855" t="s">
        <v>24</v>
      </c>
      <c r="H855" t="s">
        <v>33</v>
      </c>
      <c r="I855" t="s">
        <v>36</v>
      </c>
      <c r="J855" t="s">
        <v>37</v>
      </c>
      <c r="K855" t="s">
        <v>49</v>
      </c>
      <c r="L855" t="s">
        <v>52</v>
      </c>
      <c r="M855" s="7">
        <v>58702</v>
      </c>
      <c r="N855">
        <v>0.08</v>
      </c>
      <c r="O855" s="7">
        <v>3424</v>
      </c>
      <c r="P855">
        <v>20</v>
      </c>
      <c r="Q855" t="s">
        <v>56</v>
      </c>
      <c r="R855" t="s">
        <v>60</v>
      </c>
      <c r="S855">
        <f t="shared" si="65"/>
        <v>2023</v>
      </c>
      <c r="T855" t="str">
        <f t="shared" si="66"/>
        <v>May</v>
      </c>
      <c r="U855">
        <f t="shared" si="67"/>
        <v>3</v>
      </c>
      <c r="V855">
        <f t="shared" si="68"/>
        <v>7</v>
      </c>
      <c r="W855" s="9">
        <f t="shared" si="69"/>
        <v>5.8328506694831521E-2</v>
      </c>
    </row>
    <row r="856" spans="1:23">
      <c r="A856">
        <v>10855</v>
      </c>
      <c r="B856" s="5">
        <v>45051</v>
      </c>
      <c r="C856" s="5">
        <v>45053</v>
      </c>
      <c r="D856" s="5">
        <v>45055</v>
      </c>
      <c r="E856" t="s">
        <v>20</v>
      </c>
      <c r="F856" t="s">
        <v>22</v>
      </c>
      <c r="G856" t="s">
        <v>23</v>
      </c>
      <c r="H856" t="s">
        <v>25</v>
      </c>
      <c r="I856" t="s">
        <v>36</v>
      </c>
      <c r="J856" t="s">
        <v>40</v>
      </c>
      <c r="K856" t="s">
        <v>47</v>
      </c>
      <c r="L856" t="s">
        <v>53</v>
      </c>
      <c r="M856" s="7">
        <v>33994</v>
      </c>
      <c r="N856">
        <v>0.27</v>
      </c>
      <c r="O856" s="7">
        <v>12648</v>
      </c>
      <c r="P856">
        <v>12</v>
      </c>
      <c r="Q856" t="s">
        <v>55</v>
      </c>
      <c r="R856" t="s">
        <v>59</v>
      </c>
      <c r="S856">
        <f t="shared" si="65"/>
        <v>2023</v>
      </c>
      <c r="T856" t="str">
        <f t="shared" si="66"/>
        <v>May</v>
      </c>
      <c r="U856">
        <f t="shared" si="67"/>
        <v>2</v>
      </c>
      <c r="V856">
        <f t="shared" si="68"/>
        <v>4</v>
      </c>
      <c r="W856" s="9">
        <f t="shared" si="69"/>
        <v>0.37206565864564334</v>
      </c>
    </row>
    <row r="857" spans="1:23">
      <c r="A857">
        <v>10856</v>
      </c>
      <c r="B857" s="5">
        <v>45052</v>
      </c>
      <c r="C857" s="5">
        <v>45055</v>
      </c>
      <c r="D857" s="5">
        <v>45060</v>
      </c>
      <c r="E857" t="s">
        <v>21</v>
      </c>
      <c r="F857" t="s">
        <v>22</v>
      </c>
      <c r="G857" t="s">
        <v>27</v>
      </c>
      <c r="H857" t="s">
        <v>32</v>
      </c>
      <c r="I857" t="s">
        <v>35</v>
      </c>
      <c r="J857" t="s">
        <v>43</v>
      </c>
      <c r="K857" t="s">
        <v>49</v>
      </c>
      <c r="L857" t="s">
        <v>52</v>
      </c>
      <c r="M857" s="7">
        <v>26198</v>
      </c>
      <c r="N857">
        <v>0.22</v>
      </c>
      <c r="O857" s="7">
        <v>19323</v>
      </c>
      <c r="P857">
        <v>18</v>
      </c>
      <c r="Q857" t="s">
        <v>54</v>
      </c>
      <c r="R857" t="s">
        <v>59</v>
      </c>
      <c r="S857">
        <f t="shared" si="65"/>
        <v>2023</v>
      </c>
      <c r="T857" t="str">
        <f t="shared" si="66"/>
        <v>May</v>
      </c>
      <c r="U857">
        <f t="shared" si="67"/>
        <v>3</v>
      </c>
      <c r="V857">
        <f t="shared" si="68"/>
        <v>8</v>
      </c>
      <c r="W857" s="9">
        <f t="shared" si="69"/>
        <v>0.73757538743415529</v>
      </c>
    </row>
    <row r="858" spans="1:23">
      <c r="A858">
        <v>10857</v>
      </c>
      <c r="B858" s="5">
        <v>45053</v>
      </c>
      <c r="C858" s="5">
        <v>45057</v>
      </c>
      <c r="D858" s="5">
        <v>45060</v>
      </c>
      <c r="E858" t="s">
        <v>19</v>
      </c>
      <c r="F858" t="s">
        <v>22</v>
      </c>
      <c r="G858" t="s">
        <v>28</v>
      </c>
      <c r="H858" t="s">
        <v>29</v>
      </c>
      <c r="I858" t="s">
        <v>34</v>
      </c>
      <c r="J858" t="s">
        <v>43</v>
      </c>
      <c r="K858" t="s">
        <v>44</v>
      </c>
      <c r="L858" t="s">
        <v>52</v>
      </c>
      <c r="M858" s="7">
        <v>41696</v>
      </c>
      <c r="N858">
        <v>0.3</v>
      </c>
      <c r="O858" s="7">
        <v>16270</v>
      </c>
      <c r="P858">
        <v>20</v>
      </c>
      <c r="Q858" t="s">
        <v>54</v>
      </c>
      <c r="R858" t="s">
        <v>61</v>
      </c>
      <c r="S858">
        <f t="shared" si="65"/>
        <v>2023</v>
      </c>
      <c r="T858" t="str">
        <f t="shared" si="66"/>
        <v>May</v>
      </c>
      <c r="U858">
        <f t="shared" si="67"/>
        <v>4</v>
      </c>
      <c r="V858">
        <f t="shared" si="68"/>
        <v>7</v>
      </c>
      <c r="W858" s="9">
        <f t="shared" si="69"/>
        <v>0.39020529547198773</v>
      </c>
    </row>
    <row r="859" spans="1:23">
      <c r="A859">
        <v>10858</v>
      </c>
      <c r="B859" s="5">
        <v>45054</v>
      </c>
      <c r="C859" s="5">
        <v>45056</v>
      </c>
      <c r="D859" s="5">
        <v>45061</v>
      </c>
      <c r="E859" t="s">
        <v>21</v>
      </c>
      <c r="F859" t="s">
        <v>22</v>
      </c>
      <c r="G859" t="s">
        <v>25</v>
      </c>
      <c r="H859" t="s">
        <v>29</v>
      </c>
      <c r="I859" t="s">
        <v>35</v>
      </c>
      <c r="J859" t="s">
        <v>37</v>
      </c>
      <c r="K859" t="s">
        <v>49</v>
      </c>
      <c r="L859" t="s">
        <v>52</v>
      </c>
      <c r="M859" s="7">
        <v>33995</v>
      </c>
      <c r="N859">
        <v>0.03</v>
      </c>
      <c r="O859" s="7">
        <v>816</v>
      </c>
      <c r="P859">
        <v>12</v>
      </c>
      <c r="Q859" t="s">
        <v>55</v>
      </c>
      <c r="R859" t="s">
        <v>62</v>
      </c>
      <c r="S859">
        <f t="shared" si="65"/>
        <v>2023</v>
      </c>
      <c r="T859" t="str">
        <f t="shared" si="66"/>
        <v>May</v>
      </c>
      <c r="U859">
        <f t="shared" si="67"/>
        <v>2</v>
      </c>
      <c r="V859">
        <f t="shared" si="68"/>
        <v>7</v>
      </c>
      <c r="W859" s="9">
        <f t="shared" si="69"/>
        <v>2.4003529930872188E-2</v>
      </c>
    </row>
    <row r="860" spans="1:23">
      <c r="A860">
        <v>10859</v>
      </c>
      <c r="B860" s="5">
        <v>45055</v>
      </c>
      <c r="C860" s="5">
        <v>45059</v>
      </c>
      <c r="D860" s="5">
        <v>45060</v>
      </c>
      <c r="E860" t="s">
        <v>20</v>
      </c>
      <c r="F860" t="s">
        <v>22</v>
      </c>
      <c r="G860" t="s">
        <v>28</v>
      </c>
      <c r="H860" t="s">
        <v>32</v>
      </c>
      <c r="I860" t="s">
        <v>34</v>
      </c>
      <c r="J860" t="s">
        <v>38</v>
      </c>
      <c r="K860" t="s">
        <v>44</v>
      </c>
      <c r="L860" t="s">
        <v>52</v>
      </c>
      <c r="M860" s="7">
        <v>2538</v>
      </c>
      <c r="N860">
        <v>0.06</v>
      </c>
      <c r="O860" s="7">
        <v>4201</v>
      </c>
      <c r="P860">
        <v>6</v>
      </c>
      <c r="Q860" t="s">
        <v>54</v>
      </c>
      <c r="R860" t="s">
        <v>60</v>
      </c>
      <c r="S860">
        <f t="shared" si="65"/>
        <v>2023</v>
      </c>
      <c r="T860" t="str">
        <f t="shared" si="66"/>
        <v>May</v>
      </c>
      <c r="U860">
        <f t="shared" si="67"/>
        <v>4</v>
      </c>
      <c r="V860">
        <f t="shared" si="68"/>
        <v>5</v>
      </c>
      <c r="W860" s="9">
        <f t="shared" si="69"/>
        <v>1.6552403467297083</v>
      </c>
    </row>
    <row r="861" spans="1:23">
      <c r="A861">
        <v>10860</v>
      </c>
      <c r="B861" s="5">
        <v>45056</v>
      </c>
      <c r="C861" s="5">
        <v>45062</v>
      </c>
      <c r="D861" s="5">
        <v>45063</v>
      </c>
      <c r="E861" t="s">
        <v>21</v>
      </c>
      <c r="F861" t="s">
        <v>22</v>
      </c>
      <c r="G861" t="s">
        <v>23</v>
      </c>
      <c r="H861" t="s">
        <v>31</v>
      </c>
      <c r="I861" t="s">
        <v>36</v>
      </c>
      <c r="J861" t="s">
        <v>38</v>
      </c>
      <c r="K861" t="s">
        <v>48</v>
      </c>
      <c r="L861" t="s">
        <v>52</v>
      </c>
      <c r="M861" s="7">
        <v>23468</v>
      </c>
      <c r="N861">
        <v>0.05</v>
      </c>
      <c r="O861" s="7">
        <v>3536</v>
      </c>
      <c r="P861">
        <v>16</v>
      </c>
      <c r="Q861" t="s">
        <v>54</v>
      </c>
      <c r="R861" t="s">
        <v>59</v>
      </c>
      <c r="S861">
        <f t="shared" si="65"/>
        <v>2023</v>
      </c>
      <c r="T861" t="str">
        <f t="shared" si="66"/>
        <v>May</v>
      </c>
      <c r="U861">
        <f t="shared" si="67"/>
        <v>6</v>
      </c>
      <c r="V861">
        <f t="shared" si="68"/>
        <v>7</v>
      </c>
      <c r="W861" s="9">
        <f t="shared" si="69"/>
        <v>0.15067325720129537</v>
      </c>
    </row>
    <row r="862" spans="1:23">
      <c r="A862">
        <v>10861</v>
      </c>
      <c r="B862" s="5">
        <v>45057</v>
      </c>
      <c r="C862" s="5">
        <v>45064</v>
      </c>
      <c r="D862" s="5">
        <v>45065</v>
      </c>
      <c r="E862" t="s">
        <v>18</v>
      </c>
      <c r="F862" t="s">
        <v>22</v>
      </c>
      <c r="G862" t="s">
        <v>24</v>
      </c>
      <c r="H862" t="s">
        <v>33</v>
      </c>
      <c r="I862" t="s">
        <v>34</v>
      </c>
      <c r="J862" t="s">
        <v>38</v>
      </c>
      <c r="K862" t="s">
        <v>44</v>
      </c>
      <c r="L862" t="s">
        <v>51</v>
      </c>
      <c r="M862" s="7">
        <v>18001</v>
      </c>
      <c r="N862">
        <v>0.25</v>
      </c>
      <c r="O862" s="7">
        <v>2626</v>
      </c>
      <c r="P862">
        <v>4</v>
      </c>
      <c r="Q862" t="s">
        <v>56</v>
      </c>
      <c r="R862" t="s">
        <v>62</v>
      </c>
      <c r="S862">
        <f t="shared" si="65"/>
        <v>2023</v>
      </c>
      <c r="T862" t="str">
        <f t="shared" si="66"/>
        <v>May</v>
      </c>
      <c r="U862">
        <f t="shared" si="67"/>
        <v>7</v>
      </c>
      <c r="V862">
        <f t="shared" si="68"/>
        <v>8</v>
      </c>
      <c r="W862" s="9">
        <f t="shared" si="69"/>
        <v>0.14588078440086663</v>
      </c>
    </row>
    <row r="863" spans="1:23">
      <c r="A863">
        <v>10862</v>
      </c>
      <c r="B863" s="5">
        <v>45058</v>
      </c>
      <c r="C863" s="5">
        <v>45060</v>
      </c>
      <c r="D863" s="5">
        <v>45062</v>
      </c>
      <c r="E863" t="s">
        <v>20</v>
      </c>
      <c r="F863" t="s">
        <v>22</v>
      </c>
      <c r="G863" t="s">
        <v>23</v>
      </c>
      <c r="H863" t="s">
        <v>25</v>
      </c>
      <c r="I863" t="s">
        <v>35</v>
      </c>
      <c r="J863" t="s">
        <v>37</v>
      </c>
      <c r="K863" t="s">
        <v>48</v>
      </c>
      <c r="L863" t="s">
        <v>53</v>
      </c>
      <c r="M863" s="7">
        <v>51221</v>
      </c>
      <c r="N863">
        <v>0.13</v>
      </c>
      <c r="O863" s="7">
        <v>-814</v>
      </c>
      <c r="P863">
        <v>21</v>
      </c>
      <c r="Q863" t="s">
        <v>55</v>
      </c>
      <c r="R863" t="s">
        <v>61</v>
      </c>
      <c r="S863">
        <f t="shared" si="65"/>
        <v>2023</v>
      </c>
      <c r="T863" t="str">
        <f t="shared" si="66"/>
        <v>May</v>
      </c>
      <c r="U863">
        <f t="shared" si="67"/>
        <v>2</v>
      </c>
      <c r="V863">
        <f t="shared" si="68"/>
        <v>4</v>
      </c>
      <c r="W863" s="9">
        <f t="shared" si="69"/>
        <v>-1.5891919329962319E-2</v>
      </c>
    </row>
    <row r="864" spans="1:23">
      <c r="A864">
        <v>10863</v>
      </c>
      <c r="B864" s="5">
        <v>45059</v>
      </c>
      <c r="C864" s="5">
        <v>45063</v>
      </c>
      <c r="D864" s="5">
        <v>45068</v>
      </c>
      <c r="E864" t="s">
        <v>21</v>
      </c>
      <c r="F864" t="s">
        <v>22</v>
      </c>
      <c r="G864" t="s">
        <v>24</v>
      </c>
      <c r="H864" t="s">
        <v>29</v>
      </c>
      <c r="I864" t="s">
        <v>36</v>
      </c>
      <c r="J864" t="s">
        <v>38</v>
      </c>
      <c r="K864" t="s">
        <v>50</v>
      </c>
      <c r="L864" t="s">
        <v>52</v>
      </c>
      <c r="M864" s="7">
        <v>71419</v>
      </c>
      <c r="N864">
        <v>0.1</v>
      </c>
      <c r="O864" s="7">
        <v>1815</v>
      </c>
      <c r="P864">
        <v>2</v>
      </c>
      <c r="Q864" t="s">
        <v>55</v>
      </c>
      <c r="R864" t="s">
        <v>59</v>
      </c>
      <c r="S864">
        <f t="shared" si="65"/>
        <v>2023</v>
      </c>
      <c r="T864" t="str">
        <f t="shared" si="66"/>
        <v>May</v>
      </c>
      <c r="U864">
        <f t="shared" si="67"/>
        <v>4</v>
      </c>
      <c r="V864">
        <f t="shared" si="68"/>
        <v>9</v>
      </c>
      <c r="W864" s="9">
        <f t="shared" si="69"/>
        <v>2.5413405396323106E-2</v>
      </c>
    </row>
    <row r="865" spans="1:23">
      <c r="A865">
        <v>10864</v>
      </c>
      <c r="B865" s="5">
        <v>45060</v>
      </c>
      <c r="C865" s="5">
        <v>45065</v>
      </c>
      <c r="D865" s="5">
        <v>45069</v>
      </c>
      <c r="E865" t="s">
        <v>19</v>
      </c>
      <c r="F865" t="s">
        <v>22</v>
      </c>
      <c r="G865" t="s">
        <v>27</v>
      </c>
      <c r="H865" t="s">
        <v>31</v>
      </c>
      <c r="I865" t="s">
        <v>35</v>
      </c>
      <c r="J865" t="s">
        <v>42</v>
      </c>
      <c r="K865" t="s">
        <v>48</v>
      </c>
      <c r="L865" t="s">
        <v>52</v>
      </c>
      <c r="M865" s="7">
        <v>46758</v>
      </c>
      <c r="N865">
        <v>0.12</v>
      </c>
      <c r="O865" s="7">
        <v>13894</v>
      </c>
      <c r="P865">
        <v>20</v>
      </c>
      <c r="Q865" t="s">
        <v>56</v>
      </c>
      <c r="R865" t="s">
        <v>59</v>
      </c>
      <c r="S865">
        <f t="shared" si="65"/>
        <v>2023</v>
      </c>
      <c r="T865" t="str">
        <f t="shared" si="66"/>
        <v>May</v>
      </c>
      <c r="U865">
        <f t="shared" si="67"/>
        <v>5</v>
      </c>
      <c r="V865">
        <f t="shared" si="68"/>
        <v>9</v>
      </c>
      <c r="W865" s="9">
        <f t="shared" si="69"/>
        <v>0.29714701227597418</v>
      </c>
    </row>
    <row r="866" spans="1:23">
      <c r="A866">
        <v>10865</v>
      </c>
      <c r="B866" s="5">
        <v>45061</v>
      </c>
      <c r="C866" s="5">
        <v>45065</v>
      </c>
      <c r="D866" s="5">
        <v>45070</v>
      </c>
      <c r="E866" t="s">
        <v>18</v>
      </c>
      <c r="F866" t="s">
        <v>22</v>
      </c>
      <c r="G866" t="s">
        <v>24</v>
      </c>
      <c r="H866" t="s">
        <v>25</v>
      </c>
      <c r="I866" t="s">
        <v>35</v>
      </c>
      <c r="J866" t="s">
        <v>39</v>
      </c>
      <c r="K866" t="s">
        <v>45</v>
      </c>
      <c r="L866" t="s">
        <v>52</v>
      </c>
      <c r="M866" s="7">
        <v>13721</v>
      </c>
      <c r="N866">
        <v>0.22</v>
      </c>
      <c r="O866" s="7">
        <v>6199</v>
      </c>
      <c r="P866">
        <v>5</v>
      </c>
      <c r="Q866" t="s">
        <v>58</v>
      </c>
      <c r="R866" t="s">
        <v>61</v>
      </c>
      <c r="S866">
        <f t="shared" si="65"/>
        <v>2023</v>
      </c>
      <c r="T866" t="str">
        <f t="shared" si="66"/>
        <v>May</v>
      </c>
      <c r="U866">
        <f t="shared" si="67"/>
        <v>4</v>
      </c>
      <c r="V866">
        <f t="shared" si="68"/>
        <v>9</v>
      </c>
      <c r="W866" s="9">
        <f t="shared" si="69"/>
        <v>0.45178922819036516</v>
      </c>
    </row>
    <row r="867" spans="1:23">
      <c r="A867">
        <v>10866</v>
      </c>
      <c r="B867" s="5">
        <v>45062</v>
      </c>
      <c r="C867" s="5">
        <v>45069</v>
      </c>
      <c r="D867" s="5">
        <v>45071</v>
      </c>
      <c r="E867" t="s">
        <v>21</v>
      </c>
      <c r="F867" t="s">
        <v>22</v>
      </c>
      <c r="G867" t="s">
        <v>26</v>
      </c>
      <c r="H867" t="s">
        <v>29</v>
      </c>
      <c r="I867" t="s">
        <v>35</v>
      </c>
      <c r="J867" t="s">
        <v>37</v>
      </c>
      <c r="K867" t="s">
        <v>47</v>
      </c>
      <c r="L867" t="s">
        <v>52</v>
      </c>
      <c r="M867" s="7">
        <v>50179</v>
      </c>
      <c r="N867">
        <v>0.12</v>
      </c>
      <c r="O867" s="7">
        <v>-1906</v>
      </c>
      <c r="P867">
        <v>10</v>
      </c>
      <c r="Q867" t="s">
        <v>58</v>
      </c>
      <c r="R867" t="s">
        <v>62</v>
      </c>
      <c r="S867">
        <f t="shared" si="65"/>
        <v>2023</v>
      </c>
      <c r="T867" t="str">
        <f t="shared" si="66"/>
        <v>May</v>
      </c>
      <c r="U867">
        <f t="shared" si="67"/>
        <v>7</v>
      </c>
      <c r="V867">
        <f t="shared" si="68"/>
        <v>9</v>
      </c>
      <c r="W867" s="9">
        <f t="shared" si="69"/>
        <v>-3.7984017218358278E-2</v>
      </c>
    </row>
    <row r="868" spans="1:23">
      <c r="A868">
        <v>10867</v>
      </c>
      <c r="B868" s="5">
        <v>45063</v>
      </c>
      <c r="C868" s="5">
        <v>45067</v>
      </c>
      <c r="D868" s="5">
        <v>45068</v>
      </c>
      <c r="E868" t="s">
        <v>20</v>
      </c>
      <c r="F868" t="s">
        <v>22</v>
      </c>
      <c r="G868" t="s">
        <v>28</v>
      </c>
      <c r="H868" t="s">
        <v>31</v>
      </c>
      <c r="I868" t="s">
        <v>34</v>
      </c>
      <c r="J868" t="s">
        <v>42</v>
      </c>
      <c r="K868" t="s">
        <v>46</v>
      </c>
      <c r="L868" t="s">
        <v>52</v>
      </c>
      <c r="M868" s="7">
        <v>48637</v>
      </c>
      <c r="N868">
        <v>0.28999999999999998</v>
      </c>
      <c r="O868" s="7">
        <v>4980</v>
      </c>
      <c r="P868">
        <v>17</v>
      </c>
      <c r="Q868" t="s">
        <v>57</v>
      </c>
      <c r="R868" t="s">
        <v>59</v>
      </c>
      <c r="S868">
        <f t="shared" si="65"/>
        <v>2023</v>
      </c>
      <c r="T868" t="str">
        <f t="shared" si="66"/>
        <v>May</v>
      </c>
      <c r="U868">
        <f t="shared" si="67"/>
        <v>4</v>
      </c>
      <c r="V868">
        <f t="shared" si="68"/>
        <v>5</v>
      </c>
      <c r="W868" s="9">
        <f t="shared" si="69"/>
        <v>0.10239118366675576</v>
      </c>
    </row>
    <row r="869" spans="1:23">
      <c r="A869">
        <v>10868</v>
      </c>
      <c r="B869" s="5">
        <v>45064</v>
      </c>
      <c r="C869" s="5">
        <v>45067</v>
      </c>
      <c r="D869" s="5">
        <v>45069</v>
      </c>
      <c r="E869" t="s">
        <v>20</v>
      </c>
      <c r="F869" t="s">
        <v>22</v>
      </c>
      <c r="G869" t="s">
        <v>27</v>
      </c>
      <c r="H869" t="s">
        <v>25</v>
      </c>
      <c r="I869" t="s">
        <v>36</v>
      </c>
      <c r="J869" t="s">
        <v>37</v>
      </c>
      <c r="K869" t="s">
        <v>48</v>
      </c>
      <c r="L869" t="s">
        <v>53</v>
      </c>
      <c r="M869" s="7">
        <v>64363</v>
      </c>
      <c r="N869">
        <v>0.11</v>
      </c>
      <c r="O869" s="7">
        <v>15571</v>
      </c>
      <c r="P869">
        <v>9</v>
      </c>
      <c r="Q869" t="s">
        <v>56</v>
      </c>
      <c r="R869" t="s">
        <v>61</v>
      </c>
      <c r="S869">
        <f t="shared" si="65"/>
        <v>2023</v>
      </c>
      <c r="T869" t="str">
        <f t="shared" si="66"/>
        <v>May</v>
      </c>
      <c r="U869">
        <f t="shared" si="67"/>
        <v>3</v>
      </c>
      <c r="V869">
        <f t="shared" si="68"/>
        <v>5</v>
      </c>
      <c r="W869" s="9">
        <f t="shared" si="69"/>
        <v>0.24192470829513851</v>
      </c>
    </row>
    <row r="870" spans="1:23">
      <c r="A870">
        <v>10869</v>
      </c>
      <c r="B870" s="5">
        <v>45065</v>
      </c>
      <c r="C870" s="5">
        <v>45068</v>
      </c>
      <c r="D870" s="5">
        <v>45069</v>
      </c>
      <c r="E870" t="s">
        <v>20</v>
      </c>
      <c r="F870" t="s">
        <v>22</v>
      </c>
      <c r="G870" t="s">
        <v>28</v>
      </c>
      <c r="H870" t="s">
        <v>30</v>
      </c>
      <c r="I870" t="s">
        <v>36</v>
      </c>
      <c r="J870" t="s">
        <v>40</v>
      </c>
      <c r="K870" t="s">
        <v>49</v>
      </c>
      <c r="L870" t="s">
        <v>51</v>
      </c>
      <c r="M870" s="7">
        <v>3983</v>
      </c>
      <c r="N870">
        <v>0.03</v>
      </c>
      <c r="O870" s="7">
        <v>18956</v>
      </c>
      <c r="P870">
        <v>2</v>
      </c>
      <c r="Q870" t="s">
        <v>57</v>
      </c>
      <c r="R870" t="s">
        <v>61</v>
      </c>
      <c r="S870">
        <f t="shared" si="65"/>
        <v>2023</v>
      </c>
      <c r="T870" t="str">
        <f t="shared" si="66"/>
        <v>May</v>
      </c>
      <c r="U870">
        <f t="shared" si="67"/>
        <v>3</v>
      </c>
      <c r="V870">
        <f t="shared" si="68"/>
        <v>4</v>
      </c>
      <c r="W870" s="9">
        <f t="shared" si="69"/>
        <v>4.759226713532513</v>
      </c>
    </row>
    <row r="871" spans="1:23">
      <c r="A871">
        <v>10870</v>
      </c>
      <c r="B871" s="5">
        <v>45066</v>
      </c>
      <c r="C871" s="5">
        <v>45068</v>
      </c>
      <c r="D871" s="5">
        <v>45070</v>
      </c>
      <c r="E871" t="s">
        <v>19</v>
      </c>
      <c r="F871" t="s">
        <v>22</v>
      </c>
      <c r="G871" t="s">
        <v>23</v>
      </c>
      <c r="H871" t="s">
        <v>25</v>
      </c>
      <c r="I871" t="s">
        <v>35</v>
      </c>
      <c r="J871" t="s">
        <v>39</v>
      </c>
      <c r="K871" t="s">
        <v>48</v>
      </c>
      <c r="L871" t="s">
        <v>51</v>
      </c>
      <c r="M871" s="7">
        <v>73024</v>
      </c>
      <c r="N871">
        <v>0.32</v>
      </c>
      <c r="O871" s="7">
        <v>8875</v>
      </c>
      <c r="P871">
        <v>9</v>
      </c>
      <c r="Q871" t="s">
        <v>54</v>
      </c>
      <c r="R871" t="s">
        <v>61</v>
      </c>
      <c r="S871">
        <f t="shared" si="65"/>
        <v>2023</v>
      </c>
      <c r="T871" t="str">
        <f t="shared" si="66"/>
        <v>May</v>
      </c>
      <c r="U871">
        <f t="shared" si="67"/>
        <v>2</v>
      </c>
      <c r="V871">
        <f t="shared" si="68"/>
        <v>4</v>
      </c>
      <c r="W871" s="9">
        <f t="shared" si="69"/>
        <v>0.12153538562664329</v>
      </c>
    </row>
    <row r="872" spans="1:23">
      <c r="A872">
        <v>10871</v>
      </c>
      <c r="B872" s="5">
        <v>45067</v>
      </c>
      <c r="C872" s="5">
        <v>45072</v>
      </c>
      <c r="D872" s="5">
        <v>45077</v>
      </c>
      <c r="E872" t="s">
        <v>19</v>
      </c>
      <c r="F872" t="s">
        <v>22</v>
      </c>
      <c r="G872" t="s">
        <v>23</v>
      </c>
      <c r="H872" t="s">
        <v>30</v>
      </c>
      <c r="I872" t="s">
        <v>34</v>
      </c>
      <c r="J872" t="s">
        <v>41</v>
      </c>
      <c r="K872" t="s">
        <v>49</v>
      </c>
      <c r="L872" t="s">
        <v>53</v>
      </c>
      <c r="M872" s="7">
        <v>56748</v>
      </c>
      <c r="N872">
        <v>0.04</v>
      </c>
      <c r="O872" s="7">
        <v>6531</v>
      </c>
      <c r="P872">
        <v>4</v>
      </c>
      <c r="Q872" t="s">
        <v>56</v>
      </c>
      <c r="R872" t="s">
        <v>61</v>
      </c>
      <c r="S872">
        <f t="shared" si="65"/>
        <v>2023</v>
      </c>
      <c r="T872" t="str">
        <f t="shared" si="66"/>
        <v>May</v>
      </c>
      <c r="U872">
        <f t="shared" si="67"/>
        <v>5</v>
      </c>
      <c r="V872">
        <f t="shared" si="68"/>
        <v>10</v>
      </c>
      <c r="W872" s="9">
        <f t="shared" si="69"/>
        <v>0.1150877563967012</v>
      </c>
    </row>
    <row r="873" spans="1:23">
      <c r="A873">
        <v>10872</v>
      </c>
      <c r="B873" s="5">
        <v>45068</v>
      </c>
      <c r="C873" s="5">
        <v>45073</v>
      </c>
      <c r="D873" s="5">
        <v>45078</v>
      </c>
      <c r="E873" t="s">
        <v>18</v>
      </c>
      <c r="F873" t="s">
        <v>22</v>
      </c>
      <c r="G873" t="s">
        <v>25</v>
      </c>
      <c r="H873" t="s">
        <v>32</v>
      </c>
      <c r="I873" t="s">
        <v>36</v>
      </c>
      <c r="J873" t="s">
        <v>40</v>
      </c>
      <c r="K873" t="s">
        <v>45</v>
      </c>
      <c r="L873" t="s">
        <v>51</v>
      </c>
      <c r="M873" s="7">
        <v>55372</v>
      </c>
      <c r="N873">
        <v>0.04</v>
      </c>
      <c r="O873" s="7">
        <v>8461</v>
      </c>
      <c r="P873">
        <v>14</v>
      </c>
      <c r="Q873" t="s">
        <v>55</v>
      </c>
      <c r="R873" t="s">
        <v>60</v>
      </c>
      <c r="S873">
        <f t="shared" si="65"/>
        <v>2023</v>
      </c>
      <c r="T873" t="str">
        <f t="shared" si="66"/>
        <v>May</v>
      </c>
      <c r="U873">
        <f t="shared" si="67"/>
        <v>5</v>
      </c>
      <c r="V873">
        <f t="shared" si="68"/>
        <v>10</v>
      </c>
      <c r="W873" s="9">
        <f t="shared" si="69"/>
        <v>0.15280286065159288</v>
      </c>
    </row>
    <row r="874" spans="1:23">
      <c r="A874">
        <v>10873</v>
      </c>
      <c r="B874" s="5">
        <v>45069</v>
      </c>
      <c r="C874" s="5">
        <v>45075</v>
      </c>
      <c r="D874" s="5">
        <v>45080</v>
      </c>
      <c r="E874" t="s">
        <v>18</v>
      </c>
      <c r="F874" t="s">
        <v>22</v>
      </c>
      <c r="G874" t="s">
        <v>27</v>
      </c>
      <c r="H874" t="s">
        <v>29</v>
      </c>
      <c r="I874" t="s">
        <v>36</v>
      </c>
      <c r="J874" t="s">
        <v>38</v>
      </c>
      <c r="K874" t="s">
        <v>48</v>
      </c>
      <c r="L874" t="s">
        <v>51</v>
      </c>
      <c r="M874" s="7">
        <v>40989</v>
      </c>
      <c r="N874">
        <v>0.06</v>
      </c>
      <c r="O874" s="7">
        <v>7747</v>
      </c>
      <c r="P874">
        <v>10</v>
      </c>
      <c r="Q874" t="s">
        <v>56</v>
      </c>
      <c r="R874" t="s">
        <v>62</v>
      </c>
      <c r="S874">
        <f t="shared" si="65"/>
        <v>2023</v>
      </c>
      <c r="T874" t="str">
        <f t="shared" si="66"/>
        <v>May</v>
      </c>
      <c r="U874">
        <f t="shared" si="67"/>
        <v>6</v>
      </c>
      <c r="V874">
        <f t="shared" si="68"/>
        <v>11</v>
      </c>
      <c r="W874" s="9">
        <f t="shared" si="69"/>
        <v>0.18900192734636123</v>
      </c>
    </row>
    <row r="875" spans="1:23">
      <c r="A875">
        <v>10874</v>
      </c>
      <c r="B875" s="5">
        <v>45070</v>
      </c>
      <c r="C875" s="5">
        <v>45077</v>
      </c>
      <c r="D875" s="5">
        <v>45082</v>
      </c>
      <c r="E875" t="s">
        <v>19</v>
      </c>
      <c r="F875" t="s">
        <v>22</v>
      </c>
      <c r="G875" t="s">
        <v>24</v>
      </c>
      <c r="H875" t="s">
        <v>25</v>
      </c>
      <c r="I875" t="s">
        <v>34</v>
      </c>
      <c r="J875" t="s">
        <v>39</v>
      </c>
      <c r="K875" t="s">
        <v>48</v>
      </c>
      <c r="L875" t="s">
        <v>52</v>
      </c>
      <c r="M875" s="7">
        <v>70977</v>
      </c>
      <c r="N875">
        <v>0.08</v>
      </c>
      <c r="O875" s="7">
        <v>-523</v>
      </c>
      <c r="P875">
        <v>20</v>
      </c>
      <c r="Q875" t="s">
        <v>55</v>
      </c>
      <c r="R875" t="s">
        <v>59</v>
      </c>
      <c r="S875">
        <f t="shared" si="65"/>
        <v>2023</v>
      </c>
      <c r="T875" t="str">
        <f t="shared" si="66"/>
        <v>May</v>
      </c>
      <c r="U875">
        <f t="shared" si="67"/>
        <v>7</v>
      </c>
      <c r="V875">
        <f t="shared" si="68"/>
        <v>12</v>
      </c>
      <c r="W875" s="9">
        <f t="shared" si="69"/>
        <v>-7.3685841892444032E-3</v>
      </c>
    </row>
    <row r="876" spans="1:23">
      <c r="A876">
        <v>10875</v>
      </c>
      <c r="B876" s="5">
        <v>45071</v>
      </c>
      <c r="C876" s="5">
        <v>45078</v>
      </c>
      <c r="D876" s="5">
        <v>45082</v>
      </c>
      <c r="E876" t="s">
        <v>20</v>
      </c>
      <c r="F876" t="s">
        <v>22</v>
      </c>
      <c r="G876" t="s">
        <v>26</v>
      </c>
      <c r="H876" t="s">
        <v>32</v>
      </c>
      <c r="I876" t="s">
        <v>36</v>
      </c>
      <c r="J876" t="s">
        <v>43</v>
      </c>
      <c r="K876" t="s">
        <v>47</v>
      </c>
      <c r="L876" t="s">
        <v>52</v>
      </c>
      <c r="M876" s="7">
        <v>20461</v>
      </c>
      <c r="N876">
        <v>0.3</v>
      </c>
      <c r="O876" s="7">
        <v>2569</v>
      </c>
      <c r="P876">
        <v>21</v>
      </c>
      <c r="Q876" t="s">
        <v>57</v>
      </c>
      <c r="R876" t="s">
        <v>61</v>
      </c>
      <c r="S876">
        <f t="shared" si="65"/>
        <v>2023</v>
      </c>
      <c r="T876" t="str">
        <f t="shared" si="66"/>
        <v>May</v>
      </c>
      <c r="U876">
        <f t="shared" si="67"/>
        <v>7</v>
      </c>
      <c r="V876">
        <f t="shared" si="68"/>
        <v>11</v>
      </c>
      <c r="W876" s="9">
        <f t="shared" si="69"/>
        <v>0.12555593568251797</v>
      </c>
    </row>
    <row r="877" spans="1:23">
      <c r="A877">
        <v>10876</v>
      </c>
      <c r="B877" s="5">
        <v>45072</v>
      </c>
      <c r="C877" s="5">
        <v>45078</v>
      </c>
      <c r="D877" s="5">
        <v>45083</v>
      </c>
      <c r="E877" t="s">
        <v>19</v>
      </c>
      <c r="F877" t="s">
        <v>22</v>
      </c>
      <c r="G877" t="s">
        <v>24</v>
      </c>
      <c r="H877" t="s">
        <v>32</v>
      </c>
      <c r="I877" t="s">
        <v>36</v>
      </c>
      <c r="J877" t="s">
        <v>39</v>
      </c>
      <c r="K877" t="s">
        <v>47</v>
      </c>
      <c r="L877" t="s">
        <v>53</v>
      </c>
      <c r="M877" s="7">
        <v>46889</v>
      </c>
      <c r="N877">
        <v>0.34</v>
      </c>
      <c r="O877" s="7">
        <v>19577</v>
      </c>
      <c r="P877">
        <v>24</v>
      </c>
      <c r="Q877" t="s">
        <v>56</v>
      </c>
      <c r="R877" t="s">
        <v>60</v>
      </c>
      <c r="S877">
        <f t="shared" si="65"/>
        <v>2023</v>
      </c>
      <c r="T877" t="str">
        <f t="shared" si="66"/>
        <v>May</v>
      </c>
      <c r="U877">
        <f t="shared" si="67"/>
        <v>6</v>
      </c>
      <c r="V877">
        <f t="shared" si="68"/>
        <v>11</v>
      </c>
      <c r="W877" s="9">
        <f t="shared" si="69"/>
        <v>0.41751796796690055</v>
      </c>
    </row>
    <row r="878" spans="1:23">
      <c r="A878">
        <v>10877</v>
      </c>
      <c r="B878" s="5">
        <v>45073</v>
      </c>
      <c r="C878" s="5">
        <v>45079</v>
      </c>
      <c r="D878" s="5">
        <v>45084</v>
      </c>
      <c r="E878" t="s">
        <v>19</v>
      </c>
      <c r="F878" t="s">
        <v>22</v>
      </c>
      <c r="G878" t="s">
        <v>25</v>
      </c>
      <c r="H878" t="s">
        <v>25</v>
      </c>
      <c r="I878" t="s">
        <v>36</v>
      </c>
      <c r="J878" t="s">
        <v>42</v>
      </c>
      <c r="K878" t="s">
        <v>46</v>
      </c>
      <c r="L878" t="s">
        <v>51</v>
      </c>
      <c r="M878" s="7">
        <v>49344</v>
      </c>
      <c r="N878">
        <v>0.33</v>
      </c>
      <c r="O878" s="7">
        <v>5354</v>
      </c>
      <c r="P878">
        <v>15</v>
      </c>
      <c r="Q878" t="s">
        <v>55</v>
      </c>
      <c r="R878" t="s">
        <v>61</v>
      </c>
      <c r="S878">
        <f t="shared" si="65"/>
        <v>2023</v>
      </c>
      <c r="T878" t="str">
        <f t="shared" si="66"/>
        <v>May</v>
      </c>
      <c r="U878">
        <f t="shared" si="67"/>
        <v>6</v>
      </c>
      <c r="V878">
        <f t="shared" si="68"/>
        <v>11</v>
      </c>
      <c r="W878" s="9">
        <f t="shared" si="69"/>
        <v>0.10850356679636836</v>
      </c>
    </row>
    <row r="879" spans="1:23">
      <c r="A879">
        <v>10878</v>
      </c>
      <c r="B879" s="5">
        <v>45074</v>
      </c>
      <c r="C879" s="5">
        <v>45078</v>
      </c>
      <c r="D879" s="5">
        <v>45080</v>
      </c>
      <c r="E879" t="s">
        <v>19</v>
      </c>
      <c r="F879" t="s">
        <v>22</v>
      </c>
      <c r="G879" t="s">
        <v>25</v>
      </c>
      <c r="H879" t="s">
        <v>30</v>
      </c>
      <c r="I879" t="s">
        <v>35</v>
      </c>
      <c r="J879" t="s">
        <v>42</v>
      </c>
      <c r="K879" t="s">
        <v>46</v>
      </c>
      <c r="L879" t="s">
        <v>52</v>
      </c>
      <c r="M879" s="7">
        <v>74411</v>
      </c>
      <c r="N879">
        <v>7.0000000000000007E-2</v>
      </c>
      <c r="O879" s="7">
        <v>6779</v>
      </c>
      <c r="P879">
        <v>10</v>
      </c>
      <c r="Q879" t="s">
        <v>58</v>
      </c>
      <c r="R879" t="s">
        <v>60</v>
      </c>
      <c r="S879">
        <f t="shared" si="65"/>
        <v>2023</v>
      </c>
      <c r="T879" t="str">
        <f t="shared" si="66"/>
        <v>May</v>
      </c>
      <c r="U879">
        <f t="shared" si="67"/>
        <v>4</v>
      </c>
      <c r="V879">
        <f t="shared" si="68"/>
        <v>6</v>
      </c>
      <c r="W879" s="9">
        <f t="shared" si="69"/>
        <v>9.1102121998091687E-2</v>
      </c>
    </row>
    <row r="880" spans="1:23">
      <c r="A880">
        <v>10879</v>
      </c>
      <c r="B880" s="5">
        <v>45075</v>
      </c>
      <c r="C880" s="5">
        <v>45081</v>
      </c>
      <c r="D880" s="5">
        <v>45082</v>
      </c>
      <c r="E880" t="s">
        <v>20</v>
      </c>
      <c r="F880" t="s">
        <v>22</v>
      </c>
      <c r="G880" t="s">
        <v>25</v>
      </c>
      <c r="H880" t="s">
        <v>30</v>
      </c>
      <c r="I880" t="s">
        <v>36</v>
      </c>
      <c r="J880" t="s">
        <v>43</v>
      </c>
      <c r="K880" t="s">
        <v>45</v>
      </c>
      <c r="L880" t="s">
        <v>51</v>
      </c>
      <c r="M880" s="7">
        <v>20976</v>
      </c>
      <c r="N880">
        <v>0.23</v>
      </c>
      <c r="O880" s="7">
        <v>2255</v>
      </c>
      <c r="P880">
        <v>10</v>
      </c>
      <c r="Q880" t="s">
        <v>57</v>
      </c>
      <c r="R880" t="s">
        <v>61</v>
      </c>
      <c r="S880">
        <f t="shared" si="65"/>
        <v>2023</v>
      </c>
      <c r="T880" t="str">
        <f t="shared" si="66"/>
        <v>May</v>
      </c>
      <c r="U880">
        <f t="shared" si="67"/>
        <v>6</v>
      </c>
      <c r="V880">
        <f t="shared" si="68"/>
        <v>7</v>
      </c>
      <c r="W880" s="9">
        <f t="shared" si="69"/>
        <v>0.10750381388253241</v>
      </c>
    </row>
    <row r="881" spans="1:23">
      <c r="A881">
        <v>10880</v>
      </c>
      <c r="B881" s="5">
        <v>45076</v>
      </c>
      <c r="C881" s="5">
        <v>45080</v>
      </c>
      <c r="D881" s="5">
        <v>45085</v>
      </c>
      <c r="E881" t="s">
        <v>21</v>
      </c>
      <c r="F881" t="s">
        <v>22</v>
      </c>
      <c r="G881" t="s">
        <v>26</v>
      </c>
      <c r="H881" t="s">
        <v>25</v>
      </c>
      <c r="I881" t="s">
        <v>36</v>
      </c>
      <c r="J881" t="s">
        <v>40</v>
      </c>
      <c r="K881" t="s">
        <v>49</v>
      </c>
      <c r="L881" t="s">
        <v>51</v>
      </c>
      <c r="M881" s="7">
        <v>42762</v>
      </c>
      <c r="N881">
        <v>0.39</v>
      </c>
      <c r="O881" s="7">
        <v>-1704</v>
      </c>
      <c r="P881">
        <v>12</v>
      </c>
      <c r="Q881" t="s">
        <v>54</v>
      </c>
      <c r="R881" t="s">
        <v>62</v>
      </c>
      <c r="S881">
        <f t="shared" si="65"/>
        <v>2023</v>
      </c>
      <c r="T881" t="str">
        <f t="shared" si="66"/>
        <v>May</v>
      </c>
      <c r="U881">
        <f t="shared" si="67"/>
        <v>4</v>
      </c>
      <c r="V881">
        <f t="shared" si="68"/>
        <v>9</v>
      </c>
      <c r="W881" s="9">
        <f t="shared" si="69"/>
        <v>-3.9848463589167951E-2</v>
      </c>
    </row>
    <row r="882" spans="1:23">
      <c r="A882">
        <v>10881</v>
      </c>
      <c r="B882" s="5">
        <v>45077</v>
      </c>
      <c r="C882" s="5">
        <v>45081</v>
      </c>
      <c r="D882" s="5">
        <v>45083</v>
      </c>
      <c r="E882" t="s">
        <v>18</v>
      </c>
      <c r="F882" t="s">
        <v>22</v>
      </c>
      <c r="G882" t="s">
        <v>26</v>
      </c>
      <c r="H882" t="s">
        <v>25</v>
      </c>
      <c r="I882" t="s">
        <v>34</v>
      </c>
      <c r="J882" t="s">
        <v>40</v>
      </c>
      <c r="K882" t="s">
        <v>49</v>
      </c>
      <c r="L882" t="s">
        <v>53</v>
      </c>
      <c r="M882" s="7">
        <v>49923</v>
      </c>
      <c r="N882">
        <v>0</v>
      </c>
      <c r="O882" s="7">
        <v>5098</v>
      </c>
      <c r="P882">
        <v>8</v>
      </c>
      <c r="Q882" t="s">
        <v>58</v>
      </c>
      <c r="R882" t="s">
        <v>59</v>
      </c>
      <c r="S882">
        <f t="shared" si="65"/>
        <v>2023</v>
      </c>
      <c r="T882" t="str">
        <f t="shared" si="66"/>
        <v>May</v>
      </c>
      <c r="U882">
        <f t="shared" si="67"/>
        <v>4</v>
      </c>
      <c r="V882">
        <f t="shared" si="68"/>
        <v>6</v>
      </c>
      <c r="W882" s="9">
        <f t="shared" si="69"/>
        <v>0.10211726058129519</v>
      </c>
    </row>
    <row r="883" spans="1:23">
      <c r="A883">
        <v>10882</v>
      </c>
      <c r="B883" s="5">
        <v>45078</v>
      </c>
      <c r="C883" s="5">
        <v>45082</v>
      </c>
      <c r="D883" s="5">
        <v>45085</v>
      </c>
      <c r="E883" t="s">
        <v>20</v>
      </c>
      <c r="F883" t="s">
        <v>22</v>
      </c>
      <c r="G883" t="s">
        <v>26</v>
      </c>
      <c r="H883" t="s">
        <v>30</v>
      </c>
      <c r="I883" t="s">
        <v>34</v>
      </c>
      <c r="J883" t="s">
        <v>37</v>
      </c>
      <c r="K883" t="s">
        <v>44</v>
      </c>
      <c r="L883" t="s">
        <v>51</v>
      </c>
      <c r="M883" s="7">
        <v>61191</v>
      </c>
      <c r="N883">
        <v>0.36</v>
      </c>
      <c r="O883" s="7">
        <v>8003</v>
      </c>
      <c r="P883">
        <v>23</v>
      </c>
      <c r="Q883" t="s">
        <v>58</v>
      </c>
      <c r="R883" t="s">
        <v>62</v>
      </c>
      <c r="S883">
        <f t="shared" si="65"/>
        <v>2023</v>
      </c>
      <c r="T883" t="str">
        <f t="shared" si="66"/>
        <v>Jun</v>
      </c>
      <c r="U883">
        <f t="shared" si="67"/>
        <v>4</v>
      </c>
      <c r="V883">
        <f t="shared" si="68"/>
        <v>7</v>
      </c>
      <c r="W883" s="9">
        <f t="shared" si="69"/>
        <v>0.13078720726904283</v>
      </c>
    </row>
    <row r="884" spans="1:23">
      <c r="A884">
        <v>10883</v>
      </c>
      <c r="B884" s="5">
        <v>45079</v>
      </c>
      <c r="C884" s="5">
        <v>45085</v>
      </c>
      <c r="D884" s="5">
        <v>45090</v>
      </c>
      <c r="E884" t="s">
        <v>21</v>
      </c>
      <c r="F884" t="s">
        <v>22</v>
      </c>
      <c r="G884" t="s">
        <v>25</v>
      </c>
      <c r="H884" t="s">
        <v>32</v>
      </c>
      <c r="I884" t="s">
        <v>34</v>
      </c>
      <c r="J884" t="s">
        <v>39</v>
      </c>
      <c r="K884" t="s">
        <v>49</v>
      </c>
      <c r="L884" t="s">
        <v>53</v>
      </c>
      <c r="M884" s="7">
        <v>54502</v>
      </c>
      <c r="N884">
        <v>0.13</v>
      </c>
      <c r="O884" s="7">
        <v>7029</v>
      </c>
      <c r="P884">
        <v>6</v>
      </c>
      <c r="Q884" t="s">
        <v>56</v>
      </c>
      <c r="R884" t="s">
        <v>62</v>
      </c>
      <c r="S884">
        <f t="shared" si="65"/>
        <v>2023</v>
      </c>
      <c r="T884" t="str">
        <f t="shared" si="66"/>
        <v>Jun</v>
      </c>
      <c r="U884">
        <f t="shared" si="67"/>
        <v>6</v>
      </c>
      <c r="V884">
        <f t="shared" si="68"/>
        <v>11</v>
      </c>
      <c r="W884" s="9">
        <f t="shared" si="69"/>
        <v>0.12896774430296135</v>
      </c>
    </row>
    <row r="885" spans="1:23">
      <c r="A885">
        <v>10884</v>
      </c>
      <c r="B885" s="5">
        <v>45080</v>
      </c>
      <c r="C885" s="5">
        <v>45082</v>
      </c>
      <c r="D885" s="5">
        <v>45087</v>
      </c>
      <c r="E885" t="s">
        <v>20</v>
      </c>
      <c r="F885" t="s">
        <v>22</v>
      </c>
      <c r="G885" t="s">
        <v>27</v>
      </c>
      <c r="H885" t="s">
        <v>30</v>
      </c>
      <c r="I885" t="s">
        <v>34</v>
      </c>
      <c r="J885" t="s">
        <v>43</v>
      </c>
      <c r="K885" t="s">
        <v>49</v>
      </c>
      <c r="L885" t="s">
        <v>52</v>
      </c>
      <c r="M885" s="7">
        <v>41422</v>
      </c>
      <c r="N885">
        <v>0.22</v>
      </c>
      <c r="O885" s="7">
        <v>287</v>
      </c>
      <c r="P885">
        <v>14</v>
      </c>
      <c r="Q885" t="s">
        <v>54</v>
      </c>
      <c r="R885" t="s">
        <v>59</v>
      </c>
      <c r="S885">
        <f t="shared" si="65"/>
        <v>2023</v>
      </c>
      <c r="T885" t="str">
        <f t="shared" si="66"/>
        <v>Jun</v>
      </c>
      <c r="U885">
        <f t="shared" si="67"/>
        <v>2</v>
      </c>
      <c r="V885">
        <f t="shared" si="68"/>
        <v>7</v>
      </c>
      <c r="W885" s="9">
        <f t="shared" si="69"/>
        <v>6.9286852397276808E-3</v>
      </c>
    </row>
    <row r="886" spans="1:23">
      <c r="A886">
        <v>10885</v>
      </c>
      <c r="B886" s="5">
        <v>45081</v>
      </c>
      <c r="C886" s="5">
        <v>45083</v>
      </c>
      <c r="D886" s="5">
        <v>45087</v>
      </c>
      <c r="E886" t="s">
        <v>21</v>
      </c>
      <c r="F886" t="s">
        <v>22</v>
      </c>
      <c r="G886" t="s">
        <v>25</v>
      </c>
      <c r="H886" t="s">
        <v>30</v>
      </c>
      <c r="I886" t="s">
        <v>35</v>
      </c>
      <c r="J886" t="s">
        <v>42</v>
      </c>
      <c r="K886" t="s">
        <v>49</v>
      </c>
      <c r="L886" t="s">
        <v>52</v>
      </c>
      <c r="M886" s="7">
        <v>66681</v>
      </c>
      <c r="N886">
        <v>0.37</v>
      </c>
      <c r="O886" s="7">
        <v>18317</v>
      </c>
      <c r="P886">
        <v>23</v>
      </c>
      <c r="Q886" t="s">
        <v>57</v>
      </c>
      <c r="R886" t="s">
        <v>61</v>
      </c>
      <c r="S886">
        <f t="shared" si="65"/>
        <v>2023</v>
      </c>
      <c r="T886" t="str">
        <f t="shared" si="66"/>
        <v>Jun</v>
      </c>
      <c r="U886">
        <f t="shared" si="67"/>
        <v>2</v>
      </c>
      <c r="V886">
        <f t="shared" si="68"/>
        <v>6</v>
      </c>
      <c r="W886" s="9">
        <f t="shared" si="69"/>
        <v>0.27469594037281986</v>
      </c>
    </row>
    <row r="887" spans="1:23">
      <c r="A887">
        <v>10886</v>
      </c>
      <c r="B887" s="5">
        <v>45082</v>
      </c>
      <c r="C887" s="5">
        <v>45089</v>
      </c>
      <c r="D887" s="5">
        <v>45093</v>
      </c>
      <c r="E887" t="s">
        <v>21</v>
      </c>
      <c r="F887" t="s">
        <v>22</v>
      </c>
      <c r="G887" t="s">
        <v>26</v>
      </c>
      <c r="H887" t="s">
        <v>30</v>
      </c>
      <c r="I887" t="s">
        <v>36</v>
      </c>
      <c r="J887" t="s">
        <v>42</v>
      </c>
      <c r="K887" t="s">
        <v>48</v>
      </c>
      <c r="L887" t="s">
        <v>53</v>
      </c>
      <c r="M887" s="7">
        <v>10072</v>
      </c>
      <c r="N887">
        <v>0.22</v>
      </c>
      <c r="O887" s="7">
        <v>13753</v>
      </c>
      <c r="P887">
        <v>11</v>
      </c>
      <c r="Q887" t="s">
        <v>55</v>
      </c>
      <c r="R887" t="s">
        <v>59</v>
      </c>
      <c r="S887">
        <f t="shared" si="65"/>
        <v>2023</v>
      </c>
      <c r="T887" t="str">
        <f t="shared" si="66"/>
        <v>Jun</v>
      </c>
      <c r="U887">
        <f t="shared" si="67"/>
        <v>7</v>
      </c>
      <c r="V887">
        <f t="shared" si="68"/>
        <v>11</v>
      </c>
      <c r="W887" s="9">
        <f t="shared" si="69"/>
        <v>1.3654686258935662</v>
      </c>
    </row>
    <row r="888" spans="1:23">
      <c r="A888">
        <v>10887</v>
      </c>
      <c r="B888" s="5">
        <v>45083</v>
      </c>
      <c r="C888" s="5">
        <v>45090</v>
      </c>
      <c r="D888" s="5">
        <v>45093</v>
      </c>
      <c r="E888" t="s">
        <v>18</v>
      </c>
      <c r="F888" t="s">
        <v>22</v>
      </c>
      <c r="G888" t="s">
        <v>23</v>
      </c>
      <c r="H888" t="s">
        <v>33</v>
      </c>
      <c r="I888" t="s">
        <v>35</v>
      </c>
      <c r="J888" t="s">
        <v>41</v>
      </c>
      <c r="K888" t="s">
        <v>45</v>
      </c>
      <c r="L888" t="s">
        <v>52</v>
      </c>
      <c r="M888" s="7">
        <v>34260</v>
      </c>
      <c r="N888">
        <v>0.11</v>
      </c>
      <c r="O888" s="7">
        <v>17179</v>
      </c>
      <c r="P888">
        <v>9</v>
      </c>
      <c r="Q888" t="s">
        <v>55</v>
      </c>
      <c r="R888" t="s">
        <v>61</v>
      </c>
      <c r="S888">
        <f t="shared" si="65"/>
        <v>2023</v>
      </c>
      <c r="T888" t="str">
        <f t="shared" si="66"/>
        <v>Jun</v>
      </c>
      <c r="U888">
        <f t="shared" si="67"/>
        <v>7</v>
      </c>
      <c r="V888">
        <f t="shared" si="68"/>
        <v>10</v>
      </c>
      <c r="W888" s="9">
        <f t="shared" si="69"/>
        <v>0.50143023934617625</v>
      </c>
    </row>
    <row r="889" spans="1:23">
      <c r="A889">
        <v>10888</v>
      </c>
      <c r="B889" s="5">
        <v>45084</v>
      </c>
      <c r="C889" s="5">
        <v>45090</v>
      </c>
      <c r="D889" s="5">
        <v>45095</v>
      </c>
      <c r="E889" t="s">
        <v>20</v>
      </c>
      <c r="F889" t="s">
        <v>22</v>
      </c>
      <c r="G889" t="s">
        <v>28</v>
      </c>
      <c r="H889" t="s">
        <v>33</v>
      </c>
      <c r="I889" t="s">
        <v>36</v>
      </c>
      <c r="J889" t="s">
        <v>40</v>
      </c>
      <c r="K889" t="s">
        <v>49</v>
      </c>
      <c r="L889" t="s">
        <v>53</v>
      </c>
      <c r="M889" s="7">
        <v>14038</v>
      </c>
      <c r="N889">
        <v>0.04</v>
      </c>
      <c r="O889" s="7">
        <v>-926</v>
      </c>
      <c r="P889">
        <v>11</v>
      </c>
      <c r="Q889" t="s">
        <v>56</v>
      </c>
      <c r="R889" t="s">
        <v>59</v>
      </c>
      <c r="S889">
        <f t="shared" si="65"/>
        <v>2023</v>
      </c>
      <c r="T889" t="str">
        <f t="shared" si="66"/>
        <v>Jun</v>
      </c>
      <c r="U889">
        <f t="shared" si="67"/>
        <v>6</v>
      </c>
      <c r="V889">
        <f t="shared" si="68"/>
        <v>11</v>
      </c>
      <c r="W889" s="9">
        <f t="shared" si="69"/>
        <v>-6.5963812508904401E-2</v>
      </c>
    </row>
    <row r="890" spans="1:23">
      <c r="A890">
        <v>10889</v>
      </c>
      <c r="B890" s="5">
        <v>45085</v>
      </c>
      <c r="C890" s="5">
        <v>45092</v>
      </c>
      <c r="D890" s="5">
        <v>45096</v>
      </c>
      <c r="E890" t="s">
        <v>18</v>
      </c>
      <c r="F890" t="s">
        <v>22</v>
      </c>
      <c r="G890" t="s">
        <v>23</v>
      </c>
      <c r="H890" t="s">
        <v>31</v>
      </c>
      <c r="I890" t="s">
        <v>34</v>
      </c>
      <c r="J890" t="s">
        <v>42</v>
      </c>
      <c r="K890" t="s">
        <v>47</v>
      </c>
      <c r="L890" t="s">
        <v>52</v>
      </c>
      <c r="M890" s="7">
        <v>45596</v>
      </c>
      <c r="N890">
        <v>0.12</v>
      </c>
      <c r="O890" s="7">
        <v>4584</v>
      </c>
      <c r="P890">
        <v>9</v>
      </c>
      <c r="Q890" t="s">
        <v>54</v>
      </c>
      <c r="R890" t="s">
        <v>59</v>
      </c>
      <c r="S890">
        <f t="shared" si="65"/>
        <v>2023</v>
      </c>
      <c r="T890" t="str">
        <f t="shared" si="66"/>
        <v>Jun</v>
      </c>
      <c r="U890">
        <f t="shared" si="67"/>
        <v>7</v>
      </c>
      <c r="V890">
        <f t="shared" si="68"/>
        <v>11</v>
      </c>
      <c r="W890" s="9">
        <f t="shared" si="69"/>
        <v>0.10053513466093517</v>
      </c>
    </row>
    <row r="891" spans="1:23">
      <c r="A891">
        <v>10890</v>
      </c>
      <c r="B891" s="5">
        <v>45086</v>
      </c>
      <c r="C891" s="5">
        <v>45093</v>
      </c>
      <c r="D891" s="5">
        <v>45097</v>
      </c>
      <c r="E891" t="s">
        <v>18</v>
      </c>
      <c r="F891" t="s">
        <v>22</v>
      </c>
      <c r="G891" t="s">
        <v>23</v>
      </c>
      <c r="H891" t="s">
        <v>30</v>
      </c>
      <c r="I891" t="s">
        <v>34</v>
      </c>
      <c r="J891" t="s">
        <v>43</v>
      </c>
      <c r="K891" t="s">
        <v>50</v>
      </c>
      <c r="L891" t="s">
        <v>52</v>
      </c>
      <c r="M891" s="7">
        <v>69336</v>
      </c>
      <c r="N891">
        <v>0.14000000000000001</v>
      </c>
      <c r="O891" s="7">
        <v>2654</v>
      </c>
      <c r="P891">
        <v>21</v>
      </c>
      <c r="Q891" t="s">
        <v>56</v>
      </c>
      <c r="R891" t="s">
        <v>61</v>
      </c>
      <c r="S891">
        <f t="shared" si="65"/>
        <v>2023</v>
      </c>
      <c r="T891" t="str">
        <f t="shared" si="66"/>
        <v>Jun</v>
      </c>
      <c r="U891">
        <f t="shared" si="67"/>
        <v>7</v>
      </c>
      <c r="V891">
        <f t="shared" si="68"/>
        <v>11</v>
      </c>
      <c r="W891" s="9">
        <f t="shared" si="69"/>
        <v>3.8277373947155878E-2</v>
      </c>
    </row>
    <row r="892" spans="1:23">
      <c r="A892">
        <v>10891</v>
      </c>
      <c r="B892" s="5">
        <v>45087</v>
      </c>
      <c r="C892" s="5">
        <v>45092</v>
      </c>
      <c r="D892" s="5">
        <v>45095</v>
      </c>
      <c r="E892" t="s">
        <v>19</v>
      </c>
      <c r="F892" t="s">
        <v>22</v>
      </c>
      <c r="G892" t="s">
        <v>25</v>
      </c>
      <c r="H892" t="s">
        <v>31</v>
      </c>
      <c r="I892" t="s">
        <v>36</v>
      </c>
      <c r="J892" t="s">
        <v>43</v>
      </c>
      <c r="K892" t="s">
        <v>48</v>
      </c>
      <c r="L892" t="s">
        <v>52</v>
      </c>
      <c r="M892" s="7">
        <v>33469</v>
      </c>
      <c r="N892">
        <v>0.19</v>
      </c>
      <c r="O892" s="7">
        <v>12985</v>
      </c>
      <c r="P892">
        <v>2</v>
      </c>
      <c r="Q892" t="s">
        <v>56</v>
      </c>
      <c r="R892" t="s">
        <v>59</v>
      </c>
      <c r="S892">
        <f t="shared" si="65"/>
        <v>2023</v>
      </c>
      <c r="T892" t="str">
        <f t="shared" si="66"/>
        <v>Jun</v>
      </c>
      <c r="U892">
        <f t="shared" si="67"/>
        <v>5</v>
      </c>
      <c r="V892">
        <f t="shared" si="68"/>
        <v>8</v>
      </c>
      <c r="W892" s="9">
        <f t="shared" si="69"/>
        <v>0.3879709582001255</v>
      </c>
    </row>
    <row r="893" spans="1:23">
      <c r="A893">
        <v>10892</v>
      </c>
      <c r="B893" s="5">
        <v>45088</v>
      </c>
      <c r="C893" s="5">
        <v>45090</v>
      </c>
      <c r="D893" s="5">
        <v>45091</v>
      </c>
      <c r="E893" t="s">
        <v>21</v>
      </c>
      <c r="F893" t="s">
        <v>22</v>
      </c>
      <c r="G893" t="s">
        <v>27</v>
      </c>
      <c r="H893" t="s">
        <v>33</v>
      </c>
      <c r="I893" t="s">
        <v>36</v>
      </c>
      <c r="J893" t="s">
        <v>41</v>
      </c>
      <c r="K893" t="s">
        <v>49</v>
      </c>
      <c r="L893" t="s">
        <v>53</v>
      </c>
      <c r="M893" s="7">
        <v>2814</v>
      </c>
      <c r="N893">
        <v>0.15</v>
      </c>
      <c r="O893" s="7">
        <v>5426</v>
      </c>
      <c r="P893">
        <v>6</v>
      </c>
      <c r="Q893" t="s">
        <v>58</v>
      </c>
      <c r="R893" t="s">
        <v>60</v>
      </c>
      <c r="S893">
        <f t="shared" si="65"/>
        <v>2023</v>
      </c>
      <c r="T893" t="str">
        <f t="shared" si="66"/>
        <v>Jun</v>
      </c>
      <c r="U893">
        <f t="shared" si="67"/>
        <v>2</v>
      </c>
      <c r="V893">
        <f t="shared" si="68"/>
        <v>3</v>
      </c>
      <c r="W893" s="9">
        <f t="shared" si="69"/>
        <v>1.9282160625444207</v>
      </c>
    </row>
    <row r="894" spans="1:23">
      <c r="A894">
        <v>10893</v>
      </c>
      <c r="B894" s="5">
        <v>45089</v>
      </c>
      <c r="C894" s="5">
        <v>45093</v>
      </c>
      <c r="D894" s="5">
        <v>45096</v>
      </c>
      <c r="E894" t="s">
        <v>19</v>
      </c>
      <c r="F894" t="s">
        <v>22</v>
      </c>
      <c r="G894" t="s">
        <v>23</v>
      </c>
      <c r="H894" t="s">
        <v>31</v>
      </c>
      <c r="I894" t="s">
        <v>35</v>
      </c>
      <c r="J894" t="s">
        <v>38</v>
      </c>
      <c r="K894" t="s">
        <v>45</v>
      </c>
      <c r="L894" t="s">
        <v>52</v>
      </c>
      <c r="M894" s="7">
        <v>25362</v>
      </c>
      <c r="N894">
        <v>0.03</v>
      </c>
      <c r="O894" s="7">
        <v>1503</v>
      </c>
      <c r="P894">
        <v>15</v>
      </c>
      <c r="Q894" t="s">
        <v>57</v>
      </c>
      <c r="R894" t="s">
        <v>62</v>
      </c>
      <c r="S894">
        <f t="shared" si="65"/>
        <v>2023</v>
      </c>
      <c r="T894" t="str">
        <f t="shared" si="66"/>
        <v>Jun</v>
      </c>
      <c r="U894">
        <f t="shared" si="67"/>
        <v>4</v>
      </c>
      <c r="V894">
        <f t="shared" si="68"/>
        <v>7</v>
      </c>
      <c r="W894" s="9">
        <f t="shared" si="69"/>
        <v>5.9261887863733147E-2</v>
      </c>
    </row>
    <row r="895" spans="1:23">
      <c r="A895">
        <v>10894</v>
      </c>
      <c r="B895" s="5">
        <v>45090</v>
      </c>
      <c r="C895" s="5">
        <v>45092</v>
      </c>
      <c r="D895" s="5">
        <v>45096</v>
      </c>
      <c r="E895" t="s">
        <v>18</v>
      </c>
      <c r="F895" t="s">
        <v>22</v>
      </c>
      <c r="G895" t="s">
        <v>28</v>
      </c>
      <c r="H895" t="s">
        <v>32</v>
      </c>
      <c r="I895" t="s">
        <v>34</v>
      </c>
      <c r="J895" t="s">
        <v>39</v>
      </c>
      <c r="K895" t="s">
        <v>45</v>
      </c>
      <c r="L895" t="s">
        <v>52</v>
      </c>
      <c r="M895" s="7">
        <v>52487</v>
      </c>
      <c r="N895">
        <v>0.36</v>
      </c>
      <c r="O895" s="7">
        <v>14790</v>
      </c>
      <c r="P895">
        <v>15</v>
      </c>
      <c r="Q895" t="s">
        <v>56</v>
      </c>
      <c r="R895" t="s">
        <v>60</v>
      </c>
      <c r="S895">
        <f t="shared" si="65"/>
        <v>2023</v>
      </c>
      <c r="T895" t="str">
        <f t="shared" si="66"/>
        <v>Jun</v>
      </c>
      <c r="U895">
        <f t="shared" si="67"/>
        <v>2</v>
      </c>
      <c r="V895">
        <f t="shared" si="68"/>
        <v>6</v>
      </c>
      <c r="W895" s="9">
        <f t="shared" si="69"/>
        <v>0.28178406081505897</v>
      </c>
    </row>
    <row r="896" spans="1:23">
      <c r="A896">
        <v>10895</v>
      </c>
      <c r="B896" s="5">
        <v>45091</v>
      </c>
      <c r="C896" s="5">
        <v>45096</v>
      </c>
      <c r="D896" s="5">
        <v>45100</v>
      </c>
      <c r="E896" t="s">
        <v>18</v>
      </c>
      <c r="F896" t="s">
        <v>22</v>
      </c>
      <c r="G896" t="s">
        <v>23</v>
      </c>
      <c r="H896" t="s">
        <v>25</v>
      </c>
      <c r="I896" t="s">
        <v>36</v>
      </c>
      <c r="J896" t="s">
        <v>41</v>
      </c>
      <c r="K896" t="s">
        <v>49</v>
      </c>
      <c r="L896" t="s">
        <v>51</v>
      </c>
      <c r="M896" s="7">
        <v>74973</v>
      </c>
      <c r="N896">
        <v>0.13</v>
      </c>
      <c r="O896" s="7">
        <v>2681</v>
      </c>
      <c r="P896">
        <v>18</v>
      </c>
      <c r="Q896" t="s">
        <v>55</v>
      </c>
      <c r="R896" t="s">
        <v>59</v>
      </c>
      <c r="S896">
        <f t="shared" si="65"/>
        <v>2023</v>
      </c>
      <c r="T896" t="str">
        <f t="shared" si="66"/>
        <v>Jun</v>
      </c>
      <c r="U896">
        <f t="shared" si="67"/>
        <v>5</v>
      </c>
      <c r="V896">
        <f t="shared" si="68"/>
        <v>9</v>
      </c>
      <c r="W896" s="9">
        <f t="shared" si="69"/>
        <v>3.5759540101103063E-2</v>
      </c>
    </row>
    <row r="897" spans="1:23">
      <c r="A897">
        <v>10896</v>
      </c>
      <c r="B897" s="5">
        <v>45092</v>
      </c>
      <c r="C897" s="5">
        <v>45097</v>
      </c>
      <c r="D897" s="5">
        <v>45102</v>
      </c>
      <c r="E897" t="s">
        <v>18</v>
      </c>
      <c r="F897" t="s">
        <v>22</v>
      </c>
      <c r="G897" t="s">
        <v>28</v>
      </c>
      <c r="H897" t="s">
        <v>25</v>
      </c>
      <c r="I897" t="s">
        <v>35</v>
      </c>
      <c r="J897" t="s">
        <v>41</v>
      </c>
      <c r="K897" t="s">
        <v>47</v>
      </c>
      <c r="L897" t="s">
        <v>53</v>
      </c>
      <c r="M897" s="7">
        <v>42154</v>
      </c>
      <c r="N897">
        <v>0.23</v>
      </c>
      <c r="O897" s="7">
        <v>15690</v>
      </c>
      <c r="P897">
        <v>23</v>
      </c>
      <c r="Q897" t="s">
        <v>56</v>
      </c>
      <c r="R897" t="s">
        <v>60</v>
      </c>
      <c r="S897">
        <f t="shared" si="65"/>
        <v>2023</v>
      </c>
      <c r="T897" t="str">
        <f t="shared" si="66"/>
        <v>Jun</v>
      </c>
      <c r="U897">
        <f t="shared" si="67"/>
        <v>5</v>
      </c>
      <c r="V897">
        <f t="shared" si="68"/>
        <v>10</v>
      </c>
      <c r="W897" s="9">
        <f t="shared" si="69"/>
        <v>0.37220667077857378</v>
      </c>
    </row>
    <row r="898" spans="1:23">
      <c r="A898">
        <v>10897</v>
      </c>
      <c r="B898" s="5">
        <v>45093</v>
      </c>
      <c r="C898" s="5">
        <v>45098</v>
      </c>
      <c r="D898" s="5">
        <v>45103</v>
      </c>
      <c r="E898" t="s">
        <v>19</v>
      </c>
      <c r="F898" t="s">
        <v>22</v>
      </c>
      <c r="G898" t="s">
        <v>28</v>
      </c>
      <c r="H898" t="s">
        <v>31</v>
      </c>
      <c r="I898" t="s">
        <v>36</v>
      </c>
      <c r="J898" t="s">
        <v>42</v>
      </c>
      <c r="K898" t="s">
        <v>50</v>
      </c>
      <c r="L898" t="s">
        <v>51</v>
      </c>
      <c r="M898" s="7">
        <v>20643</v>
      </c>
      <c r="N898">
        <v>0.22</v>
      </c>
      <c r="O898" s="7">
        <v>10627</v>
      </c>
      <c r="P898">
        <v>5</v>
      </c>
      <c r="Q898" t="s">
        <v>56</v>
      </c>
      <c r="R898" t="s">
        <v>62</v>
      </c>
      <c r="S898">
        <f t="shared" si="65"/>
        <v>2023</v>
      </c>
      <c r="T898" t="str">
        <f t="shared" si="66"/>
        <v>Jun</v>
      </c>
      <c r="U898">
        <f t="shared" si="67"/>
        <v>5</v>
      </c>
      <c r="V898">
        <f t="shared" si="68"/>
        <v>10</v>
      </c>
      <c r="W898" s="9">
        <f t="shared" si="69"/>
        <v>0.51479920554183012</v>
      </c>
    </row>
    <row r="899" spans="1:23">
      <c r="A899">
        <v>10898</v>
      </c>
      <c r="B899" s="5">
        <v>45094</v>
      </c>
      <c r="C899" s="5">
        <v>45098</v>
      </c>
      <c r="D899" s="5">
        <v>45101</v>
      </c>
      <c r="E899" t="s">
        <v>18</v>
      </c>
      <c r="F899" t="s">
        <v>22</v>
      </c>
      <c r="G899" t="s">
        <v>28</v>
      </c>
      <c r="H899" t="s">
        <v>30</v>
      </c>
      <c r="I899" t="s">
        <v>35</v>
      </c>
      <c r="J899" t="s">
        <v>39</v>
      </c>
      <c r="K899" t="s">
        <v>49</v>
      </c>
      <c r="L899" t="s">
        <v>52</v>
      </c>
      <c r="M899" s="7">
        <v>45628</v>
      </c>
      <c r="N899">
        <v>0.05</v>
      </c>
      <c r="O899" s="7">
        <v>5095</v>
      </c>
      <c r="P899">
        <v>9</v>
      </c>
      <c r="Q899" t="s">
        <v>56</v>
      </c>
      <c r="R899" t="s">
        <v>62</v>
      </c>
      <c r="S899">
        <f t="shared" ref="S899:S962" si="70">YEAR(B899)</f>
        <v>2023</v>
      </c>
      <c r="T899" t="str">
        <f t="shared" ref="T899:T962" si="71">TEXT(B899,"mmm")</f>
        <v>Jun</v>
      </c>
      <c r="U899">
        <f t="shared" ref="U899:U962" si="72">C899-B899</f>
        <v>4</v>
      </c>
      <c r="V899">
        <f t="shared" ref="V899:V962" si="73">D899-B899</f>
        <v>7</v>
      </c>
      <c r="W899" s="9">
        <f t="shared" ref="W899:W962" si="74">IFERROR(O899/M899,0)</f>
        <v>0.11166389059349523</v>
      </c>
    </row>
    <row r="900" spans="1:23">
      <c r="A900">
        <v>10899</v>
      </c>
      <c r="B900" s="5">
        <v>45095</v>
      </c>
      <c r="C900" s="5">
        <v>45097</v>
      </c>
      <c r="D900" s="5">
        <v>45099</v>
      </c>
      <c r="E900" t="s">
        <v>18</v>
      </c>
      <c r="F900" t="s">
        <v>22</v>
      </c>
      <c r="G900" t="s">
        <v>26</v>
      </c>
      <c r="H900" t="s">
        <v>30</v>
      </c>
      <c r="I900" t="s">
        <v>36</v>
      </c>
      <c r="J900" t="s">
        <v>42</v>
      </c>
      <c r="K900" t="s">
        <v>46</v>
      </c>
      <c r="L900" t="s">
        <v>53</v>
      </c>
      <c r="M900" s="7">
        <v>24001</v>
      </c>
      <c r="N900">
        <v>0.28000000000000003</v>
      </c>
      <c r="O900" s="7">
        <v>-1243</v>
      </c>
      <c r="P900">
        <v>18</v>
      </c>
      <c r="Q900" t="s">
        <v>55</v>
      </c>
      <c r="R900" t="s">
        <v>59</v>
      </c>
      <c r="S900">
        <f t="shared" si="70"/>
        <v>2023</v>
      </c>
      <c r="T900" t="str">
        <f t="shared" si="71"/>
        <v>Jun</v>
      </c>
      <c r="U900">
        <f t="shared" si="72"/>
        <v>2</v>
      </c>
      <c r="V900">
        <f t="shared" si="73"/>
        <v>4</v>
      </c>
      <c r="W900" s="9">
        <f t="shared" si="74"/>
        <v>-5.1789508770467896E-2</v>
      </c>
    </row>
    <row r="901" spans="1:23">
      <c r="A901">
        <v>10900</v>
      </c>
      <c r="B901" s="5">
        <v>45096</v>
      </c>
      <c r="C901" s="5">
        <v>45102</v>
      </c>
      <c r="D901" s="5">
        <v>45105</v>
      </c>
      <c r="E901" t="s">
        <v>18</v>
      </c>
      <c r="F901" t="s">
        <v>22</v>
      </c>
      <c r="G901" t="s">
        <v>25</v>
      </c>
      <c r="H901" t="s">
        <v>31</v>
      </c>
      <c r="I901" t="s">
        <v>34</v>
      </c>
      <c r="J901" t="s">
        <v>42</v>
      </c>
      <c r="K901" t="s">
        <v>44</v>
      </c>
      <c r="L901" t="s">
        <v>52</v>
      </c>
      <c r="M901" s="7">
        <v>37951</v>
      </c>
      <c r="N901">
        <v>0.11</v>
      </c>
      <c r="O901" s="7">
        <v>12645</v>
      </c>
      <c r="P901">
        <v>6</v>
      </c>
      <c r="Q901" t="s">
        <v>58</v>
      </c>
      <c r="R901" t="s">
        <v>62</v>
      </c>
      <c r="S901">
        <f t="shared" si="70"/>
        <v>2023</v>
      </c>
      <c r="T901" t="str">
        <f t="shared" si="71"/>
        <v>Jun</v>
      </c>
      <c r="U901">
        <f t="shared" si="72"/>
        <v>6</v>
      </c>
      <c r="V901">
        <f t="shared" si="73"/>
        <v>9</v>
      </c>
      <c r="W901" s="9">
        <f t="shared" si="74"/>
        <v>0.33319280124370898</v>
      </c>
    </row>
    <row r="902" spans="1:23">
      <c r="A902">
        <v>10901</v>
      </c>
      <c r="B902" s="5">
        <v>45097</v>
      </c>
      <c r="C902" s="5">
        <v>45102</v>
      </c>
      <c r="D902" s="5">
        <v>45104</v>
      </c>
      <c r="E902" t="s">
        <v>18</v>
      </c>
      <c r="F902" t="s">
        <v>22</v>
      </c>
      <c r="G902" t="s">
        <v>26</v>
      </c>
      <c r="H902" t="s">
        <v>29</v>
      </c>
      <c r="I902" t="s">
        <v>34</v>
      </c>
      <c r="J902" t="s">
        <v>39</v>
      </c>
      <c r="K902" t="s">
        <v>48</v>
      </c>
      <c r="L902" t="s">
        <v>51</v>
      </c>
      <c r="M902" s="7">
        <v>57947</v>
      </c>
      <c r="N902">
        <v>0.19</v>
      </c>
      <c r="O902" s="7">
        <v>11188</v>
      </c>
      <c r="P902">
        <v>20</v>
      </c>
      <c r="Q902" t="s">
        <v>58</v>
      </c>
      <c r="R902" t="s">
        <v>59</v>
      </c>
      <c r="S902">
        <f t="shared" si="70"/>
        <v>2023</v>
      </c>
      <c r="T902" t="str">
        <f t="shared" si="71"/>
        <v>Jun</v>
      </c>
      <c r="U902">
        <f t="shared" si="72"/>
        <v>5</v>
      </c>
      <c r="V902">
        <f t="shared" si="73"/>
        <v>7</v>
      </c>
      <c r="W902" s="9">
        <f t="shared" si="74"/>
        <v>0.19307298048216473</v>
      </c>
    </row>
    <row r="903" spans="1:23">
      <c r="A903">
        <v>10902</v>
      </c>
      <c r="B903" s="5">
        <v>45098</v>
      </c>
      <c r="C903" s="5">
        <v>45105</v>
      </c>
      <c r="D903" s="5">
        <v>45109</v>
      </c>
      <c r="E903" t="s">
        <v>19</v>
      </c>
      <c r="F903" t="s">
        <v>22</v>
      </c>
      <c r="G903" t="s">
        <v>23</v>
      </c>
      <c r="H903" t="s">
        <v>30</v>
      </c>
      <c r="I903" t="s">
        <v>34</v>
      </c>
      <c r="J903" t="s">
        <v>39</v>
      </c>
      <c r="K903" t="s">
        <v>49</v>
      </c>
      <c r="L903" t="s">
        <v>53</v>
      </c>
      <c r="M903" s="7">
        <v>6904</v>
      </c>
      <c r="N903">
        <v>0.14000000000000001</v>
      </c>
      <c r="O903" s="7">
        <v>5535</v>
      </c>
      <c r="P903">
        <v>6</v>
      </c>
      <c r="Q903" t="s">
        <v>55</v>
      </c>
      <c r="R903" t="s">
        <v>60</v>
      </c>
      <c r="S903">
        <f t="shared" si="70"/>
        <v>2023</v>
      </c>
      <c r="T903" t="str">
        <f t="shared" si="71"/>
        <v>Jun</v>
      </c>
      <c r="U903">
        <f t="shared" si="72"/>
        <v>7</v>
      </c>
      <c r="V903">
        <f t="shared" si="73"/>
        <v>11</v>
      </c>
      <c r="W903" s="9">
        <f t="shared" si="74"/>
        <v>0.80170915411355737</v>
      </c>
    </row>
    <row r="904" spans="1:23">
      <c r="A904">
        <v>10903</v>
      </c>
      <c r="B904" s="5">
        <v>45099</v>
      </c>
      <c r="C904" s="5">
        <v>45102</v>
      </c>
      <c r="D904" s="5">
        <v>45106</v>
      </c>
      <c r="E904" t="s">
        <v>19</v>
      </c>
      <c r="F904" t="s">
        <v>22</v>
      </c>
      <c r="G904" t="s">
        <v>23</v>
      </c>
      <c r="H904" t="s">
        <v>32</v>
      </c>
      <c r="I904" t="s">
        <v>34</v>
      </c>
      <c r="J904" t="s">
        <v>39</v>
      </c>
      <c r="K904" t="s">
        <v>44</v>
      </c>
      <c r="L904" t="s">
        <v>52</v>
      </c>
      <c r="M904" s="7">
        <v>59318</v>
      </c>
      <c r="N904">
        <v>0.31</v>
      </c>
      <c r="O904" s="7">
        <v>3350</v>
      </c>
      <c r="P904">
        <v>16</v>
      </c>
      <c r="Q904" t="s">
        <v>57</v>
      </c>
      <c r="R904" t="s">
        <v>59</v>
      </c>
      <c r="S904">
        <f t="shared" si="70"/>
        <v>2023</v>
      </c>
      <c r="T904" t="str">
        <f t="shared" si="71"/>
        <v>Jun</v>
      </c>
      <c r="U904">
        <f t="shared" si="72"/>
        <v>3</v>
      </c>
      <c r="V904">
        <f t="shared" si="73"/>
        <v>7</v>
      </c>
      <c r="W904" s="9">
        <f t="shared" si="74"/>
        <v>5.6475268889713069E-2</v>
      </c>
    </row>
    <row r="905" spans="1:23">
      <c r="A905">
        <v>10904</v>
      </c>
      <c r="B905" s="5">
        <v>45100</v>
      </c>
      <c r="C905" s="5">
        <v>45104</v>
      </c>
      <c r="D905" s="5">
        <v>45105</v>
      </c>
      <c r="E905" t="s">
        <v>21</v>
      </c>
      <c r="F905" t="s">
        <v>22</v>
      </c>
      <c r="G905" t="s">
        <v>23</v>
      </c>
      <c r="H905" t="s">
        <v>32</v>
      </c>
      <c r="I905" t="s">
        <v>35</v>
      </c>
      <c r="J905" t="s">
        <v>37</v>
      </c>
      <c r="K905" t="s">
        <v>46</v>
      </c>
      <c r="L905" t="s">
        <v>51</v>
      </c>
      <c r="M905" s="7">
        <v>57216</v>
      </c>
      <c r="N905">
        <v>0.21</v>
      </c>
      <c r="O905" s="7">
        <v>3941</v>
      </c>
      <c r="P905">
        <v>10</v>
      </c>
      <c r="Q905" t="s">
        <v>54</v>
      </c>
      <c r="R905" t="s">
        <v>62</v>
      </c>
      <c r="S905">
        <f t="shared" si="70"/>
        <v>2023</v>
      </c>
      <c r="T905" t="str">
        <f t="shared" si="71"/>
        <v>Jun</v>
      </c>
      <c r="U905">
        <f t="shared" si="72"/>
        <v>4</v>
      </c>
      <c r="V905">
        <f t="shared" si="73"/>
        <v>5</v>
      </c>
      <c r="W905" s="9">
        <f t="shared" si="74"/>
        <v>6.8879334451901572E-2</v>
      </c>
    </row>
    <row r="906" spans="1:23">
      <c r="A906">
        <v>10905</v>
      </c>
      <c r="B906" s="5">
        <v>45101</v>
      </c>
      <c r="C906" s="5">
        <v>45103</v>
      </c>
      <c r="D906" s="5">
        <v>45108</v>
      </c>
      <c r="E906" t="s">
        <v>18</v>
      </c>
      <c r="F906" t="s">
        <v>22</v>
      </c>
      <c r="G906" t="s">
        <v>24</v>
      </c>
      <c r="H906" t="s">
        <v>31</v>
      </c>
      <c r="I906" t="s">
        <v>35</v>
      </c>
      <c r="J906" t="s">
        <v>38</v>
      </c>
      <c r="K906" t="s">
        <v>46</v>
      </c>
      <c r="L906" t="s">
        <v>53</v>
      </c>
      <c r="M906" s="7">
        <v>7028</v>
      </c>
      <c r="N906">
        <v>0.27</v>
      </c>
      <c r="O906" s="7">
        <v>15535</v>
      </c>
      <c r="P906">
        <v>15</v>
      </c>
      <c r="Q906" t="s">
        <v>56</v>
      </c>
      <c r="R906" t="s">
        <v>61</v>
      </c>
      <c r="S906">
        <f t="shared" si="70"/>
        <v>2023</v>
      </c>
      <c r="T906" t="str">
        <f t="shared" si="71"/>
        <v>Jun</v>
      </c>
      <c r="U906">
        <f t="shared" si="72"/>
        <v>2</v>
      </c>
      <c r="V906">
        <f t="shared" si="73"/>
        <v>7</v>
      </c>
      <c r="W906" s="9">
        <f t="shared" si="74"/>
        <v>2.2104439385315877</v>
      </c>
    </row>
    <row r="907" spans="1:23">
      <c r="A907">
        <v>10906</v>
      </c>
      <c r="B907" s="5">
        <v>45102</v>
      </c>
      <c r="C907" s="5">
        <v>45104</v>
      </c>
      <c r="D907" s="5">
        <v>45105</v>
      </c>
      <c r="E907" t="s">
        <v>20</v>
      </c>
      <c r="F907" t="s">
        <v>22</v>
      </c>
      <c r="G907" t="s">
        <v>24</v>
      </c>
      <c r="H907" t="s">
        <v>25</v>
      </c>
      <c r="I907" t="s">
        <v>36</v>
      </c>
      <c r="J907" t="s">
        <v>43</v>
      </c>
      <c r="K907" t="s">
        <v>49</v>
      </c>
      <c r="L907" t="s">
        <v>52</v>
      </c>
      <c r="M907" s="7">
        <v>74251</v>
      </c>
      <c r="N907">
        <v>0.06</v>
      </c>
      <c r="O907" s="7">
        <v>-242</v>
      </c>
      <c r="P907">
        <v>14</v>
      </c>
      <c r="Q907" t="s">
        <v>55</v>
      </c>
      <c r="R907" t="s">
        <v>61</v>
      </c>
      <c r="S907">
        <f t="shared" si="70"/>
        <v>2023</v>
      </c>
      <c r="T907" t="str">
        <f t="shared" si="71"/>
        <v>Jun</v>
      </c>
      <c r="U907">
        <f t="shared" si="72"/>
        <v>2</v>
      </c>
      <c r="V907">
        <f t="shared" si="73"/>
        <v>3</v>
      </c>
      <c r="W907" s="9">
        <f t="shared" si="74"/>
        <v>-3.2592153641028405E-3</v>
      </c>
    </row>
    <row r="908" spans="1:23">
      <c r="A908">
        <v>10907</v>
      </c>
      <c r="B908" s="5">
        <v>45103</v>
      </c>
      <c r="C908" s="5">
        <v>45110</v>
      </c>
      <c r="D908" s="5">
        <v>45114</v>
      </c>
      <c r="E908" t="s">
        <v>19</v>
      </c>
      <c r="F908" t="s">
        <v>22</v>
      </c>
      <c r="G908" t="s">
        <v>28</v>
      </c>
      <c r="H908" t="s">
        <v>29</v>
      </c>
      <c r="I908" t="s">
        <v>36</v>
      </c>
      <c r="J908" t="s">
        <v>40</v>
      </c>
      <c r="K908" t="s">
        <v>45</v>
      </c>
      <c r="L908" t="s">
        <v>53</v>
      </c>
      <c r="M908" s="7">
        <v>22564</v>
      </c>
      <c r="N908">
        <v>0.38</v>
      </c>
      <c r="O908" s="7">
        <v>17226</v>
      </c>
      <c r="P908">
        <v>20</v>
      </c>
      <c r="Q908" t="s">
        <v>56</v>
      </c>
      <c r="R908" t="s">
        <v>61</v>
      </c>
      <c r="S908">
        <f t="shared" si="70"/>
        <v>2023</v>
      </c>
      <c r="T908" t="str">
        <f t="shared" si="71"/>
        <v>Jun</v>
      </c>
      <c r="U908">
        <f t="shared" si="72"/>
        <v>7</v>
      </c>
      <c r="V908">
        <f t="shared" si="73"/>
        <v>11</v>
      </c>
      <c r="W908" s="9">
        <f t="shared" si="74"/>
        <v>0.76342847012940973</v>
      </c>
    </row>
    <row r="909" spans="1:23">
      <c r="A909">
        <v>10908</v>
      </c>
      <c r="B909" s="5">
        <v>45104</v>
      </c>
      <c r="C909" s="5">
        <v>45109</v>
      </c>
      <c r="D909" s="5">
        <v>45110</v>
      </c>
      <c r="E909" t="s">
        <v>19</v>
      </c>
      <c r="F909" t="s">
        <v>22</v>
      </c>
      <c r="G909" t="s">
        <v>28</v>
      </c>
      <c r="H909" t="s">
        <v>31</v>
      </c>
      <c r="I909" t="s">
        <v>36</v>
      </c>
      <c r="J909" t="s">
        <v>41</v>
      </c>
      <c r="K909" t="s">
        <v>49</v>
      </c>
      <c r="L909" t="s">
        <v>52</v>
      </c>
      <c r="M909" s="7">
        <v>35156</v>
      </c>
      <c r="N909">
        <v>0.01</v>
      </c>
      <c r="O909" s="7">
        <v>1808</v>
      </c>
      <c r="P909">
        <v>20</v>
      </c>
      <c r="Q909" t="s">
        <v>54</v>
      </c>
      <c r="R909" t="s">
        <v>62</v>
      </c>
      <c r="S909">
        <f t="shared" si="70"/>
        <v>2023</v>
      </c>
      <c r="T909" t="str">
        <f t="shared" si="71"/>
        <v>Jun</v>
      </c>
      <c r="U909">
        <f t="shared" si="72"/>
        <v>5</v>
      </c>
      <c r="V909">
        <f t="shared" si="73"/>
        <v>6</v>
      </c>
      <c r="W909" s="9">
        <f t="shared" si="74"/>
        <v>5.1427921265217884E-2</v>
      </c>
    </row>
    <row r="910" spans="1:23">
      <c r="A910">
        <v>10909</v>
      </c>
      <c r="B910" s="5">
        <v>45105</v>
      </c>
      <c r="C910" s="5">
        <v>45110</v>
      </c>
      <c r="D910" s="5">
        <v>45115</v>
      </c>
      <c r="E910" t="s">
        <v>21</v>
      </c>
      <c r="F910" t="s">
        <v>22</v>
      </c>
      <c r="G910" t="s">
        <v>27</v>
      </c>
      <c r="H910" t="s">
        <v>31</v>
      </c>
      <c r="I910" t="s">
        <v>34</v>
      </c>
      <c r="J910" t="s">
        <v>40</v>
      </c>
      <c r="K910" t="s">
        <v>49</v>
      </c>
      <c r="L910" t="s">
        <v>53</v>
      </c>
      <c r="M910" s="7">
        <v>27672</v>
      </c>
      <c r="N910">
        <v>0.1</v>
      </c>
      <c r="O910" s="7">
        <v>355</v>
      </c>
      <c r="P910">
        <v>10</v>
      </c>
      <c r="Q910" t="s">
        <v>55</v>
      </c>
      <c r="R910" t="s">
        <v>61</v>
      </c>
      <c r="S910">
        <f t="shared" si="70"/>
        <v>2023</v>
      </c>
      <c r="T910" t="str">
        <f t="shared" si="71"/>
        <v>Jun</v>
      </c>
      <c r="U910">
        <f t="shared" si="72"/>
        <v>5</v>
      </c>
      <c r="V910">
        <f t="shared" si="73"/>
        <v>10</v>
      </c>
      <c r="W910" s="9">
        <f t="shared" si="74"/>
        <v>1.2828852269442035E-2</v>
      </c>
    </row>
    <row r="911" spans="1:23">
      <c r="A911">
        <v>10910</v>
      </c>
      <c r="B911" s="5">
        <v>45106</v>
      </c>
      <c r="C911" s="5">
        <v>45112</v>
      </c>
      <c r="D911" s="5">
        <v>45117</v>
      </c>
      <c r="E911" t="s">
        <v>18</v>
      </c>
      <c r="F911" t="s">
        <v>22</v>
      </c>
      <c r="G911" t="s">
        <v>25</v>
      </c>
      <c r="H911" t="s">
        <v>33</v>
      </c>
      <c r="I911" t="s">
        <v>35</v>
      </c>
      <c r="J911" t="s">
        <v>37</v>
      </c>
      <c r="K911" t="s">
        <v>47</v>
      </c>
      <c r="L911" t="s">
        <v>52</v>
      </c>
      <c r="M911" s="7">
        <v>10478</v>
      </c>
      <c r="N911">
        <v>0.21</v>
      </c>
      <c r="O911" s="7">
        <v>-1648</v>
      </c>
      <c r="P911">
        <v>3</v>
      </c>
      <c r="Q911" t="s">
        <v>54</v>
      </c>
      <c r="R911" t="s">
        <v>60</v>
      </c>
      <c r="S911">
        <f t="shared" si="70"/>
        <v>2023</v>
      </c>
      <c r="T911" t="str">
        <f t="shared" si="71"/>
        <v>Jun</v>
      </c>
      <c r="U911">
        <f t="shared" si="72"/>
        <v>6</v>
      </c>
      <c r="V911">
        <f t="shared" si="73"/>
        <v>11</v>
      </c>
      <c r="W911" s="9">
        <f t="shared" si="74"/>
        <v>-0.15728192403130367</v>
      </c>
    </row>
    <row r="912" spans="1:23">
      <c r="A912">
        <v>10911</v>
      </c>
      <c r="B912" s="5">
        <v>45107</v>
      </c>
      <c r="C912" s="5">
        <v>45111</v>
      </c>
      <c r="D912" s="5">
        <v>45113</v>
      </c>
      <c r="E912" t="s">
        <v>19</v>
      </c>
      <c r="F912" t="s">
        <v>22</v>
      </c>
      <c r="G912" t="s">
        <v>28</v>
      </c>
      <c r="H912" t="s">
        <v>32</v>
      </c>
      <c r="I912" t="s">
        <v>34</v>
      </c>
      <c r="J912" t="s">
        <v>39</v>
      </c>
      <c r="K912" t="s">
        <v>45</v>
      </c>
      <c r="L912" t="s">
        <v>51</v>
      </c>
      <c r="M912" s="7">
        <v>60608</v>
      </c>
      <c r="N912">
        <v>0.31</v>
      </c>
      <c r="O912" s="7">
        <v>16682</v>
      </c>
      <c r="P912">
        <v>14</v>
      </c>
      <c r="Q912" t="s">
        <v>55</v>
      </c>
      <c r="R912" t="s">
        <v>62</v>
      </c>
      <c r="S912">
        <f t="shared" si="70"/>
        <v>2023</v>
      </c>
      <c r="T912" t="str">
        <f t="shared" si="71"/>
        <v>Jun</v>
      </c>
      <c r="U912">
        <f t="shared" si="72"/>
        <v>4</v>
      </c>
      <c r="V912">
        <f t="shared" si="73"/>
        <v>6</v>
      </c>
      <c r="W912" s="9">
        <f t="shared" si="74"/>
        <v>0.27524419218585006</v>
      </c>
    </row>
    <row r="913" spans="1:23">
      <c r="A913">
        <v>10912</v>
      </c>
      <c r="B913" s="5">
        <v>45108</v>
      </c>
      <c r="C913" s="5">
        <v>45113</v>
      </c>
      <c r="D913" s="5">
        <v>45118</v>
      </c>
      <c r="E913" t="s">
        <v>21</v>
      </c>
      <c r="F913" t="s">
        <v>22</v>
      </c>
      <c r="G913" t="s">
        <v>28</v>
      </c>
      <c r="H913" t="s">
        <v>31</v>
      </c>
      <c r="I913" t="s">
        <v>34</v>
      </c>
      <c r="J913" t="s">
        <v>41</v>
      </c>
      <c r="K913" t="s">
        <v>50</v>
      </c>
      <c r="L913" t="s">
        <v>51</v>
      </c>
      <c r="M913" s="7">
        <v>37076</v>
      </c>
      <c r="N913">
        <v>0.19</v>
      </c>
      <c r="O913" s="7">
        <v>-1839</v>
      </c>
      <c r="P913">
        <v>4</v>
      </c>
      <c r="Q913" t="s">
        <v>56</v>
      </c>
      <c r="R913" t="s">
        <v>60</v>
      </c>
      <c r="S913">
        <f t="shared" si="70"/>
        <v>2023</v>
      </c>
      <c r="T913" t="str">
        <f t="shared" si="71"/>
        <v>Jul</v>
      </c>
      <c r="U913">
        <f t="shared" si="72"/>
        <v>5</v>
      </c>
      <c r="V913">
        <f t="shared" si="73"/>
        <v>10</v>
      </c>
      <c r="W913" s="9">
        <f t="shared" si="74"/>
        <v>-4.9600819937425829E-2</v>
      </c>
    </row>
    <row r="914" spans="1:23">
      <c r="A914">
        <v>10913</v>
      </c>
      <c r="B914" s="5">
        <v>45109</v>
      </c>
      <c r="C914" s="5">
        <v>45116</v>
      </c>
      <c r="D914" s="5">
        <v>45117</v>
      </c>
      <c r="E914" t="s">
        <v>20</v>
      </c>
      <c r="F914" t="s">
        <v>22</v>
      </c>
      <c r="G914" t="s">
        <v>23</v>
      </c>
      <c r="H914" t="s">
        <v>31</v>
      </c>
      <c r="I914" t="s">
        <v>35</v>
      </c>
      <c r="J914" t="s">
        <v>37</v>
      </c>
      <c r="K914" t="s">
        <v>50</v>
      </c>
      <c r="L914" t="s">
        <v>52</v>
      </c>
      <c r="M914" s="7">
        <v>7386</v>
      </c>
      <c r="N914">
        <v>0.28000000000000003</v>
      </c>
      <c r="O914" s="7">
        <v>4656</v>
      </c>
      <c r="P914">
        <v>9</v>
      </c>
      <c r="Q914" t="s">
        <v>55</v>
      </c>
      <c r="R914" t="s">
        <v>61</v>
      </c>
      <c r="S914">
        <f t="shared" si="70"/>
        <v>2023</v>
      </c>
      <c r="T914" t="str">
        <f t="shared" si="71"/>
        <v>Jul</v>
      </c>
      <c r="U914">
        <f t="shared" si="72"/>
        <v>7</v>
      </c>
      <c r="V914">
        <f t="shared" si="73"/>
        <v>8</v>
      </c>
      <c r="W914" s="9">
        <f t="shared" si="74"/>
        <v>0.63038180341186023</v>
      </c>
    </row>
    <row r="915" spans="1:23">
      <c r="A915">
        <v>10914</v>
      </c>
      <c r="B915" s="5">
        <v>45110</v>
      </c>
      <c r="C915" s="5">
        <v>45115</v>
      </c>
      <c r="D915" s="5">
        <v>45117</v>
      </c>
      <c r="E915" t="s">
        <v>20</v>
      </c>
      <c r="F915" t="s">
        <v>22</v>
      </c>
      <c r="G915" t="s">
        <v>28</v>
      </c>
      <c r="H915" t="s">
        <v>32</v>
      </c>
      <c r="I915" t="s">
        <v>36</v>
      </c>
      <c r="J915" t="s">
        <v>42</v>
      </c>
      <c r="K915" t="s">
        <v>47</v>
      </c>
      <c r="L915" t="s">
        <v>53</v>
      </c>
      <c r="M915" s="7">
        <v>6063</v>
      </c>
      <c r="N915">
        <v>0.26</v>
      </c>
      <c r="O915" s="7">
        <v>6173</v>
      </c>
      <c r="P915">
        <v>17</v>
      </c>
      <c r="Q915" t="s">
        <v>56</v>
      </c>
      <c r="R915" t="s">
        <v>61</v>
      </c>
      <c r="S915">
        <f t="shared" si="70"/>
        <v>2023</v>
      </c>
      <c r="T915" t="str">
        <f t="shared" si="71"/>
        <v>Jul</v>
      </c>
      <c r="U915">
        <f t="shared" si="72"/>
        <v>5</v>
      </c>
      <c r="V915">
        <f t="shared" si="73"/>
        <v>7</v>
      </c>
      <c r="W915" s="9">
        <f t="shared" si="74"/>
        <v>1.0181428335807357</v>
      </c>
    </row>
    <row r="916" spans="1:23">
      <c r="A916">
        <v>10915</v>
      </c>
      <c r="B916" s="5">
        <v>45111</v>
      </c>
      <c r="C916" s="5">
        <v>45115</v>
      </c>
      <c r="D916" s="5">
        <v>45119</v>
      </c>
      <c r="E916" t="s">
        <v>20</v>
      </c>
      <c r="F916" t="s">
        <v>22</v>
      </c>
      <c r="G916" t="s">
        <v>28</v>
      </c>
      <c r="H916" t="s">
        <v>32</v>
      </c>
      <c r="I916" t="s">
        <v>35</v>
      </c>
      <c r="J916" t="s">
        <v>42</v>
      </c>
      <c r="K916" t="s">
        <v>45</v>
      </c>
      <c r="L916" t="s">
        <v>53</v>
      </c>
      <c r="M916" s="7">
        <v>56545</v>
      </c>
      <c r="N916">
        <v>0.28000000000000003</v>
      </c>
      <c r="O916" s="7">
        <v>16101</v>
      </c>
      <c r="P916">
        <v>8</v>
      </c>
      <c r="Q916" t="s">
        <v>56</v>
      </c>
      <c r="R916" t="s">
        <v>59</v>
      </c>
      <c r="S916">
        <f t="shared" si="70"/>
        <v>2023</v>
      </c>
      <c r="T916" t="str">
        <f t="shared" si="71"/>
        <v>Jul</v>
      </c>
      <c r="U916">
        <f t="shared" si="72"/>
        <v>4</v>
      </c>
      <c r="V916">
        <f t="shared" si="73"/>
        <v>8</v>
      </c>
      <c r="W916" s="9">
        <f t="shared" si="74"/>
        <v>0.28474666195065879</v>
      </c>
    </row>
    <row r="917" spans="1:23">
      <c r="A917">
        <v>10916</v>
      </c>
      <c r="B917" s="5">
        <v>45112</v>
      </c>
      <c r="C917" s="5">
        <v>45115</v>
      </c>
      <c r="D917" s="5">
        <v>45119</v>
      </c>
      <c r="E917" t="s">
        <v>18</v>
      </c>
      <c r="F917" t="s">
        <v>22</v>
      </c>
      <c r="G917" t="s">
        <v>27</v>
      </c>
      <c r="H917" t="s">
        <v>31</v>
      </c>
      <c r="I917" t="s">
        <v>34</v>
      </c>
      <c r="J917" t="s">
        <v>40</v>
      </c>
      <c r="K917" t="s">
        <v>46</v>
      </c>
      <c r="L917" t="s">
        <v>53</v>
      </c>
      <c r="M917" s="7">
        <v>6205</v>
      </c>
      <c r="N917">
        <v>0.36</v>
      </c>
      <c r="O917" s="7">
        <v>-56</v>
      </c>
      <c r="P917">
        <v>12</v>
      </c>
      <c r="Q917" t="s">
        <v>58</v>
      </c>
      <c r="R917" t="s">
        <v>60</v>
      </c>
      <c r="S917">
        <f t="shared" si="70"/>
        <v>2023</v>
      </c>
      <c r="T917" t="str">
        <f t="shared" si="71"/>
        <v>Jul</v>
      </c>
      <c r="U917">
        <f t="shared" si="72"/>
        <v>3</v>
      </c>
      <c r="V917">
        <f t="shared" si="73"/>
        <v>7</v>
      </c>
      <c r="W917" s="9">
        <f t="shared" si="74"/>
        <v>-9.0249798549556816E-3</v>
      </c>
    </row>
    <row r="918" spans="1:23">
      <c r="A918">
        <v>10917</v>
      </c>
      <c r="B918" s="5">
        <v>45113</v>
      </c>
      <c r="C918" s="5">
        <v>45117</v>
      </c>
      <c r="D918" s="5">
        <v>45120</v>
      </c>
      <c r="E918" t="s">
        <v>19</v>
      </c>
      <c r="F918" t="s">
        <v>22</v>
      </c>
      <c r="G918" t="s">
        <v>24</v>
      </c>
      <c r="H918" t="s">
        <v>25</v>
      </c>
      <c r="I918" t="s">
        <v>36</v>
      </c>
      <c r="J918" t="s">
        <v>39</v>
      </c>
      <c r="K918" t="s">
        <v>49</v>
      </c>
      <c r="L918" t="s">
        <v>53</v>
      </c>
      <c r="M918" s="7">
        <v>56062</v>
      </c>
      <c r="N918">
        <v>0.18</v>
      </c>
      <c r="O918" s="7">
        <v>-336</v>
      </c>
      <c r="P918">
        <v>14</v>
      </c>
      <c r="Q918" t="s">
        <v>55</v>
      </c>
      <c r="R918" t="s">
        <v>61</v>
      </c>
      <c r="S918">
        <f t="shared" si="70"/>
        <v>2023</v>
      </c>
      <c r="T918" t="str">
        <f t="shared" si="71"/>
        <v>Jul</v>
      </c>
      <c r="U918">
        <f t="shared" si="72"/>
        <v>4</v>
      </c>
      <c r="V918">
        <f t="shared" si="73"/>
        <v>7</v>
      </c>
      <c r="W918" s="9">
        <f t="shared" si="74"/>
        <v>-5.9933644893154009E-3</v>
      </c>
    </row>
    <row r="919" spans="1:23">
      <c r="A919">
        <v>10918</v>
      </c>
      <c r="B919" s="5">
        <v>45114</v>
      </c>
      <c r="C919" s="5">
        <v>45118</v>
      </c>
      <c r="D919" s="5">
        <v>45121</v>
      </c>
      <c r="E919" t="s">
        <v>19</v>
      </c>
      <c r="F919" t="s">
        <v>22</v>
      </c>
      <c r="G919" t="s">
        <v>27</v>
      </c>
      <c r="H919" t="s">
        <v>32</v>
      </c>
      <c r="I919" t="s">
        <v>36</v>
      </c>
      <c r="J919" t="s">
        <v>39</v>
      </c>
      <c r="K919" t="s">
        <v>45</v>
      </c>
      <c r="L919" t="s">
        <v>53</v>
      </c>
      <c r="M919" s="7">
        <v>32842</v>
      </c>
      <c r="N919">
        <v>0.09</v>
      </c>
      <c r="O919" s="7">
        <v>18244</v>
      </c>
      <c r="P919">
        <v>13</v>
      </c>
      <c r="Q919" t="s">
        <v>58</v>
      </c>
      <c r="R919" t="s">
        <v>61</v>
      </c>
      <c r="S919">
        <f t="shared" si="70"/>
        <v>2023</v>
      </c>
      <c r="T919" t="str">
        <f t="shared" si="71"/>
        <v>Jul</v>
      </c>
      <c r="U919">
        <f t="shared" si="72"/>
        <v>4</v>
      </c>
      <c r="V919">
        <f t="shared" si="73"/>
        <v>7</v>
      </c>
      <c r="W919" s="9">
        <f t="shared" si="74"/>
        <v>0.55550819073138058</v>
      </c>
    </row>
    <row r="920" spans="1:23">
      <c r="A920">
        <v>10919</v>
      </c>
      <c r="B920" s="5">
        <v>45115</v>
      </c>
      <c r="C920" s="5">
        <v>45121</v>
      </c>
      <c r="D920" s="5">
        <v>45122</v>
      </c>
      <c r="E920" t="s">
        <v>20</v>
      </c>
      <c r="F920" t="s">
        <v>22</v>
      </c>
      <c r="G920" t="s">
        <v>27</v>
      </c>
      <c r="H920" t="s">
        <v>30</v>
      </c>
      <c r="I920" t="s">
        <v>36</v>
      </c>
      <c r="J920" t="s">
        <v>40</v>
      </c>
      <c r="K920" t="s">
        <v>48</v>
      </c>
      <c r="L920" t="s">
        <v>52</v>
      </c>
      <c r="M920" s="7">
        <v>40691</v>
      </c>
      <c r="N920">
        <v>0.33</v>
      </c>
      <c r="O920" s="7">
        <v>13347</v>
      </c>
      <c r="P920">
        <v>2</v>
      </c>
      <c r="Q920" t="s">
        <v>57</v>
      </c>
      <c r="R920" t="s">
        <v>60</v>
      </c>
      <c r="S920">
        <f t="shared" si="70"/>
        <v>2023</v>
      </c>
      <c r="T920" t="str">
        <f t="shared" si="71"/>
        <v>Jul</v>
      </c>
      <c r="U920">
        <f t="shared" si="72"/>
        <v>6</v>
      </c>
      <c r="V920">
        <f t="shared" si="73"/>
        <v>7</v>
      </c>
      <c r="W920" s="9">
        <f t="shared" si="74"/>
        <v>0.32800865056154926</v>
      </c>
    </row>
    <row r="921" spans="1:23">
      <c r="A921">
        <v>10920</v>
      </c>
      <c r="B921" s="5">
        <v>45116</v>
      </c>
      <c r="C921" s="5">
        <v>45118</v>
      </c>
      <c r="D921" s="5">
        <v>45120</v>
      </c>
      <c r="E921" t="s">
        <v>18</v>
      </c>
      <c r="F921" t="s">
        <v>22</v>
      </c>
      <c r="G921" t="s">
        <v>23</v>
      </c>
      <c r="H921" t="s">
        <v>30</v>
      </c>
      <c r="I921" t="s">
        <v>34</v>
      </c>
      <c r="J921" t="s">
        <v>40</v>
      </c>
      <c r="K921" t="s">
        <v>46</v>
      </c>
      <c r="L921" t="s">
        <v>53</v>
      </c>
      <c r="M921" s="7">
        <v>67754</v>
      </c>
      <c r="N921">
        <v>0.15</v>
      </c>
      <c r="O921" s="7">
        <v>8839</v>
      </c>
      <c r="P921">
        <v>21</v>
      </c>
      <c r="Q921" t="s">
        <v>55</v>
      </c>
      <c r="R921" t="s">
        <v>60</v>
      </c>
      <c r="S921">
        <f t="shared" si="70"/>
        <v>2023</v>
      </c>
      <c r="T921" t="str">
        <f t="shared" si="71"/>
        <v>Jul</v>
      </c>
      <c r="U921">
        <f t="shared" si="72"/>
        <v>2</v>
      </c>
      <c r="V921">
        <f t="shared" si="73"/>
        <v>4</v>
      </c>
      <c r="W921" s="9">
        <f t="shared" si="74"/>
        <v>0.13045724237683384</v>
      </c>
    </row>
    <row r="922" spans="1:23">
      <c r="A922">
        <v>10921</v>
      </c>
      <c r="B922" s="5">
        <v>45117</v>
      </c>
      <c r="C922" s="5">
        <v>45123</v>
      </c>
      <c r="D922" s="5">
        <v>45126</v>
      </c>
      <c r="E922" t="s">
        <v>18</v>
      </c>
      <c r="F922" t="s">
        <v>22</v>
      </c>
      <c r="G922" t="s">
        <v>28</v>
      </c>
      <c r="H922" t="s">
        <v>33</v>
      </c>
      <c r="I922" t="s">
        <v>35</v>
      </c>
      <c r="J922" t="s">
        <v>38</v>
      </c>
      <c r="K922" t="s">
        <v>49</v>
      </c>
      <c r="L922" t="s">
        <v>51</v>
      </c>
      <c r="M922" s="7">
        <v>2346</v>
      </c>
      <c r="N922">
        <v>0.09</v>
      </c>
      <c r="O922" s="7">
        <v>11335</v>
      </c>
      <c r="P922">
        <v>5</v>
      </c>
      <c r="Q922" t="s">
        <v>57</v>
      </c>
      <c r="R922" t="s">
        <v>62</v>
      </c>
      <c r="S922">
        <f t="shared" si="70"/>
        <v>2023</v>
      </c>
      <c r="T922" t="str">
        <f t="shared" si="71"/>
        <v>Jul</v>
      </c>
      <c r="U922">
        <f t="shared" si="72"/>
        <v>6</v>
      </c>
      <c r="V922">
        <f t="shared" si="73"/>
        <v>9</v>
      </c>
      <c r="W922" s="9">
        <f t="shared" si="74"/>
        <v>4.8316283034953109</v>
      </c>
    </row>
    <row r="923" spans="1:23">
      <c r="A923">
        <v>10922</v>
      </c>
      <c r="B923" s="5">
        <v>45118</v>
      </c>
      <c r="C923" s="5">
        <v>45121</v>
      </c>
      <c r="D923" s="5">
        <v>45122</v>
      </c>
      <c r="E923" t="s">
        <v>18</v>
      </c>
      <c r="F923" t="s">
        <v>22</v>
      </c>
      <c r="G923" t="s">
        <v>25</v>
      </c>
      <c r="H923" t="s">
        <v>29</v>
      </c>
      <c r="I923" t="s">
        <v>34</v>
      </c>
      <c r="J923" t="s">
        <v>37</v>
      </c>
      <c r="K923" t="s">
        <v>44</v>
      </c>
      <c r="L923" t="s">
        <v>51</v>
      </c>
      <c r="M923" s="7">
        <v>8790</v>
      </c>
      <c r="N923">
        <v>0.01</v>
      </c>
      <c r="O923" s="7">
        <v>-1447</v>
      </c>
      <c r="P923">
        <v>5</v>
      </c>
      <c r="Q923" t="s">
        <v>58</v>
      </c>
      <c r="R923" t="s">
        <v>60</v>
      </c>
      <c r="S923">
        <f t="shared" si="70"/>
        <v>2023</v>
      </c>
      <c r="T923" t="str">
        <f t="shared" si="71"/>
        <v>Jul</v>
      </c>
      <c r="U923">
        <f t="shared" si="72"/>
        <v>3</v>
      </c>
      <c r="V923">
        <f t="shared" si="73"/>
        <v>4</v>
      </c>
      <c r="W923" s="9">
        <f t="shared" si="74"/>
        <v>-0.16461888509670081</v>
      </c>
    </row>
    <row r="924" spans="1:23">
      <c r="A924">
        <v>10923</v>
      </c>
      <c r="B924" s="5">
        <v>45119</v>
      </c>
      <c r="C924" s="5">
        <v>45123</v>
      </c>
      <c r="D924" s="5">
        <v>45125</v>
      </c>
      <c r="E924" t="s">
        <v>21</v>
      </c>
      <c r="F924" t="s">
        <v>22</v>
      </c>
      <c r="G924" t="s">
        <v>25</v>
      </c>
      <c r="H924" t="s">
        <v>32</v>
      </c>
      <c r="I924" t="s">
        <v>36</v>
      </c>
      <c r="J924" t="s">
        <v>43</v>
      </c>
      <c r="K924" t="s">
        <v>50</v>
      </c>
      <c r="L924" t="s">
        <v>52</v>
      </c>
      <c r="M924" s="7">
        <v>62191</v>
      </c>
      <c r="N924">
        <v>0.36</v>
      </c>
      <c r="O924" s="7">
        <v>12612</v>
      </c>
      <c r="P924">
        <v>12</v>
      </c>
      <c r="Q924" t="s">
        <v>54</v>
      </c>
      <c r="R924" t="s">
        <v>62</v>
      </c>
      <c r="S924">
        <f t="shared" si="70"/>
        <v>2023</v>
      </c>
      <c r="T924" t="str">
        <f t="shared" si="71"/>
        <v>Jul</v>
      </c>
      <c r="U924">
        <f t="shared" si="72"/>
        <v>4</v>
      </c>
      <c r="V924">
        <f t="shared" si="73"/>
        <v>6</v>
      </c>
      <c r="W924" s="9">
        <f t="shared" si="74"/>
        <v>0.20279461658439324</v>
      </c>
    </row>
    <row r="925" spans="1:23">
      <c r="A925">
        <v>10924</v>
      </c>
      <c r="B925" s="5">
        <v>45120</v>
      </c>
      <c r="C925" s="5">
        <v>45127</v>
      </c>
      <c r="D925" s="5">
        <v>45129</v>
      </c>
      <c r="E925" t="s">
        <v>20</v>
      </c>
      <c r="F925" t="s">
        <v>22</v>
      </c>
      <c r="G925" t="s">
        <v>23</v>
      </c>
      <c r="H925" t="s">
        <v>33</v>
      </c>
      <c r="I925" t="s">
        <v>36</v>
      </c>
      <c r="J925" t="s">
        <v>37</v>
      </c>
      <c r="K925" t="s">
        <v>47</v>
      </c>
      <c r="L925" t="s">
        <v>51</v>
      </c>
      <c r="M925" s="7">
        <v>11071</v>
      </c>
      <c r="N925">
        <v>0.27</v>
      </c>
      <c r="O925" s="7">
        <v>19100</v>
      </c>
      <c r="P925">
        <v>19</v>
      </c>
      <c r="Q925" t="s">
        <v>58</v>
      </c>
      <c r="R925" t="s">
        <v>59</v>
      </c>
      <c r="S925">
        <f t="shared" si="70"/>
        <v>2023</v>
      </c>
      <c r="T925" t="str">
        <f t="shared" si="71"/>
        <v>Jul</v>
      </c>
      <c r="U925">
        <f t="shared" si="72"/>
        <v>7</v>
      </c>
      <c r="V925">
        <f t="shared" si="73"/>
        <v>9</v>
      </c>
      <c r="W925" s="9">
        <f t="shared" si="74"/>
        <v>1.7252280733447747</v>
      </c>
    </row>
    <row r="926" spans="1:23">
      <c r="A926">
        <v>10925</v>
      </c>
      <c r="B926" s="5">
        <v>45121</v>
      </c>
      <c r="C926" s="5">
        <v>45126</v>
      </c>
      <c r="D926" s="5">
        <v>45128</v>
      </c>
      <c r="E926" t="s">
        <v>18</v>
      </c>
      <c r="F926" t="s">
        <v>22</v>
      </c>
      <c r="G926" t="s">
        <v>27</v>
      </c>
      <c r="H926" t="s">
        <v>30</v>
      </c>
      <c r="I926" t="s">
        <v>36</v>
      </c>
      <c r="J926" t="s">
        <v>42</v>
      </c>
      <c r="K926" t="s">
        <v>45</v>
      </c>
      <c r="L926" t="s">
        <v>53</v>
      </c>
      <c r="M926" s="7">
        <v>43201</v>
      </c>
      <c r="N926">
        <v>0.16</v>
      </c>
      <c r="O926" s="7">
        <v>10100</v>
      </c>
      <c r="P926">
        <v>7</v>
      </c>
      <c r="Q926" t="s">
        <v>58</v>
      </c>
      <c r="R926" t="s">
        <v>62</v>
      </c>
      <c r="S926">
        <f t="shared" si="70"/>
        <v>2023</v>
      </c>
      <c r="T926" t="str">
        <f t="shared" si="71"/>
        <v>Jul</v>
      </c>
      <c r="U926">
        <f t="shared" si="72"/>
        <v>5</v>
      </c>
      <c r="V926">
        <f t="shared" si="73"/>
        <v>7</v>
      </c>
      <c r="W926" s="9">
        <f t="shared" si="74"/>
        <v>0.23379088447026689</v>
      </c>
    </row>
    <row r="927" spans="1:23">
      <c r="A927">
        <v>10926</v>
      </c>
      <c r="B927" s="5">
        <v>45122</v>
      </c>
      <c r="C927" s="5">
        <v>45127</v>
      </c>
      <c r="D927" s="5">
        <v>45131</v>
      </c>
      <c r="E927" t="s">
        <v>19</v>
      </c>
      <c r="F927" t="s">
        <v>22</v>
      </c>
      <c r="G927" t="s">
        <v>28</v>
      </c>
      <c r="H927" t="s">
        <v>29</v>
      </c>
      <c r="I927" t="s">
        <v>35</v>
      </c>
      <c r="J927" t="s">
        <v>38</v>
      </c>
      <c r="K927" t="s">
        <v>45</v>
      </c>
      <c r="L927" t="s">
        <v>52</v>
      </c>
      <c r="M927" s="7">
        <v>9383</v>
      </c>
      <c r="N927">
        <v>0.08</v>
      </c>
      <c r="O927" s="7">
        <v>19165</v>
      </c>
      <c r="P927">
        <v>10</v>
      </c>
      <c r="Q927" t="s">
        <v>56</v>
      </c>
      <c r="R927" t="s">
        <v>61</v>
      </c>
      <c r="S927">
        <f t="shared" si="70"/>
        <v>2023</v>
      </c>
      <c r="T927" t="str">
        <f t="shared" si="71"/>
        <v>Jul</v>
      </c>
      <c r="U927">
        <f t="shared" si="72"/>
        <v>5</v>
      </c>
      <c r="V927">
        <f t="shared" si="73"/>
        <v>9</v>
      </c>
      <c r="W927" s="9">
        <f t="shared" si="74"/>
        <v>2.0425237130981562</v>
      </c>
    </row>
    <row r="928" spans="1:23">
      <c r="A928">
        <v>10927</v>
      </c>
      <c r="B928" s="5">
        <v>45123</v>
      </c>
      <c r="C928" s="5">
        <v>45129</v>
      </c>
      <c r="D928" s="5">
        <v>45134</v>
      </c>
      <c r="E928" t="s">
        <v>20</v>
      </c>
      <c r="F928" t="s">
        <v>22</v>
      </c>
      <c r="G928" t="s">
        <v>26</v>
      </c>
      <c r="H928" t="s">
        <v>30</v>
      </c>
      <c r="I928" t="s">
        <v>34</v>
      </c>
      <c r="J928" t="s">
        <v>40</v>
      </c>
      <c r="K928" t="s">
        <v>44</v>
      </c>
      <c r="L928" t="s">
        <v>51</v>
      </c>
      <c r="M928" s="7">
        <v>33155</v>
      </c>
      <c r="N928">
        <v>0.37</v>
      </c>
      <c r="O928" s="7">
        <v>6609</v>
      </c>
      <c r="P928">
        <v>21</v>
      </c>
      <c r="Q928" t="s">
        <v>55</v>
      </c>
      <c r="R928" t="s">
        <v>62</v>
      </c>
      <c r="S928">
        <f t="shared" si="70"/>
        <v>2023</v>
      </c>
      <c r="T928" t="str">
        <f t="shared" si="71"/>
        <v>Jul</v>
      </c>
      <c r="U928">
        <f t="shared" si="72"/>
        <v>6</v>
      </c>
      <c r="V928">
        <f t="shared" si="73"/>
        <v>11</v>
      </c>
      <c r="W928" s="9">
        <f t="shared" si="74"/>
        <v>0.19933645000754033</v>
      </c>
    </row>
    <row r="929" spans="1:23">
      <c r="A929">
        <v>10928</v>
      </c>
      <c r="B929" s="5">
        <v>45124</v>
      </c>
      <c r="C929" s="5">
        <v>45131</v>
      </c>
      <c r="D929" s="5">
        <v>45135</v>
      </c>
      <c r="E929" t="s">
        <v>21</v>
      </c>
      <c r="F929" t="s">
        <v>22</v>
      </c>
      <c r="G929" t="s">
        <v>27</v>
      </c>
      <c r="H929" t="s">
        <v>25</v>
      </c>
      <c r="I929" t="s">
        <v>35</v>
      </c>
      <c r="J929" t="s">
        <v>42</v>
      </c>
      <c r="K929" t="s">
        <v>45</v>
      </c>
      <c r="L929" t="s">
        <v>51</v>
      </c>
      <c r="M929" s="7">
        <v>24397</v>
      </c>
      <c r="N929">
        <v>7.0000000000000007E-2</v>
      </c>
      <c r="O929" s="7">
        <v>12204</v>
      </c>
      <c r="P929">
        <v>8</v>
      </c>
      <c r="Q929" t="s">
        <v>58</v>
      </c>
      <c r="R929" t="s">
        <v>61</v>
      </c>
      <c r="S929">
        <f t="shared" si="70"/>
        <v>2023</v>
      </c>
      <c r="T929" t="str">
        <f t="shared" si="71"/>
        <v>Jul</v>
      </c>
      <c r="U929">
        <f t="shared" si="72"/>
        <v>7</v>
      </c>
      <c r="V929">
        <f t="shared" si="73"/>
        <v>11</v>
      </c>
      <c r="W929" s="9">
        <f t="shared" si="74"/>
        <v>0.50022543755379756</v>
      </c>
    </row>
    <row r="930" spans="1:23">
      <c r="A930">
        <v>10929</v>
      </c>
      <c r="B930" s="5">
        <v>45125</v>
      </c>
      <c r="C930" s="5">
        <v>45130</v>
      </c>
      <c r="D930" s="5">
        <v>45135</v>
      </c>
      <c r="E930" t="s">
        <v>18</v>
      </c>
      <c r="F930" t="s">
        <v>22</v>
      </c>
      <c r="G930" t="s">
        <v>24</v>
      </c>
      <c r="H930" t="s">
        <v>32</v>
      </c>
      <c r="I930" t="s">
        <v>36</v>
      </c>
      <c r="J930" t="s">
        <v>37</v>
      </c>
      <c r="K930" t="s">
        <v>47</v>
      </c>
      <c r="L930" t="s">
        <v>53</v>
      </c>
      <c r="M930" s="7">
        <v>59055</v>
      </c>
      <c r="N930">
        <v>0.21</v>
      </c>
      <c r="O930" s="7">
        <v>19620</v>
      </c>
      <c r="P930">
        <v>20</v>
      </c>
      <c r="Q930" t="s">
        <v>54</v>
      </c>
      <c r="R930" t="s">
        <v>62</v>
      </c>
      <c r="S930">
        <f t="shared" si="70"/>
        <v>2023</v>
      </c>
      <c r="T930" t="str">
        <f t="shared" si="71"/>
        <v>Jul</v>
      </c>
      <c r="U930">
        <f t="shared" si="72"/>
        <v>5</v>
      </c>
      <c r="V930">
        <f t="shared" si="73"/>
        <v>10</v>
      </c>
      <c r="W930" s="9">
        <f t="shared" si="74"/>
        <v>0.33223266446532895</v>
      </c>
    </row>
    <row r="931" spans="1:23">
      <c r="A931">
        <v>10930</v>
      </c>
      <c r="B931" s="5">
        <v>45126</v>
      </c>
      <c r="C931" s="5">
        <v>45130</v>
      </c>
      <c r="D931" s="5">
        <v>45132</v>
      </c>
      <c r="E931" t="s">
        <v>19</v>
      </c>
      <c r="F931" t="s">
        <v>22</v>
      </c>
      <c r="G931" t="s">
        <v>24</v>
      </c>
      <c r="H931" t="s">
        <v>25</v>
      </c>
      <c r="I931" t="s">
        <v>34</v>
      </c>
      <c r="J931" t="s">
        <v>38</v>
      </c>
      <c r="K931" t="s">
        <v>49</v>
      </c>
      <c r="L931" t="s">
        <v>51</v>
      </c>
      <c r="M931" s="7">
        <v>43707</v>
      </c>
      <c r="N931">
        <v>0.08</v>
      </c>
      <c r="O931" s="7">
        <v>12494</v>
      </c>
      <c r="P931">
        <v>16</v>
      </c>
      <c r="Q931" t="s">
        <v>54</v>
      </c>
      <c r="R931" t="s">
        <v>62</v>
      </c>
      <c r="S931">
        <f t="shared" si="70"/>
        <v>2023</v>
      </c>
      <c r="T931" t="str">
        <f t="shared" si="71"/>
        <v>Jul</v>
      </c>
      <c r="U931">
        <f t="shared" si="72"/>
        <v>4</v>
      </c>
      <c r="V931">
        <f t="shared" si="73"/>
        <v>6</v>
      </c>
      <c r="W931" s="9">
        <f t="shared" si="74"/>
        <v>0.28585810053309541</v>
      </c>
    </row>
    <row r="932" spans="1:23">
      <c r="A932">
        <v>10931</v>
      </c>
      <c r="B932" s="5">
        <v>45127</v>
      </c>
      <c r="C932" s="5">
        <v>45131</v>
      </c>
      <c r="D932" s="5">
        <v>45134</v>
      </c>
      <c r="E932" t="s">
        <v>19</v>
      </c>
      <c r="F932" t="s">
        <v>22</v>
      </c>
      <c r="G932" t="s">
        <v>28</v>
      </c>
      <c r="H932" t="s">
        <v>30</v>
      </c>
      <c r="I932" t="s">
        <v>34</v>
      </c>
      <c r="J932" t="s">
        <v>37</v>
      </c>
      <c r="K932" t="s">
        <v>49</v>
      </c>
      <c r="L932" t="s">
        <v>51</v>
      </c>
      <c r="M932" s="7">
        <v>2267</v>
      </c>
      <c r="N932">
        <v>0.31</v>
      </c>
      <c r="O932" s="7">
        <v>12966</v>
      </c>
      <c r="P932">
        <v>21</v>
      </c>
      <c r="Q932" t="s">
        <v>55</v>
      </c>
      <c r="R932" t="s">
        <v>61</v>
      </c>
      <c r="S932">
        <f t="shared" si="70"/>
        <v>2023</v>
      </c>
      <c r="T932" t="str">
        <f t="shared" si="71"/>
        <v>Jul</v>
      </c>
      <c r="U932">
        <f t="shared" si="72"/>
        <v>4</v>
      </c>
      <c r="V932">
        <f t="shared" si="73"/>
        <v>7</v>
      </c>
      <c r="W932" s="9">
        <f t="shared" si="74"/>
        <v>5.7194530216144681</v>
      </c>
    </row>
    <row r="933" spans="1:23">
      <c r="A933">
        <v>10932</v>
      </c>
      <c r="B933" s="5">
        <v>45128</v>
      </c>
      <c r="C933" s="5">
        <v>45130</v>
      </c>
      <c r="D933" s="5">
        <v>45133</v>
      </c>
      <c r="E933" t="s">
        <v>21</v>
      </c>
      <c r="F933" t="s">
        <v>22</v>
      </c>
      <c r="G933" t="s">
        <v>27</v>
      </c>
      <c r="H933" t="s">
        <v>31</v>
      </c>
      <c r="I933" t="s">
        <v>34</v>
      </c>
      <c r="J933" t="s">
        <v>40</v>
      </c>
      <c r="K933" t="s">
        <v>48</v>
      </c>
      <c r="L933" t="s">
        <v>51</v>
      </c>
      <c r="M933" s="7">
        <v>47683</v>
      </c>
      <c r="N933">
        <v>0.19</v>
      </c>
      <c r="O933" s="7">
        <v>-1101</v>
      </c>
      <c r="P933">
        <v>22</v>
      </c>
      <c r="Q933" t="s">
        <v>54</v>
      </c>
      <c r="R933" t="s">
        <v>62</v>
      </c>
      <c r="S933">
        <f t="shared" si="70"/>
        <v>2023</v>
      </c>
      <c r="T933" t="str">
        <f t="shared" si="71"/>
        <v>Jul</v>
      </c>
      <c r="U933">
        <f t="shared" si="72"/>
        <v>2</v>
      </c>
      <c r="V933">
        <f t="shared" si="73"/>
        <v>5</v>
      </c>
      <c r="W933" s="9">
        <f t="shared" si="74"/>
        <v>-2.3089990143237631E-2</v>
      </c>
    </row>
    <row r="934" spans="1:23">
      <c r="A934">
        <v>10933</v>
      </c>
      <c r="B934" s="5">
        <v>45129</v>
      </c>
      <c r="C934" s="5">
        <v>45135</v>
      </c>
      <c r="D934" s="5">
        <v>45139</v>
      </c>
      <c r="E934" t="s">
        <v>18</v>
      </c>
      <c r="F934" t="s">
        <v>22</v>
      </c>
      <c r="G934" t="s">
        <v>27</v>
      </c>
      <c r="H934" t="s">
        <v>30</v>
      </c>
      <c r="I934" t="s">
        <v>36</v>
      </c>
      <c r="J934" t="s">
        <v>40</v>
      </c>
      <c r="K934" t="s">
        <v>47</v>
      </c>
      <c r="L934" t="s">
        <v>51</v>
      </c>
      <c r="M934" s="7">
        <v>68458</v>
      </c>
      <c r="N934">
        <v>7.0000000000000007E-2</v>
      </c>
      <c r="O934" s="7">
        <v>9154</v>
      </c>
      <c r="P934">
        <v>19</v>
      </c>
      <c r="Q934" t="s">
        <v>58</v>
      </c>
      <c r="R934" t="s">
        <v>60</v>
      </c>
      <c r="S934">
        <f t="shared" si="70"/>
        <v>2023</v>
      </c>
      <c r="T934" t="str">
        <f t="shared" si="71"/>
        <v>Jul</v>
      </c>
      <c r="U934">
        <f t="shared" si="72"/>
        <v>6</v>
      </c>
      <c r="V934">
        <f t="shared" si="73"/>
        <v>10</v>
      </c>
      <c r="W934" s="9">
        <f t="shared" si="74"/>
        <v>0.13371702357649945</v>
      </c>
    </row>
    <row r="935" spans="1:23">
      <c r="A935">
        <v>10934</v>
      </c>
      <c r="B935" s="5">
        <v>45130</v>
      </c>
      <c r="C935" s="5">
        <v>45134</v>
      </c>
      <c r="D935" s="5">
        <v>45138</v>
      </c>
      <c r="E935" t="s">
        <v>19</v>
      </c>
      <c r="F935" t="s">
        <v>22</v>
      </c>
      <c r="G935" t="s">
        <v>26</v>
      </c>
      <c r="H935" t="s">
        <v>33</v>
      </c>
      <c r="I935" t="s">
        <v>36</v>
      </c>
      <c r="J935" t="s">
        <v>43</v>
      </c>
      <c r="K935" t="s">
        <v>46</v>
      </c>
      <c r="L935" t="s">
        <v>51</v>
      </c>
      <c r="M935" s="7">
        <v>14523</v>
      </c>
      <c r="N935">
        <v>0.06</v>
      </c>
      <c r="O935" s="7">
        <v>10741</v>
      </c>
      <c r="P935">
        <v>14</v>
      </c>
      <c r="Q935" t="s">
        <v>58</v>
      </c>
      <c r="R935" t="s">
        <v>59</v>
      </c>
      <c r="S935">
        <f t="shared" si="70"/>
        <v>2023</v>
      </c>
      <c r="T935" t="str">
        <f t="shared" si="71"/>
        <v>Jul</v>
      </c>
      <c r="U935">
        <f t="shared" si="72"/>
        <v>4</v>
      </c>
      <c r="V935">
        <f t="shared" si="73"/>
        <v>8</v>
      </c>
      <c r="W935" s="9">
        <f t="shared" si="74"/>
        <v>0.73958548509261168</v>
      </c>
    </row>
    <row r="936" spans="1:23">
      <c r="A936">
        <v>10935</v>
      </c>
      <c r="B936" s="5">
        <v>45131</v>
      </c>
      <c r="C936" s="5">
        <v>45138</v>
      </c>
      <c r="D936" s="5">
        <v>45141</v>
      </c>
      <c r="E936" t="s">
        <v>20</v>
      </c>
      <c r="F936" t="s">
        <v>22</v>
      </c>
      <c r="G936" t="s">
        <v>28</v>
      </c>
      <c r="H936" t="s">
        <v>32</v>
      </c>
      <c r="I936" t="s">
        <v>35</v>
      </c>
      <c r="J936" t="s">
        <v>42</v>
      </c>
      <c r="K936" t="s">
        <v>47</v>
      </c>
      <c r="L936" t="s">
        <v>52</v>
      </c>
      <c r="M936" s="7">
        <v>48745</v>
      </c>
      <c r="N936">
        <v>0</v>
      </c>
      <c r="O936" s="7">
        <v>10812</v>
      </c>
      <c r="P936">
        <v>9</v>
      </c>
      <c r="Q936" t="s">
        <v>56</v>
      </c>
      <c r="R936" t="s">
        <v>61</v>
      </c>
      <c r="S936">
        <f t="shared" si="70"/>
        <v>2023</v>
      </c>
      <c r="T936" t="str">
        <f t="shared" si="71"/>
        <v>Jul</v>
      </c>
      <c r="U936">
        <f t="shared" si="72"/>
        <v>7</v>
      </c>
      <c r="V936">
        <f t="shared" si="73"/>
        <v>10</v>
      </c>
      <c r="W936" s="9">
        <f t="shared" si="74"/>
        <v>0.22180736485793415</v>
      </c>
    </row>
    <row r="937" spans="1:23">
      <c r="A937">
        <v>10936</v>
      </c>
      <c r="B937" s="5">
        <v>45132</v>
      </c>
      <c r="C937" s="5">
        <v>45136</v>
      </c>
      <c r="D937" s="5">
        <v>45137</v>
      </c>
      <c r="E937" t="s">
        <v>20</v>
      </c>
      <c r="F937" t="s">
        <v>22</v>
      </c>
      <c r="G937" t="s">
        <v>26</v>
      </c>
      <c r="H937" t="s">
        <v>31</v>
      </c>
      <c r="I937" t="s">
        <v>34</v>
      </c>
      <c r="J937" t="s">
        <v>42</v>
      </c>
      <c r="K937" t="s">
        <v>49</v>
      </c>
      <c r="L937" t="s">
        <v>53</v>
      </c>
      <c r="M937" s="7">
        <v>35274</v>
      </c>
      <c r="N937">
        <v>0.24</v>
      </c>
      <c r="O937" s="7">
        <v>10164</v>
      </c>
      <c r="P937">
        <v>3</v>
      </c>
      <c r="Q937" t="s">
        <v>57</v>
      </c>
      <c r="R937" t="s">
        <v>62</v>
      </c>
      <c r="S937">
        <f t="shared" si="70"/>
        <v>2023</v>
      </c>
      <c r="T937" t="str">
        <f t="shared" si="71"/>
        <v>Jul</v>
      </c>
      <c r="U937">
        <f t="shared" si="72"/>
        <v>4</v>
      </c>
      <c r="V937">
        <f t="shared" si="73"/>
        <v>5</v>
      </c>
      <c r="W937" s="9">
        <f t="shared" si="74"/>
        <v>0.28814424221806428</v>
      </c>
    </row>
    <row r="938" spans="1:23">
      <c r="A938">
        <v>10937</v>
      </c>
      <c r="B938" s="5">
        <v>45133</v>
      </c>
      <c r="C938" s="5">
        <v>45135</v>
      </c>
      <c r="D938" s="5">
        <v>45136</v>
      </c>
      <c r="E938" t="s">
        <v>20</v>
      </c>
      <c r="F938" t="s">
        <v>22</v>
      </c>
      <c r="G938" t="s">
        <v>25</v>
      </c>
      <c r="H938" t="s">
        <v>31</v>
      </c>
      <c r="I938" t="s">
        <v>34</v>
      </c>
      <c r="J938" t="s">
        <v>37</v>
      </c>
      <c r="K938" t="s">
        <v>49</v>
      </c>
      <c r="L938" t="s">
        <v>51</v>
      </c>
      <c r="M938" s="7">
        <v>29940</v>
      </c>
      <c r="N938">
        <v>0.2</v>
      </c>
      <c r="O938" s="7">
        <v>231</v>
      </c>
      <c r="P938">
        <v>9</v>
      </c>
      <c r="Q938" t="s">
        <v>56</v>
      </c>
      <c r="R938" t="s">
        <v>60</v>
      </c>
      <c r="S938">
        <f t="shared" si="70"/>
        <v>2023</v>
      </c>
      <c r="T938" t="str">
        <f t="shared" si="71"/>
        <v>Jul</v>
      </c>
      <c r="U938">
        <f t="shared" si="72"/>
        <v>2</v>
      </c>
      <c r="V938">
        <f t="shared" si="73"/>
        <v>3</v>
      </c>
      <c r="W938" s="9">
        <f t="shared" si="74"/>
        <v>7.7154308617234466E-3</v>
      </c>
    </row>
    <row r="939" spans="1:23">
      <c r="A939">
        <v>10938</v>
      </c>
      <c r="B939" s="5">
        <v>45134</v>
      </c>
      <c r="C939" s="5">
        <v>45141</v>
      </c>
      <c r="D939" s="5">
        <v>45146</v>
      </c>
      <c r="E939" t="s">
        <v>18</v>
      </c>
      <c r="F939" t="s">
        <v>22</v>
      </c>
      <c r="G939" t="s">
        <v>28</v>
      </c>
      <c r="H939" t="s">
        <v>30</v>
      </c>
      <c r="I939" t="s">
        <v>36</v>
      </c>
      <c r="J939" t="s">
        <v>37</v>
      </c>
      <c r="K939" t="s">
        <v>48</v>
      </c>
      <c r="L939" t="s">
        <v>52</v>
      </c>
      <c r="M939" s="7">
        <v>37261</v>
      </c>
      <c r="N939">
        <v>0.08</v>
      </c>
      <c r="O939" s="7">
        <v>2335</v>
      </c>
      <c r="P939">
        <v>17</v>
      </c>
      <c r="Q939" t="s">
        <v>56</v>
      </c>
      <c r="R939" t="s">
        <v>60</v>
      </c>
      <c r="S939">
        <f t="shared" si="70"/>
        <v>2023</v>
      </c>
      <c r="T939" t="str">
        <f t="shared" si="71"/>
        <v>Jul</v>
      </c>
      <c r="U939">
        <f t="shared" si="72"/>
        <v>7</v>
      </c>
      <c r="V939">
        <f t="shared" si="73"/>
        <v>12</v>
      </c>
      <c r="W939" s="9">
        <f t="shared" si="74"/>
        <v>6.2666058345186654E-2</v>
      </c>
    </row>
    <row r="940" spans="1:23">
      <c r="A940">
        <v>10939</v>
      </c>
      <c r="B940" s="5">
        <v>45135</v>
      </c>
      <c r="C940" s="5">
        <v>45140</v>
      </c>
      <c r="D940" s="5">
        <v>45145</v>
      </c>
      <c r="E940" t="s">
        <v>20</v>
      </c>
      <c r="F940" t="s">
        <v>22</v>
      </c>
      <c r="G940" t="s">
        <v>24</v>
      </c>
      <c r="H940" t="s">
        <v>30</v>
      </c>
      <c r="I940" t="s">
        <v>34</v>
      </c>
      <c r="J940" t="s">
        <v>37</v>
      </c>
      <c r="K940" t="s">
        <v>47</v>
      </c>
      <c r="L940" t="s">
        <v>52</v>
      </c>
      <c r="M940" s="7">
        <v>29477</v>
      </c>
      <c r="N940">
        <v>0.01</v>
      </c>
      <c r="O940" s="7">
        <v>-442</v>
      </c>
      <c r="P940">
        <v>23</v>
      </c>
      <c r="Q940" t="s">
        <v>55</v>
      </c>
      <c r="R940" t="s">
        <v>60</v>
      </c>
      <c r="S940">
        <f t="shared" si="70"/>
        <v>2023</v>
      </c>
      <c r="T940" t="str">
        <f t="shared" si="71"/>
        <v>Jul</v>
      </c>
      <c r="U940">
        <f t="shared" si="72"/>
        <v>5</v>
      </c>
      <c r="V940">
        <f t="shared" si="73"/>
        <v>10</v>
      </c>
      <c r="W940" s="9">
        <f t="shared" si="74"/>
        <v>-1.4994741662991485E-2</v>
      </c>
    </row>
    <row r="941" spans="1:23">
      <c r="A941">
        <v>10940</v>
      </c>
      <c r="B941" s="5">
        <v>45136</v>
      </c>
      <c r="C941" s="5">
        <v>45140</v>
      </c>
      <c r="D941" s="5">
        <v>45145</v>
      </c>
      <c r="E941" t="s">
        <v>19</v>
      </c>
      <c r="F941" t="s">
        <v>22</v>
      </c>
      <c r="G941" t="s">
        <v>24</v>
      </c>
      <c r="H941" t="s">
        <v>30</v>
      </c>
      <c r="I941" t="s">
        <v>35</v>
      </c>
      <c r="J941" t="s">
        <v>39</v>
      </c>
      <c r="K941" t="s">
        <v>47</v>
      </c>
      <c r="L941" t="s">
        <v>53</v>
      </c>
      <c r="M941" s="7">
        <v>1898</v>
      </c>
      <c r="N941">
        <v>0.33</v>
      </c>
      <c r="O941" s="7">
        <v>19021</v>
      </c>
      <c r="P941">
        <v>18</v>
      </c>
      <c r="Q941" t="s">
        <v>54</v>
      </c>
      <c r="R941" t="s">
        <v>61</v>
      </c>
      <c r="S941">
        <f t="shared" si="70"/>
        <v>2023</v>
      </c>
      <c r="T941" t="str">
        <f t="shared" si="71"/>
        <v>Jul</v>
      </c>
      <c r="U941">
        <f t="shared" si="72"/>
        <v>4</v>
      </c>
      <c r="V941">
        <f t="shared" si="73"/>
        <v>9</v>
      </c>
      <c r="W941" s="9">
        <f t="shared" si="74"/>
        <v>10.021601685985248</v>
      </c>
    </row>
    <row r="942" spans="1:23">
      <c r="A942">
        <v>10941</v>
      </c>
      <c r="B942" s="5">
        <v>45137</v>
      </c>
      <c r="C942" s="5">
        <v>45140</v>
      </c>
      <c r="D942" s="5">
        <v>45144</v>
      </c>
      <c r="E942" t="s">
        <v>20</v>
      </c>
      <c r="F942" t="s">
        <v>22</v>
      </c>
      <c r="G942" t="s">
        <v>27</v>
      </c>
      <c r="H942" t="s">
        <v>25</v>
      </c>
      <c r="I942" t="s">
        <v>36</v>
      </c>
      <c r="J942" t="s">
        <v>42</v>
      </c>
      <c r="K942" t="s">
        <v>46</v>
      </c>
      <c r="L942" t="s">
        <v>53</v>
      </c>
      <c r="M942" s="7">
        <v>16848</v>
      </c>
      <c r="N942">
        <v>0.33</v>
      </c>
      <c r="O942" s="7">
        <v>5043</v>
      </c>
      <c r="P942">
        <v>18</v>
      </c>
      <c r="Q942" t="s">
        <v>56</v>
      </c>
      <c r="R942" t="s">
        <v>60</v>
      </c>
      <c r="S942">
        <f t="shared" si="70"/>
        <v>2023</v>
      </c>
      <c r="T942" t="str">
        <f t="shared" si="71"/>
        <v>Jul</v>
      </c>
      <c r="U942">
        <f t="shared" si="72"/>
        <v>3</v>
      </c>
      <c r="V942">
        <f t="shared" si="73"/>
        <v>7</v>
      </c>
      <c r="W942" s="9">
        <f t="shared" si="74"/>
        <v>0.29932336182336183</v>
      </c>
    </row>
    <row r="943" spans="1:23">
      <c r="A943">
        <v>10942</v>
      </c>
      <c r="B943" s="5">
        <v>45138</v>
      </c>
      <c r="C943" s="5">
        <v>45144</v>
      </c>
      <c r="D943" s="5">
        <v>45146</v>
      </c>
      <c r="E943" t="s">
        <v>20</v>
      </c>
      <c r="F943" t="s">
        <v>22</v>
      </c>
      <c r="G943" t="s">
        <v>26</v>
      </c>
      <c r="H943" t="s">
        <v>25</v>
      </c>
      <c r="I943" t="s">
        <v>34</v>
      </c>
      <c r="J943" t="s">
        <v>41</v>
      </c>
      <c r="K943" t="s">
        <v>50</v>
      </c>
      <c r="L943" t="s">
        <v>52</v>
      </c>
      <c r="M943" s="7">
        <v>12379</v>
      </c>
      <c r="N943">
        <v>0.22</v>
      </c>
      <c r="O943" s="7">
        <v>19659</v>
      </c>
      <c r="P943">
        <v>13</v>
      </c>
      <c r="Q943" t="s">
        <v>56</v>
      </c>
      <c r="R943" t="s">
        <v>61</v>
      </c>
      <c r="S943">
        <f t="shared" si="70"/>
        <v>2023</v>
      </c>
      <c r="T943" t="str">
        <f t="shared" si="71"/>
        <v>Jul</v>
      </c>
      <c r="U943">
        <f t="shared" si="72"/>
        <v>6</v>
      </c>
      <c r="V943">
        <f t="shared" si="73"/>
        <v>8</v>
      </c>
      <c r="W943" s="9">
        <f t="shared" si="74"/>
        <v>1.5880927377009451</v>
      </c>
    </row>
    <row r="944" spans="1:23">
      <c r="A944">
        <v>10943</v>
      </c>
      <c r="B944" s="5">
        <v>45139</v>
      </c>
      <c r="C944" s="5">
        <v>45146</v>
      </c>
      <c r="D944" s="5">
        <v>45147</v>
      </c>
      <c r="E944" t="s">
        <v>21</v>
      </c>
      <c r="F944" t="s">
        <v>22</v>
      </c>
      <c r="G944" t="s">
        <v>25</v>
      </c>
      <c r="H944" t="s">
        <v>29</v>
      </c>
      <c r="I944" t="s">
        <v>35</v>
      </c>
      <c r="J944" t="s">
        <v>37</v>
      </c>
      <c r="K944" t="s">
        <v>45</v>
      </c>
      <c r="L944" t="s">
        <v>52</v>
      </c>
      <c r="M944" s="7">
        <v>38087</v>
      </c>
      <c r="N944">
        <v>0.03</v>
      </c>
      <c r="O944" s="7">
        <v>3979</v>
      </c>
      <c r="P944">
        <v>8</v>
      </c>
      <c r="Q944" t="s">
        <v>57</v>
      </c>
      <c r="R944" t="s">
        <v>59</v>
      </c>
      <c r="S944">
        <f t="shared" si="70"/>
        <v>2023</v>
      </c>
      <c r="T944" t="str">
        <f t="shared" si="71"/>
        <v>Aug</v>
      </c>
      <c r="U944">
        <f t="shared" si="72"/>
        <v>7</v>
      </c>
      <c r="V944">
        <f t="shared" si="73"/>
        <v>8</v>
      </c>
      <c r="W944" s="9">
        <f t="shared" si="74"/>
        <v>0.10447134192769186</v>
      </c>
    </row>
    <row r="945" spans="1:23">
      <c r="A945">
        <v>10944</v>
      </c>
      <c r="B945" s="5">
        <v>45140</v>
      </c>
      <c r="C945" s="5">
        <v>45143</v>
      </c>
      <c r="D945" s="5">
        <v>45146</v>
      </c>
      <c r="E945" t="s">
        <v>18</v>
      </c>
      <c r="F945" t="s">
        <v>22</v>
      </c>
      <c r="G945" t="s">
        <v>27</v>
      </c>
      <c r="H945" t="s">
        <v>25</v>
      </c>
      <c r="I945" t="s">
        <v>35</v>
      </c>
      <c r="J945" t="s">
        <v>40</v>
      </c>
      <c r="K945" t="s">
        <v>44</v>
      </c>
      <c r="L945" t="s">
        <v>53</v>
      </c>
      <c r="M945" s="7">
        <v>44440</v>
      </c>
      <c r="N945">
        <v>0.04</v>
      </c>
      <c r="O945" s="7">
        <v>15510</v>
      </c>
      <c r="P945">
        <v>17</v>
      </c>
      <c r="Q945" t="s">
        <v>54</v>
      </c>
      <c r="R945" t="s">
        <v>62</v>
      </c>
      <c r="S945">
        <f t="shared" si="70"/>
        <v>2023</v>
      </c>
      <c r="T945" t="str">
        <f t="shared" si="71"/>
        <v>Aug</v>
      </c>
      <c r="U945">
        <f t="shared" si="72"/>
        <v>3</v>
      </c>
      <c r="V945">
        <f t="shared" si="73"/>
        <v>6</v>
      </c>
      <c r="W945" s="9">
        <f t="shared" si="74"/>
        <v>0.34900990099009899</v>
      </c>
    </row>
    <row r="946" spans="1:23">
      <c r="A946">
        <v>10945</v>
      </c>
      <c r="B946" s="5">
        <v>45141</v>
      </c>
      <c r="C946" s="5">
        <v>45143</v>
      </c>
      <c r="D946" s="5">
        <v>45147</v>
      </c>
      <c r="E946" t="s">
        <v>18</v>
      </c>
      <c r="F946" t="s">
        <v>22</v>
      </c>
      <c r="G946" t="s">
        <v>24</v>
      </c>
      <c r="H946" t="s">
        <v>32</v>
      </c>
      <c r="I946" t="s">
        <v>35</v>
      </c>
      <c r="J946" t="s">
        <v>37</v>
      </c>
      <c r="K946" t="s">
        <v>45</v>
      </c>
      <c r="L946" t="s">
        <v>52</v>
      </c>
      <c r="M946" s="7">
        <v>33156</v>
      </c>
      <c r="N946">
        <v>0.06</v>
      </c>
      <c r="O946" s="7">
        <v>19293</v>
      </c>
      <c r="P946">
        <v>5</v>
      </c>
      <c r="Q946" t="s">
        <v>57</v>
      </c>
      <c r="R946" t="s">
        <v>61</v>
      </c>
      <c r="S946">
        <f t="shared" si="70"/>
        <v>2023</v>
      </c>
      <c r="T946" t="str">
        <f t="shared" si="71"/>
        <v>Aug</v>
      </c>
      <c r="U946">
        <f t="shared" si="72"/>
        <v>2</v>
      </c>
      <c r="V946">
        <f t="shared" si="73"/>
        <v>6</v>
      </c>
      <c r="W946" s="9">
        <f t="shared" si="74"/>
        <v>0.5818856315598987</v>
      </c>
    </row>
    <row r="947" spans="1:23">
      <c r="A947">
        <v>10946</v>
      </c>
      <c r="B947" s="5">
        <v>45142</v>
      </c>
      <c r="C947" s="5">
        <v>45149</v>
      </c>
      <c r="D947" s="5">
        <v>45152</v>
      </c>
      <c r="E947" t="s">
        <v>18</v>
      </c>
      <c r="F947" t="s">
        <v>22</v>
      </c>
      <c r="G947" t="s">
        <v>23</v>
      </c>
      <c r="H947" t="s">
        <v>33</v>
      </c>
      <c r="I947" t="s">
        <v>35</v>
      </c>
      <c r="J947" t="s">
        <v>41</v>
      </c>
      <c r="K947" t="s">
        <v>47</v>
      </c>
      <c r="L947" t="s">
        <v>53</v>
      </c>
      <c r="M947" s="7">
        <v>12410</v>
      </c>
      <c r="N947">
        <v>0.28000000000000003</v>
      </c>
      <c r="O947" s="7">
        <v>17548</v>
      </c>
      <c r="P947">
        <v>8</v>
      </c>
      <c r="Q947" t="s">
        <v>56</v>
      </c>
      <c r="R947" t="s">
        <v>62</v>
      </c>
      <c r="S947">
        <f t="shared" si="70"/>
        <v>2023</v>
      </c>
      <c r="T947" t="str">
        <f t="shared" si="71"/>
        <v>Aug</v>
      </c>
      <c r="U947">
        <f t="shared" si="72"/>
        <v>7</v>
      </c>
      <c r="V947">
        <f t="shared" si="73"/>
        <v>10</v>
      </c>
      <c r="W947" s="9">
        <f t="shared" si="74"/>
        <v>1.4140209508460919</v>
      </c>
    </row>
    <row r="948" spans="1:23">
      <c r="A948">
        <v>10947</v>
      </c>
      <c r="B948" s="5">
        <v>45143</v>
      </c>
      <c r="C948" s="5">
        <v>45150</v>
      </c>
      <c r="D948" s="5">
        <v>45151</v>
      </c>
      <c r="E948" t="s">
        <v>21</v>
      </c>
      <c r="F948" t="s">
        <v>22</v>
      </c>
      <c r="G948" t="s">
        <v>24</v>
      </c>
      <c r="H948" t="s">
        <v>33</v>
      </c>
      <c r="I948" t="s">
        <v>34</v>
      </c>
      <c r="J948" t="s">
        <v>38</v>
      </c>
      <c r="K948" t="s">
        <v>47</v>
      </c>
      <c r="L948" t="s">
        <v>51</v>
      </c>
      <c r="M948" s="7">
        <v>56594</v>
      </c>
      <c r="N948">
        <v>0.4</v>
      </c>
      <c r="O948" s="7">
        <v>637</v>
      </c>
      <c r="P948">
        <v>6</v>
      </c>
      <c r="Q948" t="s">
        <v>58</v>
      </c>
      <c r="R948" t="s">
        <v>59</v>
      </c>
      <c r="S948">
        <f t="shared" si="70"/>
        <v>2023</v>
      </c>
      <c r="T948" t="str">
        <f t="shared" si="71"/>
        <v>Aug</v>
      </c>
      <c r="U948">
        <f t="shared" si="72"/>
        <v>7</v>
      </c>
      <c r="V948">
        <f t="shared" si="73"/>
        <v>8</v>
      </c>
      <c r="W948" s="9">
        <f t="shared" si="74"/>
        <v>1.1255610135350038E-2</v>
      </c>
    </row>
    <row r="949" spans="1:23">
      <c r="A949">
        <v>10948</v>
      </c>
      <c r="B949" s="5">
        <v>45144</v>
      </c>
      <c r="C949" s="5">
        <v>45147</v>
      </c>
      <c r="D949" s="5">
        <v>45148</v>
      </c>
      <c r="E949" t="s">
        <v>18</v>
      </c>
      <c r="F949" t="s">
        <v>22</v>
      </c>
      <c r="G949" t="s">
        <v>28</v>
      </c>
      <c r="H949" t="s">
        <v>29</v>
      </c>
      <c r="I949" t="s">
        <v>34</v>
      </c>
      <c r="J949" t="s">
        <v>42</v>
      </c>
      <c r="K949" t="s">
        <v>44</v>
      </c>
      <c r="L949" t="s">
        <v>53</v>
      </c>
      <c r="M949" s="7">
        <v>52923</v>
      </c>
      <c r="N949">
        <v>0.04</v>
      </c>
      <c r="O949" s="7">
        <v>10095</v>
      </c>
      <c r="P949">
        <v>15</v>
      </c>
      <c r="Q949" t="s">
        <v>57</v>
      </c>
      <c r="R949" t="s">
        <v>61</v>
      </c>
      <c r="S949">
        <f t="shared" si="70"/>
        <v>2023</v>
      </c>
      <c r="T949" t="str">
        <f t="shared" si="71"/>
        <v>Aug</v>
      </c>
      <c r="U949">
        <f t="shared" si="72"/>
        <v>3</v>
      </c>
      <c r="V949">
        <f t="shared" si="73"/>
        <v>4</v>
      </c>
      <c r="W949" s="9">
        <f t="shared" si="74"/>
        <v>0.19074882376282523</v>
      </c>
    </row>
    <row r="950" spans="1:23">
      <c r="A950">
        <v>10949</v>
      </c>
      <c r="B950" s="5">
        <v>45145</v>
      </c>
      <c r="C950" s="5">
        <v>45152</v>
      </c>
      <c r="D950" s="5">
        <v>45157</v>
      </c>
      <c r="E950" t="s">
        <v>21</v>
      </c>
      <c r="F950" t="s">
        <v>22</v>
      </c>
      <c r="G950" t="s">
        <v>24</v>
      </c>
      <c r="H950" t="s">
        <v>29</v>
      </c>
      <c r="I950" t="s">
        <v>36</v>
      </c>
      <c r="J950" t="s">
        <v>43</v>
      </c>
      <c r="K950" t="s">
        <v>50</v>
      </c>
      <c r="L950" t="s">
        <v>53</v>
      </c>
      <c r="M950" s="7">
        <v>45051</v>
      </c>
      <c r="N950">
        <v>0.17</v>
      </c>
      <c r="O950" s="7">
        <v>10848</v>
      </c>
      <c r="P950">
        <v>4</v>
      </c>
      <c r="Q950" t="s">
        <v>54</v>
      </c>
      <c r="R950" t="s">
        <v>62</v>
      </c>
      <c r="S950">
        <f t="shared" si="70"/>
        <v>2023</v>
      </c>
      <c r="T950" t="str">
        <f t="shared" si="71"/>
        <v>Aug</v>
      </c>
      <c r="U950">
        <f t="shared" si="72"/>
        <v>7</v>
      </c>
      <c r="V950">
        <f t="shared" si="73"/>
        <v>12</v>
      </c>
      <c r="W950" s="9">
        <f t="shared" si="74"/>
        <v>0.24079376706399414</v>
      </c>
    </row>
    <row r="951" spans="1:23">
      <c r="A951">
        <v>10950</v>
      </c>
      <c r="B951" s="5">
        <v>45146</v>
      </c>
      <c r="C951" s="5">
        <v>45151</v>
      </c>
      <c r="D951" s="5">
        <v>45153</v>
      </c>
      <c r="E951" t="s">
        <v>19</v>
      </c>
      <c r="F951" t="s">
        <v>22</v>
      </c>
      <c r="G951" t="s">
        <v>23</v>
      </c>
      <c r="H951" t="s">
        <v>33</v>
      </c>
      <c r="I951" t="s">
        <v>36</v>
      </c>
      <c r="J951" t="s">
        <v>42</v>
      </c>
      <c r="K951" t="s">
        <v>47</v>
      </c>
      <c r="L951" t="s">
        <v>51</v>
      </c>
      <c r="M951" s="7">
        <v>36284</v>
      </c>
      <c r="N951">
        <v>0.21</v>
      </c>
      <c r="O951" s="7">
        <v>3201</v>
      </c>
      <c r="P951">
        <v>3</v>
      </c>
      <c r="Q951" t="s">
        <v>56</v>
      </c>
      <c r="R951" t="s">
        <v>62</v>
      </c>
      <c r="S951">
        <f t="shared" si="70"/>
        <v>2023</v>
      </c>
      <c r="T951" t="str">
        <f t="shared" si="71"/>
        <v>Aug</v>
      </c>
      <c r="U951">
        <f t="shared" si="72"/>
        <v>5</v>
      </c>
      <c r="V951">
        <f t="shared" si="73"/>
        <v>7</v>
      </c>
      <c r="W951" s="9">
        <f t="shared" si="74"/>
        <v>8.8220703340315287E-2</v>
      </c>
    </row>
    <row r="952" spans="1:23">
      <c r="A952">
        <v>10951</v>
      </c>
      <c r="B952" s="5">
        <v>45147</v>
      </c>
      <c r="C952" s="5">
        <v>45152</v>
      </c>
      <c r="D952" s="5">
        <v>45154</v>
      </c>
      <c r="E952" t="s">
        <v>19</v>
      </c>
      <c r="F952" t="s">
        <v>22</v>
      </c>
      <c r="G952" t="s">
        <v>25</v>
      </c>
      <c r="H952" t="s">
        <v>30</v>
      </c>
      <c r="I952" t="s">
        <v>34</v>
      </c>
      <c r="J952" t="s">
        <v>40</v>
      </c>
      <c r="K952" t="s">
        <v>50</v>
      </c>
      <c r="L952" t="s">
        <v>51</v>
      </c>
      <c r="M952" s="7">
        <v>3220</v>
      </c>
      <c r="N952">
        <v>0.34</v>
      </c>
      <c r="O952" s="7">
        <v>4970</v>
      </c>
      <c r="P952">
        <v>16</v>
      </c>
      <c r="Q952" t="s">
        <v>54</v>
      </c>
      <c r="R952" t="s">
        <v>60</v>
      </c>
      <c r="S952">
        <f t="shared" si="70"/>
        <v>2023</v>
      </c>
      <c r="T952" t="str">
        <f t="shared" si="71"/>
        <v>Aug</v>
      </c>
      <c r="U952">
        <f t="shared" si="72"/>
        <v>5</v>
      </c>
      <c r="V952">
        <f t="shared" si="73"/>
        <v>7</v>
      </c>
      <c r="W952" s="9">
        <f t="shared" si="74"/>
        <v>1.5434782608695652</v>
      </c>
    </row>
    <row r="953" spans="1:23">
      <c r="A953">
        <v>10952</v>
      </c>
      <c r="B953" s="5">
        <v>45148</v>
      </c>
      <c r="C953" s="5">
        <v>45153</v>
      </c>
      <c r="D953" s="5">
        <v>45158</v>
      </c>
      <c r="E953" t="s">
        <v>19</v>
      </c>
      <c r="F953" t="s">
        <v>22</v>
      </c>
      <c r="G953" t="s">
        <v>25</v>
      </c>
      <c r="H953" t="s">
        <v>32</v>
      </c>
      <c r="I953" t="s">
        <v>34</v>
      </c>
      <c r="J953" t="s">
        <v>41</v>
      </c>
      <c r="K953" t="s">
        <v>48</v>
      </c>
      <c r="L953" t="s">
        <v>51</v>
      </c>
      <c r="M953" s="7">
        <v>37703</v>
      </c>
      <c r="N953">
        <v>0.28999999999999998</v>
      </c>
      <c r="O953" s="7">
        <v>4331</v>
      </c>
      <c r="P953">
        <v>13</v>
      </c>
      <c r="Q953" t="s">
        <v>55</v>
      </c>
      <c r="R953" t="s">
        <v>62</v>
      </c>
      <c r="S953">
        <f t="shared" si="70"/>
        <v>2023</v>
      </c>
      <c r="T953" t="str">
        <f t="shared" si="71"/>
        <v>Aug</v>
      </c>
      <c r="U953">
        <f t="shared" si="72"/>
        <v>5</v>
      </c>
      <c r="V953">
        <f t="shared" si="73"/>
        <v>10</v>
      </c>
      <c r="W953" s="9">
        <f t="shared" si="74"/>
        <v>0.11487149563695197</v>
      </c>
    </row>
    <row r="954" spans="1:23">
      <c r="A954">
        <v>10953</v>
      </c>
      <c r="B954" s="5">
        <v>45149</v>
      </c>
      <c r="C954" s="5">
        <v>45156</v>
      </c>
      <c r="D954" s="5">
        <v>45159</v>
      </c>
      <c r="E954" t="s">
        <v>21</v>
      </c>
      <c r="F954" t="s">
        <v>22</v>
      </c>
      <c r="G954" t="s">
        <v>24</v>
      </c>
      <c r="H954" t="s">
        <v>29</v>
      </c>
      <c r="I954" t="s">
        <v>34</v>
      </c>
      <c r="J954" t="s">
        <v>41</v>
      </c>
      <c r="K954" t="s">
        <v>47</v>
      </c>
      <c r="L954" t="s">
        <v>53</v>
      </c>
      <c r="M954" s="7">
        <v>39198</v>
      </c>
      <c r="N954">
        <v>0.33</v>
      </c>
      <c r="O954" s="7">
        <v>17509</v>
      </c>
      <c r="P954">
        <v>1</v>
      </c>
      <c r="Q954" t="s">
        <v>57</v>
      </c>
      <c r="R954" t="s">
        <v>59</v>
      </c>
      <c r="S954">
        <f t="shared" si="70"/>
        <v>2023</v>
      </c>
      <c r="T954" t="str">
        <f t="shared" si="71"/>
        <v>Aug</v>
      </c>
      <c r="U954">
        <f t="shared" si="72"/>
        <v>7</v>
      </c>
      <c r="V954">
        <f t="shared" si="73"/>
        <v>10</v>
      </c>
      <c r="W954" s="9">
        <f t="shared" si="74"/>
        <v>0.44668095310985256</v>
      </c>
    </row>
    <row r="955" spans="1:23">
      <c r="A955">
        <v>10954</v>
      </c>
      <c r="B955" s="5">
        <v>45150</v>
      </c>
      <c r="C955" s="5">
        <v>45152</v>
      </c>
      <c r="D955" s="5">
        <v>45157</v>
      </c>
      <c r="E955" t="s">
        <v>18</v>
      </c>
      <c r="F955" t="s">
        <v>22</v>
      </c>
      <c r="G955" t="s">
        <v>27</v>
      </c>
      <c r="H955" t="s">
        <v>32</v>
      </c>
      <c r="I955" t="s">
        <v>34</v>
      </c>
      <c r="J955" t="s">
        <v>37</v>
      </c>
      <c r="K955" t="s">
        <v>47</v>
      </c>
      <c r="L955" t="s">
        <v>51</v>
      </c>
      <c r="M955" s="7">
        <v>5874</v>
      </c>
      <c r="N955">
        <v>0.36</v>
      </c>
      <c r="O955" s="7">
        <v>10629</v>
      </c>
      <c r="P955">
        <v>12</v>
      </c>
      <c r="Q955" t="s">
        <v>58</v>
      </c>
      <c r="R955" t="s">
        <v>62</v>
      </c>
      <c r="S955">
        <f t="shared" si="70"/>
        <v>2023</v>
      </c>
      <c r="T955" t="str">
        <f t="shared" si="71"/>
        <v>Aug</v>
      </c>
      <c r="U955">
        <f t="shared" si="72"/>
        <v>2</v>
      </c>
      <c r="V955">
        <f t="shared" si="73"/>
        <v>7</v>
      </c>
      <c r="W955" s="9">
        <f t="shared" si="74"/>
        <v>1.8094994892747702</v>
      </c>
    </row>
    <row r="956" spans="1:23">
      <c r="A956">
        <v>10955</v>
      </c>
      <c r="B956" s="5">
        <v>45151</v>
      </c>
      <c r="C956" s="5">
        <v>45155</v>
      </c>
      <c r="D956" s="5">
        <v>45159</v>
      </c>
      <c r="E956" t="s">
        <v>19</v>
      </c>
      <c r="F956" t="s">
        <v>22</v>
      </c>
      <c r="G956" t="s">
        <v>25</v>
      </c>
      <c r="H956" t="s">
        <v>33</v>
      </c>
      <c r="I956" t="s">
        <v>36</v>
      </c>
      <c r="J956" t="s">
        <v>39</v>
      </c>
      <c r="K956" t="s">
        <v>46</v>
      </c>
      <c r="L956" t="s">
        <v>51</v>
      </c>
      <c r="M956" s="7">
        <v>12454</v>
      </c>
      <c r="N956">
        <v>0.25</v>
      </c>
      <c r="O956" s="7">
        <v>2123</v>
      </c>
      <c r="P956">
        <v>6</v>
      </c>
      <c r="Q956" t="s">
        <v>56</v>
      </c>
      <c r="R956" t="s">
        <v>61</v>
      </c>
      <c r="S956">
        <f t="shared" si="70"/>
        <v>2023</v>
      </c>
      <c r="T956" t="str">
        <f t="shared" si="71"/>
        <v>Aug</v>
      </c>
      <c r="U956">
        <f t="shared" si="72"/>
        <v>4</v>
      </c>
      <c r="V956">
        <f t="shared" si="73"/>
        <v>8</v>
      </c>
      <c r="W956" s="9">
        <f t="shared" si="74"/>
        <v>0.17046731973663079</v>
      </c>
    </row>
    <row r="957" spans="1:23">
      <c r="A957">
        <v>10956</v>
      </c>
      <c r="B957" s="5">
        <v>45152</v>
      </c>
      <c r="C957" s="5">
        <v>45156</v>
      </c>
      <c r="D957" s="5">
        <v>45161</v>
      </c>
      <c r="E957" t="s">
        <v>20</v>
      </c>
      <c r="F957" t="s">
        <v>22</v>
      </c>
      <c r="G957" t="s">
        <v>23</v>
      </c>
      <c r="H957" t="s">
        <v>32</v>
      </c>
      <c r="I957" t="s">
        <v>36</v>
      </c>
      <c r="J957" t="s">
        <v>39</v>
      </c>
      <c r="K957" t="s">
        <v>46</v>
      </c>
      <c r="L957" t="s">
        <v>52</v>
      </c>
      <c r="M957" s="7">
        <v>57008</v>
      </c>
      <c r="N957">
        <v>0.33</v>
      </c>
      <c r="O957" s="7">
        <v>7198</v>
      </c>
      <c r="P957">
        <v>24</v>
      </c>
      <c r="Q957" t="s">
        <v>55</v>
      </c>
      <c r="R957" t="s">
        <v>61</v>
      </c>
      <c r="S957">
        <f t="shared" si="70"/>
        <v>2023</v>
      </c>
      <c r="T957" t="str">
        <f t="shared" si="71"/>
        <v>Aug</v>
      </c>
      <c r="U957">
        <f t="shared" si="72"/>
        <v>4</v>
      </c>
      <c r="V957">
        <f t="shared" si="73"/>
        <v>9</v>
      </c>
      <c r="W957" s="9">
        <f t="shared" si="74"/>
        <v>0.12626298063429695</v>
      </c>
    </row>
    <row r="958" spans="1:23">
      <c r="A958">
        <v>10957</v>
      </c>
      <c r="B958" s="5">
        <v>45153</v>
      </c>
      <c r="C958" s="5">
        <v>45157</v>
      </c>
      <c r="D958" s="5">
        <v>45158</v>
      </c>
      <c r="E958" t="s">
        <v>18</v>
      </c>
      <c r="F958" t="s">
        <v>22</v>
      </c>
      <c r="G958" t="s">
        <v>24</v>
      </c>
      <c r="H958" t="s">
        <v>30</v>
      </c>
      <c r="I958" t="s">
        <v>36</v>
      </c>
      <c r="J958" t="s">
        <v>37</v>
      </c>
      <c r="K958" t="s">
        <v>46</v>
      </c>
      <c r="L958" t="s">
        <v>51</v>
      </c>
      <c r="M958" s="7">
        <v>63680</v>
      </c>
      <c r="N958">
        <v>0.2</v>
      </c>
      <c r="O958" s="7">
        <v>791</v>
      </c>
      <c r="P958">
        <v>3</v>
      </c>
      <c r="Q958" t="s">
        <v>55</v>
      </c>
      <c r="R958" t="s">
        <v>60</v>
      </c>
      <c r="S958">
        <f t="shared" si="70"/>
        <v>2023</v>
      </c>
      <c r="T958" t="str">
        <f t="shared" si="71"/>
        <v>Aug</v>
      </c>
      <c r="U958">
        <f t="shared" si="72"/>
        <v>4</v>
      </c>
      <c r="V958">
        <f t="shared" si="73"/>
        <v>5</v>
      </c>
      <c r="W958" s="9">
        <f t="shared" si="74"/>
        <v>1.2421482412060302E-2</v>
      </c>
    </row>
    <row r="959" spans="1:23">
      <c r="A959">
        <v>10958</v>
      </c>
      <c r="B959" s="5">
        <v>45154</v>
      </c>
      <c r="C959" s="5">
        <v>45158</v>
      </c>
      <c r="D959" s="5">
        <v>45159</v>
      </c>
      <c r="E959" t="s">
        <v>18</v>
      </c>
      <c r="F959" t="s">
        <v>22</v>
      </c>
      <c r="G959" t="s">
        <v>24</v>
      </c>
      <c r="H959" t="s">
        <v>25</v>
      </c>
      <c r="I959" t="s">
        <v>35</v>
      </c>
      <c r="J959" t="s">
        <v>39</v>
      </c>
      <c r="K959" t="s">
        <v>47</v>
      </c>
      <c r="L959" t="s">
        <v>51</v>
      </c>
      <c r="M959" s="7">
        <v>69197</v>
      </c>
      <c r="N959">
        <v>0.02</v>
      </c>
      <c r="O959" s="7">
        <v>19947</v>
      </c>
      <c r="P959">
        <v>19</v>
      </c>
      <c r="Q959" t="s">
        <v>57</v>
      </c>
      <c r="R959" t="s">
        <v>62</v>
      </c>
      <c r="S959">
        <f t="shared" si="70"/>
        <v>2023</v>
      </c>
      <c r="T959" t="str">
        <f t="shared" si="71"/>
        <v>Aug</v>
      </c>
      <c r="U959">
        <f t="shared" si="72"/>
        <v>4</v>
      </c>
      <c r="V959">
        <f t="shared" si="73"/>
        <v>5</v>
      </c>
      <c r="W959" s="9">
        <f t="shared" si="74"/>
        <v>0.28826394207841383</v>
      </c>
    </row>
    <row r="960" spans="1:23">
      <c r="A960">
        <v>10959</v>
      </c>
      <c r="B960" s="5">
        <v>45155</v>
      </c>
      <c r="C960" s="5">
        <v>45158</v>
      </c>
      <c r="D960" s="5">
        <v>45159</v>
      </c>
      <c r="E960" t="s">
        <v>21</v>
      </c>
      <c r="F960" t="s">
        <v>22</v>
      </c>
      <c r="G960" t="s">
        <v>27</v>
      </c>
      <c r="H960" t="s">
        <v>25</v>
      </c>
      <c r="I960" t="s">
        <v>35</v>
      </c>
      <c r="J960" t="s">
        <v>37</v>
      </c>
      <c r="K960" t="s">
        <v>49</v>
      </c>
      <c r="L960" t="s">
        <v>53</v>
      </c>
      <c r="M960" s="7">
        <v>1676</v>
      </c>
      <c r="N960">
        <v>0.09</v>
      </c>
      <c r="O960" s="7">
        <v>5714</v>
      </c>
      <c r="P960">
        <v>1</v>
      </c>
      <c r="Q960" t="s">
        <v>58</v>
      </c>
      <c r="R960" t="s">
        <v>59</v>
      </c>
      <c r="S960">
        <f t="shared" si="70"/>
        <v>2023</v>
      </c>
      <c r="T960" t="str">
        <f t="shared" si="71"/>
        <v>Aug</v>
      </c>
      <c r="U960">
        <f t="shared" si="72"/>
        <v>3</v>
      </c>
      <c r="V960">
        <f t="shared" si="73"/>
        <v>4</v>
      </c>
      <c r="W960" s="9">
        <f t="shared" si="74"/>
        <v>3.4093078758949882</v>
      </c>
    </row>
    <row r="961" spans="1:23">
      <c r="A961">
        <v>10960</v>
      </c>
      <c r="B961" s="5">
        <v>45156</v>
      </c>
      <c r="C961" s="5">
        <v>45158</v>
      </c>
      <c r="D961" s="5">
        <v>45162</v>
      </c>
      <c r="E961" t="s">
        <v>19</v>
      </c>
      <c r="F961" t="s">
        <v>22</v>
      </c>
      <c r="G961" t="s">
        <v>27</v>
      </c>
      <c r="H961" t="s">
        <v>33</v>
      </c>
      <c r="I961" t="s">
        <v>35</v>
      </c>
      <c r="J961" t="s">
        <v>41</v>
      </c>
      <c r="K961" t="s">
        <v>50</v>
      </c>
      <c r="L961" t="s">
        <v>53</v>
      </c>
      <c r="M961" s="7">
        <v>13431</v>
      </c>
      <c r="N961">
        <v>0.38</v>
      </c>
      <c r="O961" s="7">
        <v>6247</v>
      </c>
      <c r="P961">
        <v>17</v>
      </c>
      <c r="Q961" t="s">
        <v>57</v>
      </c>
      <c r="R961" t="s">
        <v>59</v>
      </c>
      <c r="S961">
        <f t="shared" si="70"/>
        <v>2023</v>
      </c>
      <c r="T961" t="str">
        <f t="shared" si="71"/>
        <v>Aug</v>
      </c>
      <c r="U961">
        <f t="shared" si="72"/>
        <v>2</v>
      </c>
      <c r="V961">
        <f t="shared" si="73"/>
        <v>6</v>
      </c>
      <c r="W961" s="9">
        <f t="shared" si="74"/>
        <v>0.46511801057255603</v>
      </c>
    </row>
    <row r="962" spans="1:23">
      <c r="A962">
        <v>10961</v>
      </c>
      <c r="B962" s="5">
        <v>45157</v>
      </c>
      <c r="C962" s="5">
        <v>45161</v>
      </c>
      <c r="D962" s="5">
        <v>45166</v>
      </c>
      <c r="E962" t="s">
        <v>20</v>
      </c>
      <c r="F962" t="s">
        <v>22</v>
      </c>
      <c r="G962" t="s">
        <v>26</v>
      </c>
      <c r="H962" t="s">
        <v>30</v>
      </c>
      <c r="I962" t="s">
        <v>35</v>
      </c>
      <c r="J962" t="s">
        <v>41</v>
      </c>
      <c r="K962" t="s">
        <v>49</v>
      </c>
      <c r="L962" t="s">
        <v>51</v>
      </c>
      <c r="M962" s="7">
        <v>14786</v>
      </c>
      <c r="N962">
        <v>0.16</v>
      </c>
      <c r="O962" s="7">
        <v>-750</v>
      </c>
      <c r="P962">
        <v>15</v>
      </c>
      <c r="Q962" t="s">
        <v>57</v>
      </c>
      <c r="R962" t="s">
        <v>59</v>
      </c>
      <c r="S962">
        <f t="shared" si="70"/>
        <v>2023</v>
      </c>
      <c r="T962" t="str">
        <f t="shared" si="71"/>
        <v>Aug</v>
      </c>
      <c r="U962">
        <f t="shared" si="72"/>
        <v>4</v>
      </c>
      <c r="V962">
        <f t="shared" si="73"/>
        <v>9</v>
      </c>
      <c r="W962" s="9">
        <f t="shared" si="74"/>
        <v>-5.0723657513864463E-2</v>
      </c>
    </row>
    <row r="963" spans="1:23">
      <c r="A963">
        <v>10962</v>
      </c>
      <c r="B963" s="5">
        <v>45158</v>
      </c>
      <c r="C963" s="5">
        <v>45163</v>
      </c>
      <c r="D963" s="5">
        <v>45165</v>
      </c>
      <c r="E963" t="s">
        <v>18</v>
      </c>
      <c r="F963" t="s">
        <v>22</v>
      </c>
      <c r="G963" t="s">
        <v>27</v>
      </c>
      <c r="H963" t="s">
        <v>31</v>
      </c>
      <c r="I963" t="s">
        <v>34</v>
      </c>
      <c r="J963" t="s">
        <v>43</v>
      </c>
      <c r="K963" t="s">
        <v>48</v>
      </c>
      <c r="L963" t="s">
        <v>53</v>
      </c>
      <c r="M963" s="7">
        <v>27360</v>
      </c>
      <c r="N963">
        <v>0.2</v>
      </c>
      <c r="O963" s="7">
        <v>8684</v>
      </c>
      <c r="P963">
        <v>9</v>
      </c>
      <c r="Q963" t="s">
        <v>57</v>
      </c>
      <c r="R963" t="s">
        <v>59</v>
      </c>
      <c r="S963">
        <f t="shared" ref="S963:S1026" si="75">YEAR(B963)</f>
        <v>2023</v>
      </c>
      <c r="T963" t="str">
        <f t="shared" ref="T963:T1026" si="76">TEXT(B963,"mmm")</f>
        <v>Aug</v>
      </c>
      <c r="U963">
        <f t="shared" ref="U963:U1026" si="77">C963-B963</f>
        <v>5</v>
      </c>
      <c r="V963">
        <f t="shared" ref="V963:V1026" si="78">D963-B963</f>
        <v>7</v>
      </c>
      <c r="W963" s="9">
        <f t="shared" ref="W963:W1026" si="79">IFERROR(O963/M963,0)</f>
        <v>0.31739766081871346</v>
      </c>
    </row>
    <row r="964" spans="1:23">
      <c r="A964">
        <v>10963</v>
      </c>
      <c r="B964" s="5">
        <v>45159</v>
      </c>
      <c r="C964" s="5">
        <v>45164</v>
      </c>
      <c r="D964" s="5">
        <v>45166</v>
      </c>
      <c r="E964" t="s">
        <v>19</v>
      </c>
      <c r="F964" t="s">
        <v>22</v>
      </c>
      <c r="G964" t="s">
        <v>26</v>
      </c>
      <c r="H964" t="s">
        <v>33</v>
      </c>
      <c r="I964" t="s">
        <v>36</v>
      </c>
      <c r="J964" t="s">
        <v>39</v>
      </c>
      <c r="K964" t="s">
        <v>47</v>
      </c>
      <c r="L964" t="s">
        <v>51</v>
      </c>
      <c r="M964" s="7">
        <v>50583</v>
      </c>
      <c r="N964">
        <v>0.39</v>
      </c>
      <c r="O964" s="7">
        <v>17676</v>
      </c>
      <c r="P964">
        <v>7</v>
      </c>
      <c r="Q964" t="s">
        <v>57</v>
      </c>
      <c r="R964" t="s">
        <v>61</v>
      </c>
      <c r="S964">
        <f t="shared" si="75"/>
        <v>2023</v>
      </c>
      <c r="T964" t="str">
        <f t="shared" si="76"/>
        <v>Aug</v>
      </c>
      <c r="U964">
        <f t="shared" si="77"/>
        <v>5</v>
      </c>
      <c r="V964">
        <f t="shared" si="78"/>
        <v>7</v>
      </c>
      <c r="W964" s="9">
        <f t="shared" si="79"/>
        <v>0.34944546586797937</v>
      </c>
    </row>
    <row r="965" spans="1:23">
      <c r="A965">
        <v>10964</v>
      </c>
      <c r="B965" s="5">
        <v>45160</v>
      </c>
      <c r="C965" s="5">
        <v>45167</v>
      </c>
      <c r="D965" s="5">
        <v>45172</v>
      </c>
      <c r="E965" t="s">
        <v>21</v>
      </c>
      <c r="F965" t="s">
        <v>22</v>
      </c>
      <c r="G965" t="s">
        <v>24</v>
      </c>
      <c r="H965" t="s">
        <v>32</v>
      </c>
      <c r="I965" t="s">
        <v>34</v>
      </c>
      <c r="J965" t="s">
        <v>43</v>
      </c>
      <c r="K965" t="s">
        <v>50</v>
      </c>
      <c r="L965" t="s">
        <v>53</v>
      </c>
      <c r="M965" s="7">
        <v>14046</v>
      </c>
      <c r="N965">
        <v>0.28000000000000003</v>
      </c>
      <c r="O965" s="7">
        <v>18068</v>
      </c>
      <c r="P965">
        <v>22</v>
      </c>
      <c r="Q965" t="s">
        <v>55</v>
      </c>
      <c r="R965" t="s">
        <v>60</v>
      </c>
      <c r="S965">
        <f t="shared" si="75"/>
        <v>2023</v>
      </c>
      <c r="T965" t="str">
        <f t="shared" si="76"/>
        <v>Aug</v>
      </c>
      <c r="U965">
        <f t="shared" si="77"/>
        <v>7</v>
      </c>
      <c r="V965">
        <f t="shared" si="78"/>
        <v>12</v>
      </c>
      <c r="W965" s="9">
        <f t="shared" si="79"/>
        <v>1.2863448668660116</v>
      </c>
    </row>
    <row r="966" spans="1:23">
      <c r="A966">
        <v>10965</v>
      </c>
      <c r="B966" s="5">
        <v>45161</v>
      </c>
      <c r="C966" s="5">
        <v>45166</v>
      </c>
      <c r="D966" s="5">
        <v>45168</v>
      </c>
      <c r="E966" t="s">
        <v>20</v>
      </c>
      <c r="F966" t="s">
        <v>22</v>
      </c>
      <c r="G966" t="s">
        <v>26</v>
      </c>
      <c r="H966" t="s">
        <v>25</v>
      </c>
      <c r="I966" t="s">
        <v>36</v>
      </c>
      <c r="J966" t="s">
        <v>40</v>
      </c>
      <c r="K966" t="s">
        <v>44</v>
      </c>
      <c r="L966" t="s">
        <v>51</v>
      </c>
      <c r="M966" s="7">
        <v>998</v>
      </c>
      <c r="N966">
        <v>0.16</v>
      </c>
      <c r="O966" s="7">
        <v>184</v>
      </c>
      <c r="P966">
        <v>11</v>
      </c>
      <c r="Q966" t="s">
        <v>58</v>
      </c>
      <c r="R966" t="s">
        <v>62</v>
      </c>
      <c r="S966">
        <f t="shared" si="75"/>
        <v>2023</v>
      </c>
      <c r="T966" t="str">
        <f t="shared" si="76"/>
        <v>Aug</v>
      </c>
      <c r="U966">
        <f t="shared" si="77"/>
        <v>5</v>
      </c>
      <c r="V966">
        <f t="shared" si="78"/>
        <v>7</v>
      </c>
      <c r="W966" s="9">
        <f t="shared" si="79"/>
        <v>0.18436873747494989</v>
      </c>
    </row>
    <row r="967" spans="1:23">
      <c r="A967">
        <v>10966</v>
      </c>
      <c r="B967" s="5">
        <v>45162</v>
      </c>
      <c r="C967" s="5">
        <v>45166</v>
      </c>
      <c r="D967" s="5">
        <v>45167</v>
      </c>
      <c r="E967" t="s">
        <v>20</v>
      </c>
      <c r="F967" t="s">
        <v>22</v>
      </c>
      <c r="G967" t="s">
        <v>27</v>
      </c>
      <c r="H967" t="s">
        <v>30</v>
      </c>
      <c r="I967" t="s">
        <v>34</v>
      </c>
      <c r="J967" t="s">
        <v>39</v>
      </c>
      <c r="K967" t="s">
        <v>44</v>
      </c>
      <c r="L967" t="s">
        <v>53</v>
      </c>
      <c r="M967" s="7">
        <v>27552</v>
      </c>
      <c r="N967">
        <v>0.27</v>
      </c>
      <c r="O967" s="7">
        <v>743</v>
      </c>
      <c r="P967">
        <v>3</v>
      </c>
      <c r="Q967" t="s">
        <v>58</v>
      </c>
      <c r="R967" t="s">
        <v>62</v>
      </c>
      <c r="S967">
        <f t="shared" si="75"/>
        <v>2023</v>
      </c>
      <c r="T967" t="str">
        <f t="shared" si="76"/>
        <v>Aug</v>
      </c>
      <c r="U967">
        <f t="shared" si="77"/>
        <v>4</v>
      </c>
      <c r="V967">
        <f t="shared" si="78"/>
        <v>5</v>
      </c>
      <c r="W967" s="9">
        <f t="shared" si="79"/>
        <v>2.6967189314750291E-2</v>
      </c>
    </row>
    <row r="968" spans="1:23">
      <c r="A968">
        <v>10967</v>
      </c>
      <c r="B968" s="5">
        <v>45163</v>
      </c>
      <c r="C968" s="5">
        <v>45168</v>
      </c>
      <c r="D968" s="5">
        <v>45171</v>
      </c>
      <c r="E968" t="s">
        <v>19</v>
      </c>
      <c r="F968" t="s">
        <v>22</v>
      </c>
      <c r="G968" t="s">
        <v>24</v>
      </c>
      <c r="H968" t="s">
        <v>30</v>
      </c>
      <c r="I968" t="s">
        <v>36</v>
      </c>
      <c r="J968" t="s">
        <v>38</v>
      </c>
      <c r="K968" t="s">
        <v>48</v>
      </c>
      <c r="L968" t="s">
        <v>51</v>
      </c>
      <c r="M968" s="7">
        <v>20828</v>
      </c>
      <c r="N968">
        <v>0.22</v>
      </c>
      <c r="O968" s="7">
        <v>10907</v>
      </c>
      <c r="P968">
        <v>12</v>
      </c>
      <c r="Q968" t="s">
        <v>57</v>
      </c>
      <c r="R968" t="s">
        <v>60</v>
      </c>
      <c r="S968">
        <f t="shared" si="75"/>
        <v>2023</v>
      </c>
      <c r="T968" t="str">
        <f t="shared" si="76"/>
        <v>Aug</v>
      </c>
      <c r="U968">
        <f t="shared" si="77"/>
        <v>5</v>
      </c>
      <c r="V968">
        <f t="shared" si="78"/>
        <v>8</v>
      </c>
      <c r="W968" s="9">
        <f t="shared" si="79"/>
        <v>0.52367005953524104</v>
      </c>
    </row>
    <row r="969" spans="1:23">
      <c r="A969">
        <v>10968</v>
      </c>
      <c r="B969" s="5">
        <v>45164</v>
      </c>
      <c r="C969" s="5">
        <v>45168</v>
      </c>
      <c r="D969" s="5">
        <v>45173</v>
      </c>
      <c r="E969" t="s">
        <v>21</v>
      </c>
      <c r="F969" t="s">
        <v>22</v>
      </c>
      <c r="G969" t="s">
        <v>24</v>
      </c>
      <c r="H969" t="s">
        <v>25</v>
      </c>
      <c r="I969" t="s">
        <v>35</v>
      </c>
      <c r="J969" t="s">
        <v>42</v>
      </c>
      <c r="K969" t="s">
        <v>47</v>
      </c>
      <c r="L969" t="s">
        <v>52</v>
      </c>
      <c r="M969" s="7">
        <v>17084</v>
      </c>
      <c r="N969">
        <v>0.38</v>
      </c>
      <c r="O969" s="7">
        <v>10569</v>
      </c>
      <c r="P969">
        <v>24</v>
      </c>
      <c r="Q969" t="s">
        <v>56</v>
      </c>
      <c r="R969" t="s">
        <v>61</v>
      </c>
      <c r="S969">
        <f t="shared" si="75"/>
        <v>2023</v>
      </c>
      <c r="T969" t="str">
        <f t="shared" si="76"/>
        <v>Aug</v>
      </c>
      <c r="U969">
        <f t="shared" si="77"/>
        <v>4</v>
      </c>
      <c r="V969">
        <f t="shared" si="78"/>
        <v>9</v>
      </c>
      <c r="W969" s="9">
        <f t="shared" si="79"/>
        <v>0.61864902833060176</v>
      </c>
    </row>
    <row r="970" spans="1:23">
      <c r="A970">
        <v>10969</v>
      </c>
      <c r="B970" s="5">
        <v>45165</v>
      </c>
      <c r="C970" s="5">
        <v>45170</v>
      </c>
      <c r="D970" s="5">
        <v>45174</v>
      </c>
      <c r="E970" t="s">
        <v>18</v>
      </c>
      <c r="F970" t="s">
        <v>22</v>
      </c>
      <c r="G970" t="s">
        <v>23</v>
      </c>
      <c r="H970" t="s">
        <v>29</v>
      </c>
      <c r="I970" t="s">
        <v>35</v>
      </c>
      <c r="J970" t="s">
        <v>40</v>
      </c>
      <c r="K970" t="s">
        <v>44</v>
      </c>
      <c r="L970" t="s">
        <v>52</v>
      </c>
      <c r="M970" s="7">
        <v>20043</v>
      </c>
      <c r="N970">
        <v>0</v>
      </c>
      <c r="O970" s="7">
        <v>78</v>
      </c>
      <c r="P970">
        <v>11</v>
      </c>
      <c r="Q970" t="s">
        <v>57</v>
      </c>
      <c r="R970" t="s">
        <v>62</v>
      </c>
      <c r="S970">
        <f t="shared" si="75"/>
        <v>2023</v>
      </c>
      <c r="T970" t="str">
        <f t="shared" si="76"/>
        <v>Aug</v>
      </c>
      <c r="U970">
        <f t="shared" si="77"/>
        <v>5</v>
      </c>
      <c r="V970">
        <f t="shared" si="78"/>
        <v>9</v>
      </c>
      <c r="W970" s="9">
        <f t="shared" si="79"/>
        <v>3.8916329890734918E-3</v>
      </c>
    </row>
    <row r="971" spans="1:23">
      <c r="A971">
        <v>10970</v>
      </c>
      <c r="B971" s="5">
        <v>45166</v>
      </c>
      <c r="C971" s="5">
        <v>45173</v>
      </c>
      <c r="D971" s="5">
        <v>45177</v>
      </c>
      <c r="E971" t="s">
        <v>20</v>
      </c>
      <c r="F971" t="s">
        <v>22</v>
      </c>
      <c r="G971" t="s">
        <v>28</v>
      </c>
      <c r="H971" t="s">
        <v>29</v>
      </c>
      <c r="I971" t="s">
        <v>34</v>
      </c>
      <c r="J971" t="s">
        <v>40</v>
      </c>
      <c r="K971" t="s">
        <v>48</v>
      </c>
      <c r="L971" t="s">
        <v>52</v>
      </c>
      <c r="M971" s="7">
        <v>33067</v>
      </c>
      <c r="N971">
        <v>0.19</v>
      </c>
      <c r="O971" s="7">
        <v>8655</v>
      </c>
      <c r="P971">
        <v>1</v>
      </c>
      <c r="Q971" t="s">
        <v>55</v>
      </c>
      <c r="R971" t="s">
        <v>61</v>
      </c>
      <c r="S971">
        <f t="shared" si="75"/>
        <v>2023</v>
      </c>
      <c r="T971" t="str">
        <f t="shared" si="76"/>
        <v>Aug</v>
      </c>
      <c r="U971">
        <f t="shared" si="77"/>
        <v>7</v>
      </c>
      <c r="V971">
        <f t="shared" si="78"/>
        <v>11</v>
      </c>
      <c r="W971" s="9">
        <f t="shared" si="79"/>
        <v>0.26174131309160192</v>
      </c>
    </row>
    <row r="972" spans="1:23">
      <c r="A972">
        <v>10971</v>
      </c>
      <c r="B972" s="5">
        <v>45167</v>
      </c>
      <c r="C972" s="5">
        <v>45174</v>
      </c>
      <c r="D972" s="5">
        <v>45179</v>
      </c>
      <c r="E972" t="s">
        <v>21</v>
      </c>
      <c r="F972" t="s">
        <v>22</v>
      </c>
      <c r="G972" t="s">
        <v>24</v>
      </c>
      <c r="H972" t="s">
        <v>31</v>
      </c>
      <c r="I972" t="s">
        <v>35</v>
      </c>
      <c r="J972" t="s">
        <v>41</v>
      </c>
      <c r="K972" t="s">
        <v>44</v>
      </c>
      <c r="L972" t="s">
        <v>51</v>
      </c>
      <c r="M972" s="7">
        <v>40327</v>
      </c>
      <c r="N972">
        <v>0.28000000000000003</v>
      </c>
      <c r="O972" s="7">
        <v>15296</v>
      </c>
      <c r="P972">
        <v>24</v>
      </c>
      <c r="Q972" t="s">
        <v>58</v>
      </c>
      <c r="R972" t="s">
        <v>61</v>
      </c>
      <c r="S972">
        <f t="shared" si="75"/>
        <v>2023</v>
      </c>
      <c r="T972" t="str">
        <f t="shared" si="76"/>
        <v>Aug</v>
      </c>
      <c r="U972">
        <f t="shared" si="77"/>
        <v>7</v>
      </c>
      <c r="V972">
        <f t="shared" si="78"/>
        <v>12</v>
      </c>
      <c r="W972" s="9">
        <f t="shared" si="79"/>
        <v>0.37929922880452305</v>
      </c>
    </row>
    <row r="973" spans="1:23">
      <c r="A973">
        <v>10972</v>
      </c>
      <c r="B973" s="5">
        <v>45168</v>
      </c>
      <c r="C973" s="5">
        <v>45175</v>
      </c>
      <c r="D973" s="5">
        <v>45178</v>
      </c>
      <c r="E973" t="s">
        <v>19</v>
      </c>
      <c r="F973" t="s">
        <v>22</v>
      </c>
      <c r="G973" t="s">
        <v>28</v>
      </c>
      <c r="H973" t="s">
        <v>31</v>
      </c>
      <c r="I973" t="s">
        <v>36</v>
      </c>
      <c r="J973" t="s">
        <v>37</v>
      </c>
      <c r="K973" t="s">
        <v>48</v>
      </c>
      <c r="L973" t="s">
        <v>52</v>
      </c>
      <c r="M973" s="7">
        <v>74859</v>
      </c>
      <c r="N973">
        <v>0.22</v>
      </c>
      <c r="O973" s="7">
        <v>8632</v>
      </c>
      <c r="P973">
        <v>15</v>
      </c>
      <c r="Q973" t="s">
        <v>54</v>
      </c>
      <c r="R973" t="s">
        <v>59</v>
      </c>
      <c r="S973">
        <f t="shared" si="75"/>
        <v>2023</v>
      </c>
      <c r="T973" t="str">
        <f t="shared" si="76"/>
        <v>Aug</v>
      </c>
      <c r="U973">
        <f t="shared" si="77"/>
        <v>7</v>
      </c>
      <c r="V973">
        <f t="shared" si="78"/>
        <v>10</v>
      </c>
      <c r="W973" s="9">
        <f t="shared" si="79"/>
        <v>0.11531011635207523</v>
      </c>
    </row>
    <row r="974" spans="1:23">
      <c r="A974">
        <v>10973</v>
      </c>
      <c r="B974" s="5">
        <v>45169</v>
      </c>
      <c r="C974" s="5">
        <v>45176</v>
      </c>
      <c r="D974" s="5">
        <v>45180</v>
      </c>
      <c r="E974" t="s">
        <v>18</v>
      </c>
      <c r="F974" t="s">
        <v>22</v>
      </c>
      <c r="G974" t="s">
        <v>23</v>
      </c>
      <c r="H974" t="s">
        <v>29</v>
      </c>
      <c r="I974" t="s">
        <v>35</v>
      </c>
      <c r="J974" t="s">
        <v>39</v>
      </c>
      <c r="K974" t="s">
        <v>49</v>
      </c>
      <c r="L974" t="s">
        <v>53</v>
      </c>
      <c r="M974" s="7">
        <v>33292</v>
      </c>
      <c r="N974">
        <v>0.13</v>
      </c>
      <c r="O974" s="7">
        <v>11382</v>
      </c>
      <c r="P974">
        <v>22</v>
      </c>
      <c r="Q974" t="s">
        <v>55</v>
      </c>
      <c r="R974" t="s">
        <v>62</v>
      </c>
      <c r="S974">
        <f t="shared" si="75"/>
        <v>2023</v>
      </c>
      <c r="T974" t="str">
        <f t="shared" si="76"/>
        <v>Aug</v>
      </c>
      <c r="U974">
        <f t="shared" si="77"/>
        <v>7</v>
      </c>
      <c r="V974">
        <f t="shared" si="78"/>
        <v>11</v>
      </c>
      <c r="W974" s="9">
        <f t="shared" si="79"/>
        <v>0.34188393608074014</v>
      </c>
    </row>
    <row r="975" spans="1:23">
      <c r="A975">
        <v>10974</v>
      </c>
      <c r="B975" s="5">
        <v>45170</v>
      </c>
      <c r="C975" s="5">
        <v>45174</v>
      </c>
      <c r="D975" s="5">
        <v>45177</v>
      </c>
      <c r="E975" t="s">
        <v>18</v>
      </c>
      <c r="F975" t="s">
        <v>22</v>
      </c>
      <c r="G975" t="s">
        <v>24</v>
      </c>
      <c r="H975" t="s">
        <v>32</v>
      </c>
      <c r="I975" t="s">
        <v>35</v>
      </c>
      <c r="J975" t="s">
        <v>39</v>
      </c>
      <c r="K975" t="s">
        <v>44</v>
      </c>
      <c r="L975" t="s">
        <v>52</v>
      </c>
      <c r="M975" s="7">
        <v>43254</v>
      </c>
      <c r="N975">
        <v>0.24</v>
      </c>
      <c r="O975" s="7">
        <v>761</v>
      </c>
      <c r="P975">
        <v>16</v>
      </c>
      <c r="Q975" t="s">
        <v>55</v>
      </c>
      <c r="R975" t="s">
        <v>61</v>
      </c>
      <c r="S975">
        <f t="shared" si="75"/>
        <v>2023</v>
      </c>
      <c r="T975" t="str">
        <f t="shared" si="76"/>
        <v>Sep</v>
      </c>
      <c r="U975">
        <f t="shared" si="77"/>
        <v>4</v>
      </c>
      <c r="V975">
        <f t="shared" si="78"/>
        <v>7</v>
      </c>
      <c r="W975" s="9">
        <f t="shared" si="79"/>
        <v>1.7593748555046931E-2</v>
      </c>
    </row>
    <row r="976" spans="1:23">
      <c r="A976">
        <v>10975</v>
      </c>
      <c r="B976" s="5">
        <v>45171</v>
      </c>
      <c r="C976" s="5">
        <v>45174</v>
      </c>
      <c r="D976" s="5">
        <v>45177</v>
      </c>
      <c r="E976" t="s">
        <v>18</v>
      </c>
      <c r="F976" t="s">
        <v>22</v>
      </c>
      <c r="G976" t="s">
        <v>28</v>
      </c>
      <c r="H976" t="s">
        <v>25</v>
      </c>
      <c r="I976" t="s">
        <v>34</v>
      </c>
      <c r="J976" t="s">
        <v>40</v>
      </c>
      <c r="K976" t="s">
        <v>49</v>
      </c>
      <c r="L976" t="s">
        <v>51</v>
      </c>
      <c r="M976" s="7">
        <v>74865</v>
      </c>
      <c r="N976">
        <v>0.01</v>
      </c>
      <c r="O976" s="7">
        <v>12692</v>
      </c>
      <c r="P976">
        <v>20</v>
      </c>
      <c r="Q976" t="s">
        <v>54</v>
      </c>
      <c r="R976" t="s">
        <v>61</v>
      </c>
      <c r="S976">
        <f t="shared" si="75"/>
        <v>2023</v>
      </c>
      <c r="T976" t="str">
        <f t="shared" si="76"/>
        <v>Sep</v>
      </c>
      <c r="U976">
        <f t="shared" si="77"/>
        <v>3</v>
      </c>
      <c r="V976">
        <f t="shared" si="78"/>
        <v>6</v>
      </c>
      <c r="W976" s="9">
        <f t="shared" si="79"/>
        <v>0.16953182394977626</v>
      </c>
    </row>
    <row r="977" spans="1:23">
      <c r="A977">
        <v>10976</v>
      </c>
      <c r="B977" s="5">
        <v>45172</v>
      </c>
      <c r="C977" s="5">
        <v>45174</v>
      </c>
      <c r="D977" s="5">
        <v>45177</v>
      </c>
      <c r="E977" t="s">
        <v>19</v>
      </c>
      <c r="F977" t="s">
        <v>22</v>
      </c>
      <c r="G977" t="s">
        <v>24</v>
      </c>
      <c r="H977" t="s">
        <v>33</v>
      </c>
      <c r="I977" t="s">
        <v>35</v>
      </c>
      <c r="J977" t="s">
        <v>38</v>
      </c>
      <c r="K977" t="s">
        <v>45</v>
      </c>
      <c r="L977" t="s">
        <v>52</v>
      </c>
      <c r="M977" s="7">
        <v>34400</v>
      </c>
      <c r="N977">
        <v>0.3</v>
      </c>
      <c r="O977" s="7">
        <v>366</v>
      </c>
      <c r="P977">
        <v>13</v>
      </c>
      <c r="Q977" t="s">
        <v>58</v>
      </c>
      <c r="R977" t="s">
        <v>62</v>
      </c>
      <c r="S977">
        <f t="shared" si="75"/>
        <v>2023</v>
      </c>
      <c r="T977" t="str">
        <f t="shared" si="76"/>
        <v>Sep</v>
      </c>
      <c r="U977">
        <f t="shared" si="77"/>
        <v>2</v>
      </c>
      <c r="V977">
        <f t="shared" si="78"/>
        <v>5</v>
      </c>
      <c r="W977" s="9">
        <f t="shared" si="79"/>
        <v>1.0639534883720931E-2</v>
      </c>
    </row>
    <row r="978" spans="1:23">
      <c r="A978">
        <v>10977</v>
      </c>
      <c r="B978" s="5">
        <v>45173</v>
      </c>
      <c r="C978" s="5">
        <v>45177</v>
      </c>
      <c r="D978" s="5">
        <v>45182</v>
      </c>
      <c r="E978" t="s">
        <v>19</v>
      </c>
      <c r="F978" t="s">
        <v>22</v>
      </c>
      <c r="G978" t="s">
        <v>24</v>
      </c>
      <c r="H978" t="s">
        <v>31</v>
      </c>
      <c r="I978" t="s">
        <v>34</v>
      </c>
      <c r="J978" t="s">
        <v>40</v>
      </c>
      <c r="K978" t="s">
        <v>47</v>
      </c>
      <c r="L978" t="s">
        <v>52</v>
      </c>
      <c r="M978" s="7">
        <v>62262</v>
      </c>
      <c r="N978">
        <v>0.27</v>
      </c>
      <c r="O978" s="7">
        <v>12376</v>
      </c>
      <c r="P978">
        <v>14</v>
      </c>
      <c r="Q978" t="s">
        <v>58</v>
      </c>
      <c r="R978" t="s">
        <v>60</v>
      </c>
      <c r="S978">
        <f t="shared" si="75"/>
        <v>2023</v>
      </c>
      <c r="T978" t="str">
        <f t="shared" si="76"/>
        <v>Sep</v>
      </c>
      <c r="U978">
        <f t="shared" si="77"/>
        <v>4</v>
      </c>
      <c r="V978">
        <f t="shared" si="78"/>
        <v>9</v>
      </c>
      <c r="W978" s="9">
        <f t="shared" si="79"/>
        <v>0.19877292730718576</v>
      </c>
    </row>
    <row r="979" spans="1:23">
      <c r="A979">
        <v>10978</v>
      </c>
      <c r="B979" s="5">
        <v>45174</v>
      </c>
      <c r="C979" s="5">
        <v>45178</v>
      </c>
      <c r="D979" s="5">
        <v>45181</v>
      </c>
      <c r="E979" t="s">
        <v>18</v>
      </c>
      <c r="F979" t="s">
        <v>22</v>
      </c>
      <c r="G979" t="s">
        <v>25</v>
      </c>
      <c r="H979" t="s">
        <v>29</v>
      </c>
      <c r="I979" t="s">
        <v>35</v>
      </c>
      <c r="J979" t="s">
        <v>43</v>
      </c>
      <c r="K979" t="s">
        <v>49</v>
      </c>
      <c r="L979" t="s">
        <v>52</v>
      </c>
      <c r="M979" s="7">
        <v>61835</v>
      </c>
      <c r="N979">
        <v>0.14000000000000001</v>
      </c>
      <c r="O979" s="7">
        <v>-535</v>
      </c>
      <c r="P979">
        <v>22</v>
      </c>
      <c r="Q979" t="s">
        <v>58</v>
      </c>
      <c r="R979" t="s">
        <v>62</v>
      </c>
      <c r="S979">
        <f t="shared" si="75"/>
        <v>2023</v>
      </c>
      <c r="T979" t="str">
        <f t="shared" si="76"/>
        <v>Sep</v>
      </c>
      <c r="U979">
        <f t="shared" si="77"/>
        <v>4</v>
      </c>
      <c r="V979">
        <f t="shared" si="78"/>
        <v>7</v>
      </c>
      <c r="W979" s="9">
        <f t="shared" si="79"/>
        <v>-8.652057896013584E-3</v>
      </c>
    </row>
    <row r="980" spans="1:23">
      <c r="A980">
        <v>10979</v>
      </c>
      <c r="B980" s="5">
        <v>45175</v>
      </c>
      <c r="C980" s="5">
        <v>45179</v>
      </c>
      <c r="D980" s="5">
        <v>45180</v>
      </c>
      <c r="E980" t="s">
        <v>19</v>
      </c>
      <c r="F980" t="s">
        <v>22</v>
      </c>
      <c r="G980" t="s">
        <v>28</v>
      </c>
      <c r="H980" t="s">
        <v>32</v>
      </c>
      <c r="I980" t="s">
        <v>36</v>
      </c>
      <c r="J980" t="s">
        <v>39</v>
      </c>
      <c r="K980" t="s">
        <v>50</v>
      </c>
      <c r="L980" t="s">
        <v>51</v>
      </c>
      <c r="M980" s="7">
        <v>43209</v>
      </c>
      <c r="N980">
        <v>0.36</v>
      </c>
      <c r="O980" s="7">
        <v>583</v>
      </c>
      <c r="P980">
        <v>4</v>
      </c>
      <c r="Q980" t="s">
        <v>54</v>
      </c>
      <c r="R980" t="s">
        <v>59</v>
      </c>
      <c r="S980">
        <f t="shared" si="75"/>
        <v>2023</v>
      </c>
      <c r="T980" t="str">
        <f t="shared" si="76"/>
        <v>Sep</v>
      </c>
      <c r="U980">
        <f t="shared" si="77"/>
        <v>4</v>
      </c>
      <c r="V980">
        <f t="shared" si="78"/>
        <v>5</v>
      </c>
      <c r="W980" s="9">
        <f t="shared" si="79"/>
        <v>1.3492559420491101E-2</v>
      </c>
    </row>
    <row r="981" spans="1:23">
      <c r="A981">
        <v>10980</v>
      </c>
      <c r="B981" s="5">
        <v>45176</v>
      </c>
      <c r="C981" s="5">
        <v>45183</v>
      </c>
      <c r="D981" s="5">
        <v>45188</v>
      </c>
      <c r="E981" t="s">
        <v>20</v>
      </c>
      <c r="F981" t="s">
        <v>22</v>
      </c>
      <c r="G981" t="s">
        <v>24</v>
      </c>
      <c r="H981" t="s">
        <v>31</v>
      </c>
      <c r="I981" t="s">
        <v>34</v>
      </c>
      <c r="J981" t="s">
        <v>40</v>
      </c>
      <c r="K981" t="s">
        <v>49</v>
      </c>
      <c r="L981" t="s">
        <v>53</v>
      </c>
      <c r="M981" s="7">
        <v>74924</v>
      </c>
      <c r="N981">
        <v>0.28999999999999998</v>
      </c>
      <c r="O981" s="7">
        <v>7473</v>
      </c>
      <c r="P981">
        <v>17</v>
      </c>
      <c r="Q981" t="s">
        <v>56</v>
      </c>
      <c r="R981" t="s">
        <v>61</v>
      </c>
      <c r="S981">
        <f t="shared" si="75"/>
        <v>2023</v>
      </c>
      <c r="T981" t="str">
        <f t="shared" si="76"/>
        <v>Sep</v>
      </c>
      <c r="U981">
        <f t="shared" si="77"/>
        <v>7</v>
      </c>
      <c r="V981">
        <f t="shared" si="78"/>
        <v>12</v>
      </c>
      <c r="W981" s="9">
        <f t="shared" si="79"/>
        <v>9.9741070951897923E-2</v>
      </c>
    </row>
    <row r="982" spans="1:23">
      <c r="A982">
        <v>10981</v>
      </c>
      <c r="B982" s="5">
        <v>45177</v>
      </c>
      <c r="C982" s="5">
        <v>45181</v>
      </c>
      <c r="D982" s="5">
        <v>45184</v>
      </c>
      <c r="E982" t="s">
        <v>19</v>
      </c>
      <c r="F982" t="s">
        <v>22</v>
      </c>
      <c r="G982" t="s">
        <v>25</v>
      </c>
      <c r="H982" t="s">
        <v>30</v>
      </c>
      <c r="I982" t="s">
        <v>35</v>
      </c>
      <c r="J982" t="s">
        <v>42</v>
      </c>
      <c r="K982" t="s">
        <v>44</v>
      </c>
      <c r="L982" t="s">
        <v>52</v>
      </c>
      <c r="M982" s="7">
        <v>3124</v>
      </c>
      <c r="N982">
        <v>0.09</v>
      </c>
      <c r="O982" s="7">
        <v>4068</v>
      </c>
      <c r="P982">
        <v>10</v>
      </c>
      <c r="Q982" t="s">
        <v>54</v>
      </c>
      <c r="R982" t="s">
        <v>59</v>
      </c>
      <c r="S982">
        <f t="shared" si="75"/>
        <v>2023</v>
      </c>
      <c r="T982" t="str">
        <f t="shared" si="76"/>
        <v>Sep</v>
      </c>
      <c r="U982">
        <f t="shared" si="77"/>
        <v>4</v>
      </c>
      <c r="V982">
        <f t="shared" si="78"/>
        <v>7</v>
      </c>
      <c r="W982" s="9">
        <f t="shared" si="79"/>
        <v>1.3021766965428938</v>
      </c>
    </row>
    <row r="983" spans="1:23">
      <c r="A983">
        <v>10982</v>
      </c>
      <c r="B983" s="5">
        <v>45178</v>
      </c>
      <c r="C983" s="5">
        <v>45185</v>
      </c>
      <c r="D983" s="5">
        <v>45189</v>
      </c>
      <c r="E983" t="s">
        <v>21</v>
      </c>
      <c r="F983" t="s">
        <v>22</v>
      </c>
      <c r="G983" t="s">
        <v>25</v>
      </c>
      <c r="H983" t="s">
        <v>29</v>
      </c>
      <c r="I983" t="s">
        <v>36</v>
      </c>
      <c r="J983" t="s">
        <v>37</v>
      </c>
      <c r="K983" t="s">
        <v>48</v>
      </c>
      <c r="L983" t="s">
        <v>53</v>
      </c>
      <c r="M983" s="7">
        <v>46970</v>
      </c>
      <c r="N983">
        <v>0.14000000000000001</v>
      </c>
      <c r="O983" s="7">
        <v>8879</v>
      </c>
      <c r="P983">
        <v>24</v>
      </c>
      <c r="Q983" t="s">
        <v>55</v>
      </c>
      <c r="R983" t="s">
        <v>62</v>
      </c>
      <c r="S983">
        <f t="shared" si="75"/>
        <v>2023</v>
      </c>
      <c r="T983" t="str">
        <f t="shared" si="76"/>
        <v>Sep</v>
      </c>
      <c r="U983">
        <f t="shared" si="77"/>
        <v>7</v>
      </c>
      <c r="V983">
        <f t="shared" si="78"/>
        <v>11</v>
      </c>
      <c r="W983" s="9">
        <f t="shared" si="79"/>
        <v>0.18903555460932511</v>
      </c>
    </row>
    <row r="984" spans="1:23">
      <c r="A984">
        <v>10983</v>
      </c>
      <c r="B984" s="5">
        <v>45179</v>
      </c>
      <c r="C984" s="5">
        <v>45182</v>
      </c>
      <c r="D984" s="5">
        <v>45185</v>
      </c>
      <c r="E984" t="s">
        <v>21</v>
      </c>
      <c r="F984" t="s">
        <v>22</v>
      </c>
      <c r="G984" t="s">
        <v>25</v>
      </c>
      <c r="H984" t="s">
        <v>31</v>
      </c>
      <c r="I984" t="s">
        <v>34</v>
      </c>
      <c r="J984" t="s">
        <v>41</v>
      </c>
      <c r="K984" t="s">
        <v>47</v>
      </c>
      <c r="L984" t="s">
        <v>52</v>
      </c>
      <c r="M984" s="7">
        <v>8060</v>
      </c>
      <c r="N984">
        <v>0.03</v>
      </c>
      <c r="O984" s="7">
        <v>10858</v>
      </c>
      <c r="P984">
        <v>22</v>
      </c>
      <c r="Q984" t="s">
        <v>57</v>
      </c>
      <c r="R984" t="s">
        <v>59</v>
      </c>
      <c r="S984">
        <f t="shared" si="75"/>
        <v>2023</v>
      </c>
      <c r="T984" t="str">
        <f t="shared" si="76"/>
        <v>Sep</v>
      </c>
      <c r="U984">
        <f t="shared" si="77"/>
        <v>3</v>
      </c>
      <c r="V984">
        <f t="shared" si="78"/>
        <v>6</v>
      </c>
      <c r="W984" s="9">
        <f t="shared" si="79"/>
        <v>1.3471464019851116</v>
      </c>
    </row>
    <row r="985" spans="1:23">
      <c r="A985">
        <v>10984</v>
      </c>
      <c r="B985" s="5">
        <v>45180</v>
      </c>
      <c r="C985" s="5">
        <v>45183</v>
      </c>
      <c r="D985" s="5">
        <v>45186</v>
      </c>
      <c r="E985" t="s">
        <v>18</v>
      </c>
      <c r="F985" t="s">
        <v>22</v>
      </c>
      <c r="G985" t="s">
        <v>27</v>
      </c>
      <c r="H985" t="s">
        <v>25</v>
      </c>
      <c r="I985" t="s">
        <v>34</v>
      </c>
      <c r="J985" t="s">
        <v>42</v>
      </c>
      <c r="K985" t="s">
        <v>47</v>
      </c>
      <c r="L985" t="s">
        <v>53</v>
      </c>
      <c r="M985" s="7">
        <v>42885</v>
      </c>
      <c r="N985">
        <v>0.28000000000000003</v>
      </c>
      <c r="O985" s="7">
        <v>18038</v>
      </c>
      <c r="P985">
        <v>12</v>
      </c>
      <c r="Q985" t="s">
        <v>55</v>
      </c>
      <c r="R985" t="s">
        <v>61</v>
      </c>
      <c r="S985">
        <f t="shared" si="75"/>
        <v>2023</v>
      </c>
      <c r="T985" t="str">
        <f t="shared" si="76"/>
        <v>Sep</v>
      </c>
      <c r="U985">
        <f t="shared" si="77"/>
        <v>3</v>
      </c>
      <c r="V985">
        <f t="shared" si="78"/>
        <v>6</v>
      </c>
      <c r="W985" s="9">
        <f t="shared" si="79"/>
        <v>0.42061326804243909</v>
      </c>
    </row>
    <row r="986" spans="1:23">
      <c r="A986">
        <v>10985</v>
      </c>
      <c r="B986" s="5">
        <v>45181</v>
      </c>
      <c r="C986" s="5">
        <v>45184</v>
      </c>
      <c r="D986" s="5">
        <v>45185</v>
      </c>
      <c r="E986" t="s">
        <v>20</v>
      </c>
      <c r="F986" t="s">
        <v>22</v>
      </c>
      <c r="G986" t="s">
        <v>28</v>
      </c>
      <c r="H986" t="s">
        <v>33</v>
      </c>
      <c r="I986" t="s">
        <v>35</v>
      </c>
      <c r="J986" t="s">
        <v>43</v>
      </c>
      <c r="K986" t="s">
        <v>46</v>
      </c>
      <c r="L986" t="s">
        <v>52</v>
      </c>
      <c r="M986" s="7">
        <v>18418</v>
      </c>
      <c r="N986">
        <v>0.08</v>
      </c>
      <c r="O986" s="7">
        <v>1864</v>
      </c>
      <c r="P986">
        <v>1</v>
      </c>
      <c r="Q986" t="s">
        <v>58</v>
      </c>
      <c r="R986" t="s">
        <v>62</v>
      </c>
      <c r="S986">
        <f t="shared" si="75"/>
        <v>2023</v>
      </c>
      <c r="T986" t="str">
        <f t="shared" si="76"/>
        <v>Sep</v>
      </c>
      <c r="U986">
        <f t="shared" si="77"/>
        <v>3</v>
      </c>
      <c r="V986">
        <f t="shared" si="78"/>
        <v>4</v>
      </c>
      <c r="W986" s="9">
        <f t="shared" si="79"/>
        <v>0.10120534259963079</v>
      </c>
    </row>
    <row r="987" spans="1:23">
      <c r="A987">
        <v>10986</v>
      </c>
      <c r="B987" s="5">
        <v>45182</v>
      </c>
      <c r="C987" s="5">
        <v>45187</v>
      </c>
      <c r="D987" s="5">
        <v>45190</v>
      </c>
      <c r="E987" t="s">
        <v>19</v>
      </c>
      <c r="F987" t="s">
        <v>22</v>
      </c>
      <c r="G987" t="s">
        <v>25</v>
      </c>
      <c r="H987" t="s">
        <v>30</v>
      </c>
      <c r="I987" t="s">
        <v>34</v>
      </c>
      <c r="J987" t="s">
        <v>40</v>
      </c>
      <c r="K987" t="s">
        <v>47</v>
      </c>
      <c r="L987" t="s">
        <v>51</v>
      </c>
      <c r="M987" s="7">
        <v>50795</v>
      </c>
      <c r="N987">
        <v>0.18</v>
      </c>
      <c r="O987" s="7">
        <v>17979</v>
      </c>
      <c r="P987">
        <v>15</v>
      </c>
      <c r="Q987" t="s">
        <v>57</v>
      </c>
      <c r="R987" t="s">
        <v>62</v>
      </c>
      <c r="S987">
        <f t="shared" si="75"/>
        <v>2023</v>
      </c>
      <c r="T987" t="str">
        <f t="shared" si="76"/>
        <v>Sep</v>
      </c>
      <c r="U987">
        <f t="shared" si="77"/>
        <v>5</v>
      </c>
      <c r="V987">
        <f t="shared" si="78"/>
        <v>8</v>
      </c>
      <c r="W987" s="9">
        <f t="shared" si="79"/>
        <v>0.35395216064573287</v>
      </c>
    </row>
    <row r="988" spans="1:23">
      <c r="A988">
        <v>10987</v>
      </c>
      <c r="B988" s="5">
        <v>45183</v>
      </c>
      <c r="C988" s="5">
        <v>45190</v>
      </c>
      <c r="D988" s="5">
        <v>45194</v>
      </c>
      <c r="E988" t="s">
        <v>20</v>
      </c>
      <c r="F988" t="s">
        <v>22</v>
      </c>
      <c r="G988" t="s">
        <v>26</v>
      </c>
      <c r="H988" t="s">
        <v>33</v>
      </c>
      <c r="I988" t="s">
        <v>35</v>
      </c>
      <c r="J988" t="s">
        <v>39</v>
      </c>
      <c r="K988" t="s">
        <v>44</v>
      </c>
      <c r="L988" t="s">
        <v>52</v>
      </c>
      <c r="M988" s="7">
        <v>52000</v>
      </c>
      <c r="N988">
        <v>0.18</v>
      </c>
      <c r="O988" s="7">
        <v>12902</v>
      </c>
      <c r="P988">
        <v>9</v>
      </c>
      <c r="Q988" t="s">
        <v>58</v>
      </c>
      <c r="R988" t="s">
        <v>61</v>
      </c>
      <c r="S988">
        <f t="shared" si="75"/>
        <v>2023</v>
      </c>
      <c r="T988" t="str">
        <f t="shared" si="76"/>
        <v>Sep</v>
      </c>
      <c r="U988">
        <f t="shared" si="77"/>
        <v>7</v>
      </c>
      <c r="V988">
        <f t="shared" si="78"/>
        <v>11</v>
      </c>
      <c r="W988" s="9">
        <f t="shared" si="79"/>
        <v>0.24811538461538463</v>
      </c>
    </row>
    <row r="989" spans="1:23">
      <c r="A989">
        <v>10988</v>
      </c>
      <c r="B989" s="5">
        <v>45184</v>
      </c>
      <c r="C989" s="5">
        <v>45189</v>
      </c>
      <c r="D989" s="5">
        <v>45192</v>
      </c>
      <c r="E989" t="s">
        <v>18</v>
      </c>
      <c r="F989" t="s">
        <v>22</v>
      </c>
      <c r="G989" t="s">
        <v>28</v>
      </c>
      <c r="H989" t="s">
        <v>29</v>
      </c>
      <c r="I989" t="s">
        <v>36</v>
      </c>
      <c r="J989" t="s">
        <v>43</v>
      </c>
      <c r="K989" t="s">
        <v>45</v>
      </c>
      <c r="L989" t="s">
        <v>53</v>
      </c>
      <c r="M989" s="7">
        <v>55869</v>
      </c>
      <c r="N989">
        <v>0.14000000000000001</v>
      </c>
      <c r="O989" s="7">
        <v>10708</v>
      </c>
      <c r="P989">
        <v>14</v>
      </c>
      <c r="Q989" t="s">
        <v>57</v>
      </c>
      <c r="R989" t="s">
        <v>60</v>
      </c>
      <c r="S989">
        <f t="shared" si="75"/>
        <v>2023</v>
      </c>
      <c r="T989" t="str">
        <f t="shared" si="76"/>
        <v>Sep</v>
      </c>
      <c r="U989">
        <f t="shared" si="77"/>
        <v>5</v>
      </c>
      <c r="V989">
        <f t="shared" si="78"/>
        <v>8</v>
      </c>
      <c r="W989" s="9">
        <f t="shared" si="79"/>
        <v>0.1916626393885697</v>
      </c>
    </row>
    <row r="990" spans="1:23">
      <c r="A990">
        <v>10989</v>
      </c>
      <c r="B990" s="5">
        <v>45185</v>
      </c>
      <c r="C990" s="5">
        <v>45191</v>
      </c>
      <c r="D990" s="5">
        <v>45193</v>
      </c>
      <c r="E990" t="s">
        <v>19</v>
      </c>
      <c r="F990" t="s">
        <v>22</v>
      </c>
      <c r="G990" t="s">
        <v>24</v>
      </c>
      <c r="H990" t="s">
        <v>32</v>
      </c>
      <c r="I990" t="s">
        <v>35</v>
      </c>
      <c r="J990" t="s">
        <v>42</v>
      </c>
      <c r="K990" t="s">
        <v>49</v>
      </c>
      <c r="L990" t="s">
        <v>53</v>
      </c>
      <c r="M990" s="7">
        <v>23788</v>
      </c>
      <c r="N990">
        <v>0.27</v>
      </c>
      <c r="O990" s="7">
        <v>17035</v>
      </c>
      <c r="P990">
        <v>9</v>
      </c>
      <c r="Q990" t="s">
        <v>56</v>
      </c>
      <c r="R990" t="s">
        <v>60</v>
      </c>
      <c r="S990">
        <f t="shared" si="75"/>
        <v>2023</v>
      </c>
      <c r="T990" t="str">
        <f t="shared" si="76"/>
        <v>Sep</v>
      </c>
      <c r="U990">
        <f t="shared" si="77"/>
        <v>6</v>
      </c>
      <c r="V990">
        <f t="shared" si="78"/>
        <v>8</v>
      </c>
      <c r="W990" s="9">
        <f t="shared" si="79"/>
        <v>0.7161173701025727</v>
      </c>
    </row>
    <row r="991" spans="1:23">
      <c r="A991">
        <v>10990</v>
      </c>
      <c r="B991" s="5">
        <v>45186</v>
      </c>
      <c r="C991" s="5">
        <v>45189</v>
      </c>
      <c r="D991" s="5">
        <v>45193</v>
      </c>
      <c r="E991" t="s">
        <v>21</v>
      </c>
      <c r="F991" t="s">
        <v>22</v>
      </c>
      <c r="G991" t="s">
        <v>25</v>
      </c>
      <c r="H991" t="s">
        <v>30</v>
      </c>
      <c r="I991" t="s">
        <v>34</v>
      </c>
      <c r="J991" t="s">
        <v>39</v>
      </c>
      <c r="K991" t="s">
        <v>49</v>
      </c>
      <c r="L991" t="s">
        <v>51</v>
      </c>
      <c r="M991" s="7">
        <v>56418</v>
      </c>
      <c r="N991">
        <v>0.39</v>
      </c>
      <c r="O991" s="7">
        <v>17984</v>
      </c>
      <c r="P991">
        <v>5</v>
      </c>
      <c r="Q991" t="s">
        <v>54</v>
      </c>
      <c r="R991" t="s">
        <v>59</v>
      </c>
      <c r="S991">
        <f t="shared" si="75"/>
        <v>2023</v>
      </c>
      <c r="T991" t="str">
        <f t="shared" si="76"/>
        <v>Sep</v>
      </c>
      <c r="U991">
        <f t="shared" si="77"/>
        <v>3</v>
      </c>
      <c r="V991">
        <f t="shared" si="78"/>
        <v>7</v>
      </c>
      <c r="W991" s="9">
        <f t="shared" si="79"/>
        <v>0.31876351519018753</v>
      </c>
    </row>
    <row r="992" spans="1:23">
      <c r="A992">
        <v>10991</v>
      </c>
      <c r="B992" s="5">
        <v>45187</v>
      </c>
      <c r="C992" s="5">
        <v>45189</v>
      </c>
      <c r="D992" s="5">
        <v>45190</v>
      </c>
      <c r="E992" t="s">
        <v>20</v>
      </c>
      <c r="F992" t="s">
        <v>22</v>
      </c>
      <c r="G992" t="s">
        <v>23</v>
      </c>
      <c r="H992" t="s">
        <v>33</v>
      </c>
      <c r="I992" t="s">
        <v>36</v>
      </c>
      <c r="J992" t="s">
        <v>43</v>
      </c>
      <c r="K992" t="s">
        <v>45</v>
      </c>
      <c r="L992" t="s">
        <v>51</v>
      </c>
      <c r="M992" s="7">
        <v>18623</v>
      </c>
      <c r="N992">
        <v>0.05</v>
      </c>
      <c r="O992" s="7">
        <v>12806</v>
      </c>
      <c r="P992">
        <v>21</v>
      </c>
      <c r="Q992" t="s">
        <v>58</v>
      </c>
      <c r="R992" t="s">
        <v>61</v>
      </c>
      <c r="S992">
        <f t="shared" si="75"/>
        <v>2023</v>
      </c>
      <c r="T992" t="str">
        <f t="shared" si="76"/>
        <v>Sep</v>
      </c>
      <c r="U992">
        <f t="shared" si="77"/>
        <v>2</v>
      </c>
      <c r="V992">
        <f t="shared" si="78"/>
        <v>3</v>
      </c>
      <c r="W992" s="9">
        <f t="shared" si="79"/>
        <v>0.68764431079847499</v>
      </c>
    </row>
    <row r="993" spans="1:23">
      <c r="A993">
        <v>10992</v>
      </c>
      <c r="B993" s="5">
        <v>45188</v>
      </c>
      <c r="C993" s="5">
        <v>45193</v>
      </c>
      <c r="D993" s="5">
        <v>45194</v>
      </c>
      <c r="E993" t="s">
        <v>19</v>
      </c>
      <c r="F993" t="s">
        <v>22</v>
      </c>
      <c r="G993" t="s">
        <v>25</v>
      </c>
      <c r="H993" t="s">
        <v>31</v>
      </c>
      <c r="I993" t="s">
        <v>35</v>
      </c>
      <c r="J993" t="s">
        <v>43</v>
      </c>
      <c r="K993" t="s">
        <v>44</v>
      </c>
      <c r="L993" t="s">
        <v>51</v>
      </c>
      <c r="M993" s="7">
        <v>21481</v>
      </c>
      <c r="N993">
        <v>0.22</v>
      </c>
      <c r="O993" s="7">
        <v>16366</v>
      </c>
      <c r="P993">
        <v>24</v>
      </c>
      <c r="Q993" t="s">
        <v>54</v>
      </c>
      <c r="R993" t="s">
        <v>61</v>
      </c>
      <c r="S993">
        <f t="shared" si="75"/>
        <v>2023</v>
      </c>
      <c r="T993" t="str">
        <f t="shared" si="76"/>
        <v>Sep</v>
      </c>
      <c r="U993">
        <f t="shared" si="77"/>
        <v>5</v>
      </c>
      <c r="V993">
        <f t="shared" si="78"/>
        <v>6</v>
      </c>
      <c r="W993" s="9">
        <f t="shared" si="79"/>
        <v>0.76188259392020852</v>
      </c>
    </row>
    <row r="994" spans="1:23">
      <c r="A994">
        <v>10993</v>
      </c>
      <c r="B994" s="5">
        <v>45189</v>
      </c>
      <c r="C994" s="5">
        <v>45195</v>
      </c>
      <c r="D994" s="5">
        <v>45196</v>
      </c>
      <c r="E994" t="s">
        <v>20</v>
      </c>
      <c r="F994" t="s">
        <v>22</v>
      </c>
      <c r="G994" t="s">
        <v>23</v>
      </c>
      <c r="H994" t="s">
        <v>33</v>
      </c>
      <c r="I994" t="s">
        <v>36</v>
      </c>
      <c r="J994" t="s">
        <v>42</v>
      </c>
      <c r="K994" t="s">
        <v>49</v>
      </c>
      <c r="L994" t="s">
        <v>53</v>
      </c>
      <c r="M994" s="7">
        <v>53525</v>
      </c>
      <c r="N994">
        <v>0.06</v>
      </c>
      <c r="O994" s="7">
        <v>13174</v>
      </c>
      <c r="P994">
        <v>3</v>
      </c>
      <c r="Q994" t="s">
        <v>57</v>
      </c>
      <c r="R994" t="s">
        <v>59</v>
      </c>
      <c r="S994">
        <f t="shared" si="75"/>
        <v>2023</v>
      </c>
      <c r="T994" t="str">
        <f t="shared" si="76"/>
        <v>Sep</v>
      </c>
      <c r="U994">
        <f t="shared" si="77"/>
        <v>6</v>
      </c>
      <c r="V994">
        <f t="shared" si="78"/>
        <v>7</v>
      </c>
      <c r="W994" s="9">
        <f t="shared" si="79"/>
        <v>0.24612797758056984</v>
      </c>
    </row>
    <row r="995" spans="1:23">
      <c r="A995">
        <v>10994</v>
      </c>
      <c r="B995" s="5">
        <v>45190</v>
      </c>
      <c r="C995" s="5">
        <v>45196</v>
      </c>
      <c r="D995" s="5">
        <v>45197</v>
      </c>
      <c r="E995" t="s">
        <v>20</v>
      </c>
      <c r="F995" t="s">
        <v>22</v>
      </c>
      <c r="G995" t="s">
        <v>27</v>
      </c>
      <c r="H995" t="s">
        <v>30</v>
      </c>
      <c r="I995" t="s">
        <v>34</v>
      </c>
      <c r="J995" t="s">
        <v>40</v>
      </c>
      <c r="K995" t="s">
        <v>46</v>
      </c>
      <c r="L995" t="s">
        <v>52</v>
      </c>
      <c r="M995" s="7">
        <v>38468</v>
      </c>
      <c r="N995">
        <v>0.09</v>
      </c>
      <c r="O995" s="7">
        <v>16378</v>
      </c>
      <c r="P995">
        <v>9</v>
      </c>
      <c r="Q995" t="s">
        <v>57</v>
      </c>
      <c r="R995" t="s">
        <v>62</v>
      </c>
      <c r="S995">
        <f t="shared" si="75"/>
        <v>2023</v>
      </c>
      <c r="T995" t="str">
        <f t="shared" si="76"/>
        <v>Sep</v>
      </c>
      <c r="U995">
        <f t="shared" si="77"/>
        <v>6</v>
      </c>
      <c r="V995">
        <f t="shared" si="78"/>
        <v>7</v>
      </c>
      <c r="W995" s="9">
        <f t="shared" si="79"/>
        <v>0.4257564729125507</v>
      </c>
    </row>
    <row r="996" spans="1:23">
      <c r="A996">
        <v>10995</v>
      </c>
      <c r="B996" s="5">
        <v>45191</v>
      </c>
      <c r="C996" s="5">
        <v>45198</v>
      </c>
      <c r="D996" s="5">
        <v>45201</v>
      </c>
      <c r="E996" t="s">
        <v>18</v>
      </c>
      <c r="F996" t="s">
        <v>22</v>
      </c>
      <c r="G996" t="s">
        <v>23</v>
      </c>
      <c r="H996" t="s">
        <v>25</v>
      </c>
      <c r="I996" t="s">
        <v>36</v>
      </c>
      <c r="J996" t="s">
        <v>43</v>
      </c>
      <c r="K996" t="s">
        <v>49</v>
      </c>
      <c r="L996" t="s">
        <v>53</v>
      </c>
      <c r="M996" s="7">
        <v>26951</v>
      </c>
      <c r="N996">
        <v>0.18</v>
      </c>
      <c r="O996" s="7">
        <v>6972</v>
      </c>
      <c r="P996">
        <v>21</v>
      </c>
      <c r="Q996" t="s">
        <v>56</v>
      </c>
      <c r="R996" t="s">
        <v>60</v>
      </c>
      <c r="S996">
        <f t="shared" si="75"/>
        <v>2023</v>
      </c>
      <c r="T996" t="str">
        <f t="shared" si="76"/>
        <v>Sep</v>
      </c>
      <c r="U996">
        <f t="shared" si="77"/>
        <v>7</v>
      </c>
      <c r="V996">
        <f t="shared" si="78"/>
        <v>10</v>
      </c>
      <c r="W996" s="9">
        <f t="shared" si="79"/>
        <v>0.25869169975140072</v>
      </c>
    </row>
    <row r="997" spans="1:23">
      <c r="A997">
        <v>10996</v>
      </c>
      <c r="B997" s="5">
        <v>45192</v>
      </c>
      <c r="C997" s="5">
        <v>45197</v>
      </c>
      <c r="D997" s="5">
        <v>45200</v>
      </c>
      <c r="E997" t="s">
        <v>18</v>
      </c>
      <c r="F997" t="s">
        <v>22</v>
      </c>
      <c r="G997" t="s">
        <v>28</v>
      </c>
      <c r="H997" t="s">
        <v>30</v>
      </c>
      <c r="I997" t="s">
        <v>36</v>
      </c>
      <c r="J997" t="s">
        <v>38</v>
      </c>
      <c r="K997" t="s">
        <v>45</v>
      </c>
      <c r="L997" t="s">
        <v>51</v>
      </c>
      <c r="M997" s="7">
        <v>52749</v>
      </c>
      <c r="N997">
        <v>7.0000000000000007E-2</v>
      </c>
      <c r="O997" s="7">
        <v>4588</v>
      </c>
      <c r="P997">
        <v>16</v>
      </c>
      <c r="Q997" t="s">
        <v>54</v>
      </c>
      <c r="R997" t="s">
        <v>59</v>
      </c>
      <c r="S997">
        <f t="shared" si="75"/>
        <v>2023</v>
      </c>
      <c r="T997" t="str">
        <f t="shared" si="76"/>
        <v>Sep</v>
      </c>
      <c r="U997">
        <f t="shared" si="77"/>
        <v>5</v>
      </c>
      <c r="V997">
        <f t="shared" si="78"/>
        <v>8</v>
      </c>
      <c r="W997" s="9">
        <f t="shared" si="79"/>
        <v>8.6977952188667079E-2</v>
      </c>
    </row>
    <row r="998" spans="1:23">
      <c r="A998">
        <v>10997</v>
      </c>
      <c r="B998" s="5">
        <v>45193</v>
      </c>
      <c r="C998" s="5">
        <v>45198</v>
      </c>
      <c r="D998" s="5">
        <v>45202</v>
      </c>
      <c r="E998" t="s">
        <v>18</v>
      </c>
      <c r="F998" t="s">
        <v>22</v>
      </c>
      <c r="G998" t="s">
        <v>27</v>
      </c>
      <c r="H998" t="s">
        <v>25</v>
      </c>
      <c r="I998" t="s">
        <v>35</v>
      </c>
      <c r="J998" t="s">
        <v>37</v>
      </c>
      <c r="K998" t="s">
        <v>49</v>
      </c>
      <c r="L998" t="s">
        <v>53</v>
      </c>
      <c r="M998" s="7">
        <v>16397</v>
      </c>
      <c r="N998">
        <v>0.05</v>
      </c>
      <c r="O998" s="7">
        <v>1616</v>
      </c>
      <c r="P998">
        <v>4</v>
      </c>
      <c r="Q998" t="s">
        <v>55</v>
      </c>
      <c r="R998" t="s">
        <v>60</v>
      </c>
      <c r="S998">
        <f t="shared" si="75"/>
        <v>2023</v>
      </c>
      <c r="T998" t="str">
        <f t="shared" si="76"/>
        <v>Sep</v>
      </c>
      <c r="U998">
        <f t="shared" si="77"/>
        <v>5</v>
      </c>
      <c r="V998">
        <f t="shared" si="78"/>
        <v>9</v>
      </c>
      <c r="W998" s="9">
        <f t="shared" si="79"/>
        <v>9.8554613648838205E-2</v>
      </c>
    </row>
    <row r="999" spans="1:23">
      <c r="A999">
        <v>10998</v>
      </c>
      <c r="B999" s="5">
        <v>45194</v>
      </c>
      <c r="C999" s="5">
        <v>45196</v>
      </c>
      <c r="D999" s="5">
        <v>45199</v>
      </c>
      <c r="E999" t="s">
        <v>18</v>
      </c>
      <c r="F999" t="s">
        <v>22</v>
      </c>
      <c r="G999" t="s">
        <v>27</v>
      </c>
      <c r="H999" t="s">
        <v>30</v>
      </c>
      <c r="I999" t="s">
        <v>35</v>
      </c>
      <c r="J999" t="s">
        <v>38</v>
      </c>
      <c r="K999" t="s">
        <v>47</v>
      </c>
      <c r="L999" t="s">
        <v>51</v>
      </c>
      <c r="M999" s="7">
        <v>45706</v>
      </c>
      <c r="N999">
        <v>0.25</v>
      </c>
      <c r="O999" s="7">
        <v>9391</v>
      </c>
      <c r="P999">
        <v>15</v>
      </c>
      <c r="Q999" t="s">
        <v>57</v>
      </c>
      <c r="R999" t="s">
        <v>62</v>
      </c>
      <c r="S999">
        <f t="shared" si="75"/>
        <v>2023</v>
      </c>
      <c r="T999" t="str">
        <f t="shared" si="76"/>
        <v>Sep</v>
      </c>
      <c r="U999">
        <f t="shared" si="77"/>
        <v>2</v>
      </c>
      <c r="V999">
        <f t="shared" si="78"/>
        <v>5</v>
      </c>
      <c r="W999" s="9">
        <f t="shared" si="79"/>
        <v>0.20546536559751455</v>
      </c>
    </row>
    <row r="1000" spans="1:23">
      <c r="A1000">
        <v>10999</v>
      </c>
      <c r="B1000" s="5">
        <v>45195</v>
      </c>
      <c r="C1000" s="5">
        <v>45197</v>
      </c>
      <c r="D1000" s="5">
        <v>45198</v>
      </c>
      <c r="E1000" t="s">
        <v>19</v>
      </c>
      <c r="F1000" t="s">
        <v>22</v>
      </c>
      <c r="G1000" t="s">
        <v>24</v>
      </c>
      <c r="H1000" t="s">
        <v>29</v>
      </c>
      <c r="I1000" t="s">
        <v>36</v>
      </c>
      <c r="J1000" t="s">
        <v>38</v>
      </c>
      <c r="K1000" t="s">
        <v>46</v>
      </c>
      <c r="L1000" t="s">
        <v>51</v>
      </c>
      <c r="M1000" s="7">
        <v>31565</v>
      </c>
      <c r="N1000">
        <v>0.28000000000000003</v>
      </c>
      <c r="O1000" s="7">
        <v>2244</v>
      </c>
      <c r="P1000">
        <v>2</v>
      </c>
      <c r="Q1000" t="s">
        <v>57</v>
      </c>
      <c r="R1000" t="s">
        <v>61</v>
      </c>
      <c r="S1000">
        <f t="shared" si="75"/>
        <v>2023</v>
      </c>
      <c r="T1000" t="str">
        <f t="shared" si="76"/>
        <v>Sep</v>
      </c>
      <c r="U1000">
        <f t="shared" si="77"/>
        <v>2</v>
      </c>
      <c r="V1000">
        <f t="shared" si="78"/>
        <v>3</v>
      </c>
      <c r="W1000" s="9">
        <f t="shared" si="79"/>
        <v>7.1091398701092989E-2</v>
      </c>
    </row>
    <row r="1001" spans="1:23">
      <c r="A1001">
        <v>11000</v>
      </c>
      <c r="B1001" s="5">
        <v>45196</v>
      </c>
      <c r="C1001" s="5">
        <v>45203</v>
      </c>
      <c r="D1001" s="5">
        <v>45204</v>
      </c>
      <c r="E1001" t="s">
        <v>20</v>
      </c>
      <c r="F1001" t="s">
        <v>22</v>
      </c>
      <c r="G1001" t="s">
        <v>28</v>
      </c>
      <c r="H1001" t="s">
        <v>33</v>
      </c>
      <c r="I1001" t="s">
        <v>36</v>
      </c>
      <c r="J1001" t="s">
        <v>39</v>
      </c>
      <c r="K1001" t="s">
        <v>46</v>
      </c>
      <c r="L1001" t="s">
        <v>52</v>
      </c>
      <c r="M1001" s="7">
        <v>23415</v>
      </c>
      <c r="N1001">
        <v>0.35</v>
      </c>
      <c r="O1001" s="7">
        <v>18471</v>
      </c>
      <c r="P1001">
        <v>21</v>
      </c>
      <c r="Q1001" t="s">
        <v>55</v>
      </c>
      <c r="R1001" t="s">
        <v>61</v>
      </c>
      <c r="S1001">
        <f t="shared" si="75"/>
        <v>2023</v>
      </c>
      <c r="T1001" t="str">
        <f t="shared" si="76"/>
        <v>Sep</v>
      </c>
      <c r="U1001">
        <f t="shared" si="77"/>
        <v>7</v>
      </c>
      <c r="V1001">
        <f t="shared" si="78"/>
        <v>8</v>
      </c>
      <c r="W1001" s="9">
        <f t="shared" si="79"/>
        <v>0.78885329916720048</v>
      </c>
    </row>
    <row r="1002" spans="1:23">
      <c r="A1002">
        <v>11001</v>
      </c>
      <c r="B1002" s="5">
        <v>45197</v>
      </c>
      <c r="C1002" s="5">
        <v>45204</v>
      </c>
      <c r="D1002" s="5">
        <v>45207</v>
      </c>
      <c r="E1002" t="s">
        <v>20</v>
      </c>
      <c r="F1002" t="s">
        <v>22</v>
      </c>
      <c r="G1002" t="s">
        <v>28</v>
      </c>
      <c r="H1002" t="s">
        <v>33</v>
      </c>
      <c r="I1002" t="s">
        <v>36</v>
      </c>
      <c r="J1002" t="s">
        <v>38</v>
      </c>
      <c r="K1002" t="s">
        <v>46</v>
      </c>
      <c r="L1002" t="s">
        <v>51</v>
      </c>
      <c r="M1002" s="7">
        <v>49429</v>
      </c>
      <c r="N1002">
        <v>0.12</v>
      </c>
      <c r="O1002" s="7">
        <v>8351</v>
      </c>
      <c r="P1002">
        <v>15</v>
      </c>
      <c r="Q1002" t="s">
        <v>54</v>
      </c>
      <c r="R1002" t="s">
        <v>61</v>
      </c>
      <c r="S1002">
        <f t="shared" si="75"/>
        <v>2023</v>
      </c>
      <c r="T1002" t="str">
        <f t="shared" si="76"/>
        <v>Sep</v>
      </c>
      <c r="U1002">
        <f t="shared" si="77"/>
        <v>7</v>
      </c>
      <c r="V1002">
        <f t="shared" si="78"/>
        <v>10</v>
      </c>
      <c r="W1002" s="9">
        <f t="shared" si="79"/>
        <v>0.16894940217281354</v>
      </c>
    </row>
    <row r="1003" spans="1:23">
      <c r="A1003">
        <v>11002</v>
      </c>
      <c r="B1003" s="5">
        <v>45198</v>
      </c>
      <c r="C1003" s="5">
        <v>45203</v>
      </c>
      <c r="D1003" s="5">
        <v>45208</v>
      </c>
      <c r="E1003" t="s">
        <v>20</v>
      </c>
      <c r="F1003" t="s">
        <v>22</v>
      </c>
      <c r="G1003" t="s">
        <v>25</v>
      </c>
      <c r="H1003" t="s">
        <v>33</v>
      </c>
      <c r="I1003" t="s">
        <v>36</v>
      </c>
      <c r="J1003" t="s">
        <v>42</v>
      </c>
      <c r="K1003" t="s">
        <v>44</v>
      </c>
      <c r="L1003" t="s">
        <v>53</v>
      </c>
      <c r="M1003" s="7">
        <v>34019</v>
      </c>
      <c r="N1003">
        <v>0.35</v>
      </c>
      <c r="O1003" s="7">
        <v>-171</v>
      </c>
      <c r="P1003">
        <v>20</v>
      </c>
      <c r="Q1003" t="s">
        <v>58</v>
      </c>
      <c r="R1003" t="s">
        <v>60</v>
      </c>
      <c r="S1003">
        <f t="shared" si="75"/>
        <v>2023</v>
      </c>
      <c r="T1003" t="str">
        <f t="shared" si="76"/>
        <v>Sep</v>
      </c>
      <c r="U1003">
        <f t="shared" si="77"/>
        <v>5</v>
      </c>
      <c r="V1003">
        <f t="shared" si="78"/>
        <v>10</v>
      </c>
      <c r="W1003" s="9">
        <f t="shared" si="79"/>
        <v>-5.0266027807989652E-3</v>
      </c>
    </row>
    <row r="1004" spans="1:23">
      <c r="A1004">
        <v>11003</v>
      </c>
      <c r="B1004" s="5">
        <v>45199</v>
      </c>
      <c r="C1004" s="5">
        <v>45203</v>
      </c>
      <c r="D1004" s="5">
        <v>45206</v>
      </c>
      <c r="E1004" t="s">
        <v>21</v>
      </c>
      <c r="F1004" t="s">
        <v>22</v>
      </c>
      <c r="G1004" t="s">
        <v>25</v>
      </c>
      <c r="H1004" t="s">
        <v>33</v>
      </c>
      <c r="I1004" t="s">
        <v>36</v>
      </c>
      <c r="J1004" t="s">
        <v>43</v>
      </c>
      <c r="K1004" t="s">
        <v>46</v>
      </c>
      <c r="L1004" t="s">
        <v>52</v>
      </c>
      <c r="M1004" s="7">
        <v>44106</v>
      </c>
      <c r="N1004">
        <v>0.01</v>
      </c>
      <c r="O1004" s="7">
        <v>12908</v>
      </c>
      <c r="P1004">
        <v>17</v>
      </c>
      <c r="Q1004" t="s">
        <v>56</v>
      </c>
      <c r="R1004" t="s">
        <v>59</v>
      </c>
      <c r="S1004">
        <f t="shared" si="75"/>
        <v>2023</v>
      </c>
      <c r="T1004" t="str">
        <f t="shared" si="76"/>
        <v>Sep</v>
      </c>
      <c r="U1004">
        <f t="shared" si="77"/>
        <v>4</v>
      </c>
      <c r="V1004">
        <f t="shared" si="78"/>
        <v>7</v>
      </c>
      <c r="W1004" s="9">
        <f t="shared" si="79"/>
        <v>0.29265859520246679</v>
      </c>
    </row>
    <row r="1005" spans="1:23">
      <c r="A1005">
        <v>11004</v>
      </c>
      <c r="B1005" s="5">
        <v>45200</v>
      </c>
      <c r="C1005" s="5">
        <v>45206</v>
      </c>
      <c r="D1005" s="5">
        <v>45211</v>
      </c>
      <c r="E1005" t="s">
        <v>21</v>
      </c>
      <c r="F1005" t="s">
        <v>22</v>
      </c>
      <c r="G1005" t="s">
        <v>26</v>
      </c>
      <c r="H1005" t="s">
        <v>33</v>
      </c>
      <c r="I1005" t="s">
        <v>35</v>
      </c>
      <c r="J1005" t="s">
        <v>42</v>
      </c>
      <c r="K1005" t="s">
        <v>46</v>
      </c>
      <c r="L1005" t="s">
        <v>53</v>
      </c>
      <c r="M1005" s="7">
        <v>34861</v>
      </c>
      <c r="N1005">
        <v>0.14000000000000001</v>
      </c>
      <c r="O1005" s="7">
        <v>12469</v>
      </c>
      <c r="P1005">
        <v>8</v>
      </c>
      <c r="Q1005" t="s">
        <v>58</v>
      </c>
      <c r="R1005" t="s">
        <v>60</v>
      </c>
      <c r="S1005">
        <f t="shared" si="75"/>
        <v>2023</v>
      </c>
      <c r="T1005" t="str">
        <f t="shared" si="76"/>
        <v>Oct</v>
      </c>
      <c r="U1005">
        <f t="shared" si="77"/>
        <v>6</v>
      </c>
      <c r="V1005">
        <f t="shared" si="78"/>
        <v>11</v>
      </c>
      <c r="W1005" s="9">
        <f t="shared" si="79"/>
        <v>0.35767763403229968</v>
      </c>
    </row>
    <row r="1006" spans="1:23">
      <c r="A1006">
        <v>11005</v>
      </c>
      <c r="B1006" s="5">
        <v>45201</v>
      </c>
      <c r="C1006" s="5">
        <v>45206</v>
      </c>
      <c r="D1006" s="5">
        <v>45207</v>
      </c>
      <c r="E1006" t="s">
        <v>20</v>
      </c>
      <c r="F1006" t="s">
        <v>22</v>
      </c>
      <c r="G1006" t="s">
        <v>23</v>
      </c>
      <c r="H1006" t="s">
        <v>29</v>
      </c>
      <c r="I1006" t="s">
        <v>35</v>
      </c>
      <c r="J1006" t="s">
        <v>38</v>
      </c>
      <c r="K1006" t="s">
        <v>46</v>
      </c>
      <c r="L1006" t="s">
        <v>51</v>
      </c>
      <c r="M1006" s="7">
        <v>65843</v>
      </c>
      <c r="N1006">
        <v>0.1</v>
      </c>
      <c r="O1006" s="7">
        <v>11019</v>
      </c>
      <c r="P1006">
        <v>17</v>
      </c>
      <c r="Q1006" t="s">
        <v>54</v>
      </c>
      <c r="R1006" t="s">
        <v>62</v>
      </c>
      <c r="S1006">
        <f t="shared" si="75"/>
        <v>2023</v>
      </c>
      <c r="T1006" t="str">
        <f t="shared" si="76"/>
        <v>Oct</v>
      </c>
      <c r="U1006">
        <f t="shared" si="77"/>
        <v>5</v>
      </c>
      <c r="V1006">
        <f t="shared" si="78"/>
        <v>6</v>
      </c>
      <c r="W1006" s="9">
        <f t="shared" si="79"/>
        <v>0.16735264189055785</v>
      </c>
    </row>
    <row r="1007" spans="1:23">
      <c r="A1007">
        <v>11006</v>
      </c>
      <c r="B1007" s="5">
        <v>45202</v>
      </c>
      <c r="C1007" s="5">
        <v>45207</v>
      </c>
      <c r="D1007" s="5">
        <v>45209</v>
      </c>
      <c r="E1007" t="s">
        <v>18</v>
      </c>
      <c r="F1007" t="s">
        <v>22</v>
      </c>
      <c r="G1007" t="s">
        <v>26</v>
      </c>
      <c r="H1007" t="s">
        <v>32</v>
      </c>
      <c r="I1007" t="s">
        <v>35</v>
      </c>
      <c r="J1007" t="s">
        <v>43</v>
      </c>
      <c r="K1007" t="s">
        <v>47</v>
      </c>
      <c r="L1007" t="s">
        <v>53</v>
      </c>
      <c r="M1007" s="7">
        <v>60600</v>
      </c>
      <c r="N1007">
        <v>0.14000000000000001</v>
      </c>
      <c r="O1007" s="7">
        <v>16569</v>
      </c>
      <c r="P1007">
        <v>22</v>
      </c>
      <c r="Q1007" t="s">
        <v>55</v>
      </c>
      <c r="R1007" t="s">
        <v>61</v>
      </c>
      <c r="S1007">
        <f t="shared" si="75"/>
        <v>2023</v>
      </c>
      <c r="T1007" t="str">
        <f t="shared" si="76"/>
        <v>Oct</v>
      </c>
      <c r="U1007">
        <f t="shared" si="77"/>
        <v>5</v>
      </c>
      <c r="V1007">
        <f t="shared" si="78"/>
        <v>7</v>
      </c>
      <c r="W1007" s="9">
        <f t="shared" si="79"/>
        <v>0.27341584158415844</v>
      </c>
    </row>
    <row r="1008" spans="1:23">
      <c r="A1008">
        <v>11007</v>
      </c>
      <c r="B1008" s="5">
        <v>45203</v>
      </c>
      <c r="C1008" s="5">
        <v>45205</v>
      </c>
      <c r="D1008" s="5">
        <v>45206</v>
      </c>
      <c r="E1008" t="s">
        <v>21</v>
      </c>
      <c r="F1008" t="s">
        <v>22</v>
      </c>
      <c r="G1008" t="s">
        <v>23</v>
      </c>
      <c r="H1008" t="s">
        <v>32</v>
      </c>
      <c r="I1008" t="s">
        <v>36</v>
      </c>
      <c r="J1008" t="s">
        <v>42</v>
      </c>
      <c r="K1008" t="s">
        <v>50</v>
      </c>
      <c r="L1008" t="s">
        <v>53</v>
      </c>
      <c r="M1008" s="7">
        <v>60121</v>
      </c>
      <c r="N1008">
        <v>0.28999999999999998</v>
      </c>
      <c r="O1008" s="7">
        <v>2784</v>
      </c>
      <c r="P1008">
        <v>8</v>
      </c>
      <c r="Q1008" t="s">
        <v>57</v>
      </c>
      <c r="R1008" t="s">
        <v>59</v>
      </c>
      <c r="S1008">
        <f t="shared" si="75"/>
        <v>2023</v>
      </c>
      <c r="T1008" t="str">
        <f t="shared" si="76"/>
        <v>Oct</v>
      </c>
      <c r="U1008">
        <f t="shared" si="77"/>
        <v>2</v>
      </c>
      <c r="V1008">
        <f t="shared" si="78"/>
        <v>3</v>
      </c>
      <c r="W1008" s="9">
        <f t="shared" si="79"/>
        <v>4.6306614993097253E-2</v>
      </c>
    </row>
    <row r="1009" spans="1:23">
      <c r="A1009">
        <v>11008</v>
      </c>
      <c r="B1009" s="5">
        <v>45204</v>
      </c>
      <c r="C1009" s="5">
        <v>45207</v>
      </c>
      <c r="D1009" s="5">
        <v>45210</v>
      </c>
      <c r="E1009" t="s">
        <v>20</v>
      </c>
      <c r="F1009" t="s">
        <v>22</v>
      </c>
      <c r="G1009" t="s">
        <v>27</v>
      </c>
      <c r="H1009" t="s">
        <v>30</v>
      </c>
      <c r="I1009" t="s">
        <v>35</v>
      </c>
      <c r="J1009" t="s">
        <v>40</v>
      </c>
      <c r="K1009" t="s">
        <v>49</v>
      </c>
      <c r="L1009" t="s">
        <v>51</v>
      </c>
      <c r="M1009" s="7">
        <v>27746</v>
      </c>
      <c r="N1009">
        <v>0.37</v>
      </c>
      <c r="O1009" s="7">
        <v>10467</v>
      </c>
      <c r="P1009">
        <v>24</v>
      </c>
      <c r="Q1009" t="s">
        <v>57</v>
      </c>
      <c r="R1009" t="s">
        <v>59</v>
      </c>
      <c r="S1009">
        <f t="shared" si="75"/>
        <v>2023</v>
      </c>
      <c r="T1009" t="str">
        <f t="shared" si="76"/>
        <v>Oct</v>
      </c>
      <c r="U1009">
        <f t="shared" si="77"/>
        <v>3</v>
      </c>
      <c r="V1009">
        <f t="shared" si="78"/>
        <v>6</v>
      </c>
      <c r="W1009" s="9">
        <f t="shared" si="79"/>
        <v>0.37724356664023645</v>
      </c>
    </row>
    <row r="1010" spans="1:23">
      <c r="A1010">
        <v>11009</v>
      </c>
      <c r="B1010" s="5">
        <v>45205</v>
      </c>
      <c r="C1010" s="5">
        <v>45212</v>
      </c>
      <c r="D1010" s="5">
        <v>45216</v>
      </c>
      <c r="E1010" t="s">
        <v>20</v>
      </c>
      <c r="F1010" t="s">
        <v>22</v>
      </c>
      <c r="G1010" t="s">
        <v>27</v>
      </c>
      <c r="H1010" t="s">
        <v>33</v>
      </c>
      <c r="I1010" t="s">
        <v>36</v>
      </c>
      <c r="J1010" t="s">
        <v>41</v>
      </c>
      <c r="K1010" t="s">
        <v>48</v>
      </c>
      <c r="L1010" t="s">
        <v>52</v>
      </c>
      <c r="M1010" s="7">
        <v>55564</v>
      </c>
      <c r="N1010">
        <v>0.1</v>
      </c>
      <c r="O1010" s="7">
        <v>7580</v>
      </c>
      <c r="P1010">
        <v>1</v>
      </c>
      <c r="Q1010" t="s">
        <v>55</v>
      </c>
      <c r="R1010" t="s">
        <v>59</v>
      </c>
      <c r="S1010">
        <f t="shared" si="75"/>
        <v>2023</v>
      </c>
      <c r="T1010" t="str">
        <f t="shared" si="76"/>
        <v>Oct</v>
      </c>
      <c r="U1010">
        <f t="shared" si="77"/>
        <v>7</v>
      </c>
      <c r="V1010">
        <f t="shared" si="78"/>
        <v>11</v>
      </c>
      <c r="W1010" s="9">
        <f t="shared" si="79"/>
        <v>0.13641926427183068</v>
      </c>
    </row>
    <row r="1011" spans="1:23">
      <c r="A1011">
        <v>11010</v>
      </c>
      <c r="B1011" s="5">
        <v>45206</v>
      </c>
      <c r="C1011" s="5">
        <v>45213</v>
      </c>
      <c r="D1011" s="5">
        <v>45217</v>
      </c>
      <c r="E1011" t="s">
        <v>20</v>
      </c>
      <c r="F1011" t="s">
        <v>22</v>
      </c>
      <c r="G1011" t="s">
        <v>24</v>
      </c>
      <c r="H1011" t="s">
        <v>25</v>
      </c>
      <c r="I1011" t="s">
        <v>34</v>
      </c>
      <c r="J1011" t="s">
        <v>42</v>
      </c>
      <c r="K1011" t="s">
        <v>45</v>
      </c>
      <c r="L1011" t="s">
        <v>51</v>
      </c>
      <c r="M1011" s="7">
        <v>25249</v>
      </c>
      <c r="N1011">
        <v>0.24</v>
      </c>
      <c r="O1011" s="7">
        <v>11715</v>
      </c>
      <c r="P1011">
        <v>11</v>
      </c>
      <c r="Q1011" t="s">
        <v>58</v>
      </c>
      <c r="R1011" t="s">
        <v>59</v>
      </c>
      <c r="S1011">
        <f t="shared" si="75"/>
        <v>2023</v>
      </c>
      <c r="T1011" t="str">
        <f t="shared" si="76"/>
        <v>Oct</v>
      </c>
      <c r="U1011">
        <f t="shared" si="77"/>
        <v>7</v>
      </c>
      <c r="V1011">
        <f t="shared" si="78"/>
        <v>11</v>
      </c>
      <c r="W1011" s="9">
        <f t="shared" si="79"/>
        <v>0.46397877143649252</v>
      </c>
    </row>
    <row r="1012" spans="1:23">
      <c r="A1012">
        <v>11011</v>
      </c>
      <c r="B1012" s="5">
        <v>45207</v>
      </c>
      <c r="C1012" s="5">
        <v>45214</v>
      </c>
      <c r="D1012" s="5">
        <v>45219</v>
      </c>
      <c r="E1012" t="s">
        <v>21</v>
      </c>
      <c r="F1012" t="s">
        <v>22</v>
      </c>
      <c r="G1012" t="s">
        <v>25</v>
      </c>
      <c r="H1012" t="s">
        <v>30</v>
      </c>
      <c r="I1012" t="s">
        <v>34</v>
      </c>
      <c r="J1012" t="s">
        <v>38</v>
      </c>
      <c r="K1012" t="s">
        <v>49</v>
      </c>
      <c r="L1012" t="s">
        <v>52</v>
      </c>
      <c r="M1012" s="7">
        <v>12342</v>
      </c>
      <c r="N1012">
        <v>0.31</v>
      </c>
      <c r="O1012" s="7">
        <v>6692</v>
      </c>
      <c r="P1012">
        <v>20</v>
      </c>
      <c r="Q1012" t="s">
        <v>57</v>
      </c>
      <c r="R1012" t="s">
        <v>62</v>
      </c>
      <c r="S1012">
        <f t="shared" si="75"/>
        <v>2023</v>
      </c>
      <c r="T1012" t="str">
        <f t="shared" si="76"/>
        <v>Oct</v>
      </c>
      <c r="U1012">
        <f t="shared" si="77"/>
        <v>7</v>
      </c>
      <c r="V1012">
        <f t="shared" si="78"/>
        <v>12</v>
      </c>
      <c r="W1012" s="9">
        <f t="shared" si="79"/>
        <v>0.54221357964673478</v>
      </c>
    </row>
    <row r="1013" spans="1:23">
      <c r="A1013">
        <v>11012</v>
      </c>
      <c r="B1013" s="5">
        <v>45208</v>
      </c>
      <c r="C1013" s="5">
        <v>45215</v>
      </c>
      <c r="D1013" s="5">
        <v>45220</v>
      </c>
      <c r="E1013" t="s">
        <v>18</v>
      </c>
      <c r="F1013" t="s">
        <v>22</v>
      </c>
      <c r="G1013" t="s">
        <v>25</v>
      </c>
      <c r="H1013" t="s">
        <v>30</v>
      </c>
      <c r="I1013" t="s">
        <v>34</v>
      </c>
      <c r="J1013" t="s">
        <v>39</v>
      </c>
      <c r="K1013" t="s">
        <v>50</v>
      </c>
      <c r="L1013" t="s">
        <v>53</v>
      </c>
      <c r="M1013" s="7">
        <v>29005</v>
      </c>
      <c r="N1013">
        <v>0.27</v>
      </c>
      <c r="O1013" s="7">
        <v>18475</v>
      </c>
      <c r="P1013">
        <v>11</v>
      </c>
      <c r="Q1013" t="s">
        <v>54</v>
      </c>
      <c r="R1013" t="s">
        <v>60</v>
      </c>
      <c r="S1013">
        <f t="shared" si="75"/>
        <v>2023</v>
      </c>
      <c r="T1013" t="str">
        <f t="shared" si="76"/>
        <v>Oct</v>
      </c>
      <c r="U1013">
        <f t="shared" si="77"/>
        <v>7</v>
      </c>
      <c r="V1013">
        <f t="shared" si="78"/>
        <v>12</v>
      </c>
      <c r="W1013" s="9">
        <f t="shared" si="79"/>
        <v>0.63695914497500428</v>
      </c>
    </row>
    <row r="1014" spans="1:23">
      <c r="A1014">
        <v>11013</v>
      </c>
      <c r="B1014" s="5">
        <v>45209</v>
      </c>
      <c r="C1014" s="5">
        <v>45213</v>
      </c>
      <c r="D1014" s="5">
        <v>45217</v>
      </c>
      <c r="E1014" t="s">
        <v>20</v>
      </c>
      <c r="F1014" t="s">
        <v>22</v>
      </c>
      <c r="G1014" t="s">
        <v>23</v>
      </c>
      <c r="H1014" t="s">
        <v>25</v>
      </c>
      <c r="I1014" t="s">
        <v>34</v>
      </c>
      <c r="J1014" t="s">
        <v>40</v>
      </c>
      <c r="K1014" t="s">
        <v>47</v>
      </c>
      <c r="L1014" t="s">
        <v>52</v>
      </c>
      <c r="M1014" s="7">
        <v>36789</v>
      </c>
      <c r="N1014">
        <v>0.15</v>
      </c>
      <c r="O1014" s="7">
        <v>12981</v>
      </c>
      <c r="P1014">
        <v>5</v>
      </c>
      <c r="Q1014" t="s">
        <v>55</v>
      </c>
      <c r="R1014" t="s">
        <v>62</v>
      </c>
      <c r="S1014">
        <f t="shared" si="75"/>
        <v>2023</v>
      </c>
      <c r="T1014" t="str">
        <f t="shared" si="76"/>
        <v>Oct</v>
      </c>
      <c r="U1014">
        <f t="shared" si="77"/>
        <v>4</v>
      </c>
      <c r="V1014">
        <f t="shared" si="78"/>
        <v>8</v>
      </c>
      <c r="W1014" s="9">
        <f t="shared" si="79"/>
        <v>0.35285003669575143</v>
      </c>
    </row>
    <row r="1015" spans="1:23">
      <c r="A1015">
        <v>11014</v>
      </c>
      <c r="B1015" s="5">
        <v>45210</v>
      </c>
      <c r="C1015" s="5">
        <v>45214</v>
      </c>
      <c r="D1015" s="5">
        <v>45218</v>
      </c>
      <c r="E1015" t="s">
        <v>20</v>
      </c>
      <c r="F1015" t="s">
        <v>22</v>
      </c>
      <c r="G1015" t="s">
        <v>28</v>
      </c>
      <c r="H1015" t="s">
        <v>30</v>
      </c>
      <c r="I1015" t="s">
        <v>35</v>
      </c>
      <c r="J1015" t="s">
        <v>40</v>
      </c>
      <c r="K1015" t="s">
        <v>50</v>
      </c>
      <c r="L1015" t="s">
        <v>53</v>
      </c>
      <c r="M1015" s="7">
        <v>7364</v>
      </c>
      <c r="N1015">
        <v>0.27</v>
      </c>
      <c r="O1015" s="7">
        <v>3421</v>
      </c>
      <c r="P1015">
        <v>16</v>
      </c>
      <c r="Q1015" t="s">
        <v>58</v>
      </c>
      <c r="R1015" t="s">
        <v>60</v>
      </c>
      <c r="S1015">
        <f t="shared" si="75"/>
        <v>2023</v>
      </c>
      <c r="T1015" t="str">
        <f t="shared" si="76"/>
        <v>Oct</v>
      </c>
      <c r="U1015">
        <f t="shared" si="77"/>
        <v>4</v>
      </c>
      <c r="V1015">
        <f t="shared" si="78"/>
        <v>8</v>
      </c>
      <c r="W1015" s="9">
        <f t="shared" si="79"/>
        <v>0.46455730581205867</v>
      </c>
    </row>
    <row r="1016" spans="1:23">
      <c r="A1016">
        <v>11015</v>
      </c>
      <c r="B1016" s="5">
        <v>45211</v>
      </c>
      <c r="C1016" s="5">
        <v>45216</v>
      </c>
      <c r="D1016" s="5">
        <v>45217</v>
      </c>
      <c r="E1016" t="s">
        <v>18</v>
      </c>
      <c r="F1016" t="s">
        <v>22</v>
      </c>
      <c r="G1016" t="s">
        <v>26</v>
      </c>
      <c r="H1016" t="s">
        <v>29</v>
      </c>
      <c r="I1016" t="s">
        <v>36</v>
      </c>
      <c r="J1016" t="s">
        <v>39</v>
      </c>
      <c r="K1016" t="s">
        <v>48</v>
      </c>
      <c r="L1016" t="s">
        <v>51</v>
      </c>
      <c r="M1016" s="7">
        <v>40520</v>
      </c>
      <c r="N1016">
        <v>0.03</v>
      </c>
      <c r="O1016" s="7">
        <v>19568</v>
      </c>
      <c r="P1016">
        <v>18</v>
      </c>
      <c r="Q1016" t="s">
        <v>55</v>
      </c>
      <c r="R1016" t="s">
        <v>60</v>
      </c>
      <c r="S1016">
        <f t="shared" si="75"/>
        <v>2023</v>
      </c>
      <c r="T1016" t="str">
        <f t="shared" si="76"/>
        <v>Oct</v>
      </c>
      <c r="U1016">
        <f t="shared" si="77"/>
        <v>5</v>
      </c>
      <c r="V1016">
        <f t="shared" si="78"/>
        <v>6</v>
      </c>
      <c r="W1016" s="9">
        <f t="shared" si="79"/>
        <v>0.48292201382033562</v>
      </c>
    </row>
    <row r="1017" spans="1:23">
      <c r="A1017">
        <v>11016</v>
      </c>
      <c r="B1017" s="5">
        <v>45212</v>
      </c>
      <c r="C1017" s="5">
        <v>45217</v>
      </c>
      <c r="D1017" s="5">
        <v>45218</v>
      </c>
      <c r="E1017" t="s">
        <v>18</v>
      </c>
      <c r="F1017" t="s">
        <v>22</v>
      </c>
      <c r="G1017" t="s">
        <v>25</v>
      </c>
      <c r="H1017" t="s">
        <v>32</v>
      </c>
      <c r="I1017" t="s">
        <v>36</v>
      </c>
      <c r="J1017" t="s">
        <v>37</v>
      </c>
      <c r="K1017" t="s">
        <v>46</v>
      </c>
      <c r="L1017" t="s">
        <v>52</v>
      </c>
      <c r="M1017" s="7">
        <v>9270</v>
      </c>
      <c r="N1017">
        <v>0.22</v>
      </c>
      <c r="O1017" s="7">
        <v>14120</v>
      </c>
      <c r="P1017">
        <v>11</v>
      </c>
      <c r="Q1017" t="s">
        <v>54</v>
      </c>
      <c r="R1017" t="s">
        <v>61</v>
      </c>
      <c r="S1017">
        <f t="shared" si="75"/>
        <v>2023</v>
      </c>
      <c r="T1017" t="str">
        <f t="shared" si="76"/>
        <v>Oct</v>
      </c>
      <c r="U1017">
        <f t="shared" si="77"/>
        <v>5</v>
      </c>
      <c r="V1017">
        <f t="shared" si="78"/>
        <v>6</v>
      </c>
      <c r="W1017" s="9">
        <f t="shared" si="79"/>
        <v>1.52319309600863</v>
      </c>
    </row>
    <row r="1018" spans="1:23">
      <c r="A1018">
        <v>11017</v>
      </c>
      <c r="B1018" s="5">
        <v>45213</v>
      </c>
      <c r="C1018" s="5">
        <v>45219</v>
      </c>
      <c r="D1018" s="5">
        <v>45221</v>
      </c>
      <c r="E1018" t="s">
        <v>21</v>
      </c>
      <c r="F1018" t="s">
        <v>22</v>
      </c>
      <c r="G1018" t="s">
        <v>26</v>
      </c>
      <c r="H1018" t="s">
        <v>30</v>
      </c>
      <c r="I1018" t="s">
        <v>34</v>
      </c>
      <c r="J1018" t="s">
        <v>40</v>
      </c>
      <c r="K1018" t="s">
        <v>50</v>
      </c>
      <c r="L1018" t="s">
        <v>53</v>
      </c>
      <c r="M1018" s="7">
        <v>59421</v>
      </c>
      <c r="N1018">
        <v>0.38</v>
      </c>
      <c r="O1018" s="7">
        <v>1703</v>
      </c>
      <c r="P1018">
        <v>22</v>
      </c>
      <c r="Q1018" t="s">
        <v>57</v>
      </c>
      <c r="R1018" t="s">
        <v>61</v>
      </c>
      <c r="S1018">
        <f t="shared" si="75"/>
        <v>2023</v>
      </c>
      <c r="T1018" t="str">
        <f t="shared" si="76"/>
        <v>Oct</v>
      </c>
      <c r="U1018">
        <f t="shared" si="77"/>
        <v>6</v>
      </c>
      <c r="V1018">
        <f t="shared" si="78"/>
        <v>8</v>
      </c>
      <c r="W1018" s="9">
        <f t="shared" si="79"/>
        <v>2.8659901381666415E-2</v>
      </c>
    </row>
    <row r="1019" spans="1:23">
      <c r="A1019">
        <v>11018</v>
      </c>
      <c r="B1019" s="5">
        <v>45214</v>
      </c>
      <c r="C1019" s="5">
        <v>45217</v>
      </c>
      <c r="D1019" s="5">
        <v>45222</v>
      </c>
      <c r="E1019" t="s">
        <v>18</v>
      </c>
      <c r="F1019" t="s">
        <v>22</v>
      </c>
      <c r="G1019" t="s">
        <v>26</v>
      </c>
      <c r="H1019" t="s">
        <v>32</v>
      </c>
      <c r="I1019" t="s">
        <v>35</v>
      </c>
      <c r="J1019" t="s">
        <v>41</v>
      </c>
      <c r="K1019" t="s">
        <v>44</v>
      </c>
      <c r="L1019" t="s">
        <v>53</v>
      </c>
      <c r="M1019" s="7">
        <v>19325</v>
      </c>
      <c r="N1019">
        <v>0.14000000000000001</v>
      </c>
      <c r="O1019" s="7">
        <v>5858</v>
      </c>
      <c r="P1019">
        <v>10</v>
      </c>
      <c r="Q1019" t="s">
        <v>54</v>
      </c>
      <c r="R1019" t="s">
        <v>60</v>
      </c>
      <c r="S1019">
        <f t="shared" si="75"/>
        <v>2023</v>
      </c>
      <c r="T1019" t="str">
        <f t="shared" si="76"/>
        <v>Oct</v>
      </c>
      <c r="U1019">
        <f t="shared" si="77"/>
        <v>3</v>
      </c>
      <c r="V1019">
        <f t="shared" si="78"/>
        <v>8</v>
      </c>
      <c r="W1019" s="9">
        <f t="shared" si="79"/>
        <v>0.30313065976714099</v>
      </c>
    </row>
    <row r="1020" spans="1:23">
      <c r="A1020">
        <v>11019</v>
      </c>
      <c r="B1020" s="5">
        <v>45215</v>
      </c>
      <c r="C1020" s="5">
        <v>45218</v>
      </c>
      <c r="D1020" s="5">
        <v>45223</v>
      </c>
      <c r="E1020" t="s">
        <v>21</v>
      </c>
      <c r="F1020" t="s">
        <v>22</v>
      </c>
      <c r="G1020" t="s">
        <v>25</v>
      </c>
      <c r="H1020" t="s">
        <v>33</v>
      </c>
      <c r="I1020" t="s">
        <v>34</v>
      </c>
      <c r="J1020" t="s">
        <v>37</v>
      </c>
      <c r="K1020" t="s">
        <v>46</v>
      </c>
      <c r="L1020" t="s">
        <v>53</v>
      </c>
      <c r="M1020" s="7">
        <v>48104</v>
      </c>
      <c r="N1020">
        <v>0.15</v>
      </c>
      <c r="O1020" s="7">
        <v>-846</v>
      </c>
      <c r="P1020">
        <v>18</v>
      </c>
      <c r="Q1020" t="s">
        <v>54</v>
      </c>
      <c r="R1020" t="s">
        <v>61</v>
      </c>
      <c r="S1020">
        <f t="shared" si="75"/>
        <v>2023</v>
      </c>
      <c r="T1020" t="str">
        <f t="shared" si="76"/>
        <v>Oct</v>
      </c>
      <c r="U1020">
        <f t="shared" si="77"/>
        <v>3</v>
      </c>
      <c r="V1020">
        <f t="shared" si="78"/>
        <v>8</v>
      </c>
      <c r="W1020" s="9">
        <f t="shared" si="79"/>
        <v>-1.7586895060701813E-2</v>
      </c>
    </row>
    <row r="1021" spans="1:23">
      <c r="A1021">
        <v>11020</v>
      </c>
      <c r="B1021" s="5">
        <v>45216</v>
      </c>
      <c r="C1021" s="5">
        <v>45221</v>
      </c>
      <c r="D1021" s="5">
        <v>45222</v>
      </c>
      <c r="E1021" t="s">
        <v>21</v>
      </c>
      <c r="F1021" t="s">
        <v>22</v>
      </c>
      <c r="G1021" t="s">
        <v>26</v>
      </c>
      <c r="H1021" t="s">
        <v>29</v>
      </c>
      <c r="I1021" t="s">
        <v>35</v>
      </c>
      <c r="J1021" t="s">
        <v>38</v>
      </c>
      <c r="K1021" t="s">
        <v>49</v>
      </c>
      <c r="L1021" t="s">
        <v>51</v>
      </c>
      <c r="M1021" s="7">
        <v>71407</v>
      </c>
      <c r="N1021">
        <v>0.08</v>
      </c>
      <c r="O1021" s="7">
        <v>3922</v>
      </c>
      <c r="P1021">
        <v>14</v>
      </c>
      <c r="Q1021" t="s">
        <v>57</v>
      </c>
      <c r="R1021" t="s">
        <v>61</v>
      </c>
      <c r="S1021">
        <f t="shared" si="75"/>
        <v>2023</v>
      </c>
      <c r="T1021" t="str">
        <f t="shared" si="76"/>
        <v>Oct</v>
      </c>
      <c r="U1021">
        <f t="shared" si="77"/>
        <v>5</v>
      </c>
      <c r="V1021">
        <f t="shared" si="78"/>
        <v>6</v>
      </c>
      <c r="W1021" s="9">
        <f t="shared" si="79"/>
        <v>5.4924587225342054E-2</v>
      </c>
    </row>
    <row r="1022" spans="1:23">
      <c r="A1022">
        <v>11021</v>
      </c>
      <c r="B1022" s="5">
        <v>45217</v>
      </c>
      <c r="C1022" s="5">
        <v>45223</v>
      </c>
      <c r="D1022" s="5">
        <v>45225</v>
      </c>
      <c r="E1022" t="s">
        <v>21</v>
      </c>
      <c r="F1022" t="s">
        <v>22</v>
      </c>
      <c r="G1022" t="s">
        <v>28</v>
      </c>
      <c r="H1022" t="s">
        <v>32</v>
      </c>
      <c r="I1022" t="s">
        <v>35</v>
      </c>
      <c r="J1022" t="s">
        <v>39</v>
      </c>
      <c r="K1022" t="s">
        <v>45</v>
      </c>
      <c r="L1022" t="s">
        <v>53</v>
      </c>
      <c r="M1022" s="7">
        <v>32351</v>
      </c>
      <c r="N1022">
        <v>0.15</v>
      </c>
      <c r="O1022" s="7">
        <v>11016</v>
      </c>
      <c r="P1022">
        <v>13</v>
      </c>
      <c r="Q1022" t="s">
        <v>58</v>
      </c>
      <c r="R1022" t="s">
        <v>60</v>
      </c>
      <c r="S1022">
        <f t="shared" si="75"/>
        <v>2023</v>
      </c>
      <c r="T1022" t="str">
        <f t="shared" si="76"/>
        <v>Oct</v>
      </c>
      <c r="U1022">
        <f t="shared" si="77"/>
        <v>6</v>
      </c>
      <c r="V1022">
        <f t="shared" si="78"/>
        <v>8</v>
      </c>
      <c r="W1022" s="9">
        <f t="shared" si="79"/>
        <v>0.34051497635312666</v>
      </c>
    </row>
    <row r="1023" spans="1:23">
      <c r="A1023">
        <v>11022</v>
      </c>
      <c r="B1023" s="5">
        <v>45218</v>
      </c>
      <c r="C1023" s="5">
        <v>45224</v>
      </c>
      <c r="D1023" s="5">
        <v>45225</v>
      </c>
      <c r="E1023" t="s">
        <v>19</v>
      </c>
      <c r="F1023" t="s">
        <v>22</v>
      </c>
      <c r="G1023" t="s">
        <v>27</v>
      </c>
      <c r="H1023" t="s">
        <v>31</v>
      </c>
      <c r="I1023" t="s">
        <v>34</v>
      </c>
      <c r="J1023" t="s">
        <v>38</v>
      </c>
      <c r="K1023" t="s">
        <v>48</v>
      </c>
      <c r="L1023" t="s">
        <v>53</v>
      </c>
      <c r="M1023" s="7">
        <v>25820</v>
      </c>
      <c r="N1023">
        <v>0.04</v>
      </c>
      <c r="O1023" s="7">
        <v>5001</v>
      </c>
      <c r="P1023">
        <v>10</v>
      </c>
      <c r="Q1023" t="s">
        <v>56</v>
      </c>
      <c r="R1023" t="s">
        <v>61</v>
      </c>
      <c r="S1023">
        <f t="shared" si="75"/>
        <v>2023</v>
      </c>
      <c r="T1023" t="str">
        <f t="shared" si="76"/>
        <v>Oct</v>
      </c>
      <c r="U1023">
        <f t="shared" si="77"/>
        <v>6</v>
      </c>
      <c r="V1023">
        <f t="shared" si="78"/>
        <v>7</v>
      </c>
      <c r="W1023" s="9">
        <f t="shared" si="79"/>
        <v>0.1936870642912471</v>
      </c>
    </row>
    <row r="1024" spans="1:23">
      <c r="A1024">
        <v>11023</v>
      </c>
      <c r="B1024" s="5">
        <v>45219</v>
      </c>
      <c r="C1024" s="5">
        <v>45224</v>
      </c>
      <c r="D1024" s="5">
        <v>45227</v>
      </c>
      <c r="E1024" t="s">
        <v>20</v>
      </c>
      <c r="F1024" t="s">
        <v>22</v>
      </c>
      <c r="G1024" t="s">
        <v>27</v>
      </c>
      <c r="H1024" t="s">
        <v>29</v>
      </c>
      <c r="I1024" t="s">
        <v>34</v>
      </c>
      <c r="J1024" t="s">
        <v>40</v>
      </c>
      <c r="K1024" t="s">
        <v>49</v>
      </c>
      <c r="L1024" t="s">
        <v>52</v>
      </c>
      <c r="M1024" s="7">
        <v>68483</v>
      </c>
      <c r="N1024">
        <v>0.06</v>
      </c>
      <c r="O1024" s="7">
        <v>-1621</v>
      </c>
      <c r="P1024">
        <v>16</v>
      </c>
      <c r="Q1024" t="s">
        <v>55</v>
      </c>
      <c r="R1024" t="s">
        <v>60</v>
      </c>
      <c r="S1024">
        <f t="shared" si="75"/>
        <v>2023</v>
      </c>
      <c r="T1024" t="str">
        <f t="shared" si="76"/>
        <v>Oct</v>
      </c>
      <c r="U1024">
        <f t="shared" si="77"/>
        <v>5</v>
      </c>
      <c r="V1024">
        <f t="shared" si="78"/>
        <v>8</v>
      </c>
      <c r="W1024" s="9">
        <f t="shared" si="79"/>
        <v>-2.3670107909992261E-2</v>
      </c>
    </row>
    <row r="1025" spans="1:23">
      <c r="A1025">
        <v>11024</v>
      </c>
      <c r="B1025" s="5">
        <v>45220</v>
      </c>
      <c r="C1025" s="5">
        <v>45222</v>
      </c>
      <c r="D1025" s="5">
        <v>45225</v>
      </c>
      <c r="E1025" t="s">
        <v>21</v>
      </c>
      <c r="F1025" t="s">
        <v>22</v>
      </c>
      <c r="G1025" t="s">
        <v>27</v>
      </c>
      <c r="H1025" t="s">
        <v>31</v>
      </c>
      <c r="I1025" t="s">
        <v>34</v>
      </c>
      <c r="J1025" t="s">
        <v>43</v>
      </c>
      <c r="K1025" t="s">
        <v>45</v>
      </c>
      <c r="L1025" t="s">
        <v>51</v>
      </c>
      <c r="M1025" s="7">
        <v>22761</v>
      </c>
      <c r="N1025">
        <v>0.26</v>
      </c>
      <c r="O1025" s="7">
        <v>9152</v>
      </c>
      <c r="P1025">
        <v>16</v>
      </c>
      <c r="Q1025" t="s">
        <v>58</v>
      </c>
      <c r="R1025" t="s">
        <v>60</v>
      </c>
      <c r="S1025">
        <f t="shared" si="75"/>
        <v>2023</v>
      </c>
      <c r="T1025" t="str">
        <f t="shared" si="76"/>
        <v>Oct</v>
      </c>
      <c r="U1025">
        <f t="shared" si="77"/>
        <v>2</v>
      </c>
      <c r="V1025">
        <f t="shared" si="78"/>
        <v>5</v>
      </c>
      <c r="W1025" s="9">
        <f t="shared" si="79"/>
        <v>0.40209129651597031</v>
      </c>
    </row>
    <row r="1026" spans="1:23">
      <c r="A1026">
        <v>11025</v>
      </c>
      <c r="B1026" s="5">
        <v>45221</v>
      </c>
      <c r="C1026" s="5">
        <v>45225</v>
      </c>
      <c r="D1026" s="5">
        <v>45230</v>
      </c>
      <c r="E1026" t="s">
        <v>19</v>
      </c>
      <c r="F1026" t="s">
        <v>22</v>
      </c>
      <c r="G1026" t="s">
        <v>24</v>
      </c>
      <c r="H1026" t="s">
        <v>30</v>
      </c>
      <c r="I1026" t="s">
        <v>35</v>
      </c>
      <c r="J1026" t="s">
        <v>37</v>
      </c>
      <c r="K1026" t="s">
        <v>44</v>
      </c>
      <c r="L1026" t="s">
        <v>51</v>
      </c>
      <c r="M1026" s="7">
        <v>67339</v>
      </c>
      <c r="N1026">
        <v>0.16</v>
      </c>
      <c r="O1026" s="7">
        <v>6937</v>
      </c>
      <c r="P1026">
        <v>19</v>
      </c>
      <c r="Q1026" t="s">
        <v>57</v>
      </c>
      <c r="R1026" t="s">
        <v>59</v>
      </c>
      <c r="S1026">
        <f t="shared" si="75"/>
        <v>2023</v>
      </c>
      <c r="T1026" t="str">
        <f t="shared" si="76"/>
        <v>Oct</v>
      </c>
      <c r="U1026">
        <f t="shared" si="77"/>
        <v>4</v>
      </c>
      <c r="V1026">
        <f t="shared" si="78"/>
        <v>9</v>
      </c>
      <c r="W1026" s="9">
        <f t="shared" si="79"/>
        <v>0.10301608280491245</v>
      </c>
    </row>
    <row r="1027" spans="1:23">
      <c r="A1027">
        <v>11026</v>
      </c>
      <c r="B1027" s="5">
        <v>45222</v>
      </c>
      <c r="C1027" s="5">
        <v>45228</v>
      </c>
      <c r="D1027" s="5">
        <v>45230</v>
      </c>
      <c r="E1027" t="s">
        <v>19</v>
      </c>
      <c r="F1027" t="s">
        <v>22</v>
      </c>
      <c r="G1027" t="s">
        <v>24</v>
      </c>
      <c r="H1027" t="s">
        <v>32</v>
      </c>
      <c r="I1027" t="s">
        <v>35</v>
      </c>
      <c r="J1027" t="s">
        <v>38</v>
      </c>
      <c r="K1027" t="s">
        <v>46</v>
      </c>
      <c r="L1027" t="s">
        <v>52</v>
      </c>
      <c r="M1027" s="7">
        <v>13730</v>
      </c>
      <c r="N1027">
        <v>0.24</v>
      </c>
      <c r="O1027" s="7">
        <v>19555</v>
      </c>
      <c r="P1027">
        <v>22</v>
      </c>
      <c r="Q1027" t="s">
        <v>54</v>
      </c>
      <c r="R1027" t="s">
        <v>62</v>
      </c>
      <c r="S1027">
        <f t="shared" ref="S1027:S1090" si="80">YEAR(B1027)</f>
        <v>2023</v>
      </c>
      <c r="T1027" t="str">
        <f t="shared" ref="T1027:T1090" si="81">TEXT(B1027,"mmm")</f>
        <v>Oct</v>
      </c>
      <c r="U1027">
        <f t="shared" ref="U1027:U1090" si="82">C1027-B1027</f>
        <v>6</v>
      </c>
      <c r="V1027">
        <f t="shared" ref="V1027:V1090" si="83">D1027-B1027</f>
        <v>8</v>
      </c>
      <c r="W1027" s="9">
        <f t="shared" ref="W1027:W1090" si="84">IFERROR(O1027/M1027,0)</f>
        <v>1.4242534595775673</v>
      </c>
    </row>
    <row r="1028" spans="1:23">
      <c r="A1028">
        <v>11027</v>
      </c>
      <c r="B1028" s="5">
        <v>45223</v>
      </c>
      <c r="C1028" s="5">
        <v>45225</v>
      </c>
      <c r="D1028" s="5">
        <v>45230</v>
      </c>
      <c r="E1028" t="s">
        <v>20</v>
      </c>
      <c r="F1028" t="s">
        <v>22</v>
      </c>
      <c r="G1028" t="s">
        <v>27</v>
      </c>
      <c r="H1028" t="s">
        <v>25</v>
      </c>
      <c r="I1028" t="s">
        <v>35</v>
      </c>
      <c r="J1028" t="s">
        <v>37</v>
      </c>
      <c r="K1028" t="s">
        <v>44</v>
      </c>
      <c r="L1028" t="s">
        <v>51</v>
      </c>
      <c r="M1028" s="7">
        <v>19849</v>
      </c>
      <c r="N1028">
        <v>0.38</v>
      </c>
      <c r="O1028" s="7">
        <v>7408</v>
      </c>
      <c r="P1028">
        <v>12</v>
      </c>
      <c r="Q1028" t="s">
        <v>54</v>
      </c>
      <c r="R1028" t="s">
        <v>59</v>
      </c>
      <c r="S1028">
        <f t="shared" si="80"/>
        <v>2023</v>
      </c>
      <c r="T1028" t="str">
        <f t="shared" si="81"/>
        <v>Oct</v>
      </c>
      <c r="U1028">
        <f t="shared" si="82"/>
        <v>2</v>
      </c>
      <c r="V1028">
        <f t="shared" si="83"/>
        <v>7</v>
      </c>
      <c r="W1028" s="9">
        <f t="shared" si="84"/>
        <v>0.37321779434732227</v>
      </c>
    </row>
    <row r="1029" spans="1:23">
      <c r="A1029">
        <v>11028</v>
      </c>
      <c r="B1029" s="5">
        <v>45224</v>
      </c>
      <c r="C1029" s="5">
        <v>45226</v>
      </c>
      <c r="D1029" s="5">
        <v>45230</v>
      </c>
      <c r="E1029" t="s">
        <v>20</v>
      </c>
      <c r="F1029" t="s">
        <v>22</v>
      </c>
      <c r="G1029" t="s">
        <v>28</v>
      </c>
      <c r="H1029" t="s">
        <v>25</v>
      </c>
      <c r="I1029" t="s">
        <v>34</v>
      </c>
      <c r="J1029" t="s">
        <v>40</v>
      </c>
      <c r="K1029" t="s">
        <v>45</v>
      </c>
      <c r="L1029" t="s">
        <v>51</v>
      </c>
      <c r="M1029" s="7">
        <v>57760</v>
      </c>
      <c r="N1029">
        <v>0.18</v>
      </c>
      <c r="O1029" s="7">
        <v>15997</v>
      </c>
      <c r="P1029">
        <v>7</v>
      </c>
      <c r="Q1029" t="s">
        <v>57</v>
      </c>
      <c r="R1029" t="s">
        <v>59</v>
      </c>
      <c r="S1029">
        <f t="shared" si="80"/>
        <v>2023</v>
      </c>
      <c r="T1029" t="str">
        <f t="shared" si="81"/>
        <v>Oct</v>
      </c>
      <c r="U1029">
        <f t="shared" si="82"/>
        <v>2</v>
      </c>
      <c r="V1029">
        <f t="shared" si="83"/>
        <v>6</v>
      </c>
      <c r="W1029" s="9">
        <f t="shared" si="84"/>
        <v>0.27695637119113575</v>
      </c>
    </row>
    <row r="1030" spans="1:23">
      <c r="A1030">
        <v>11029</v>
      </c>
      <c r="B1030" s="5">
        <v>45225</v>
      </c>
      <c r="C1030" s="5">
        <v>45229</v>
      </c>
      <c r="D1030" s="5">
        <v>45232</v>
      </c>
      <c r="E1030" t="s">
        <v>18</v>
      </c>
      <c r="F1030" t="s">
        <v>22</v>
      </c>
      <c r="G1030" t="s">
        <v>25</v>
      </c>
      <c r="H1030" t="s">
        <v>32</v>
      </c>
      <c r="I1030" t="s">
        <v>34</v>
      </c>
      <c r="J1030" t="s">
        <v>39</v>
      </c>
      <c r="K1030" t="s">
        <v>50</v>
      </c>
      <c r="L1030" t="s">
        <v>52</v>
      </c>
      <c r="M1030" s="7">
        <v>29506</v>
      </c>
      <c r="N1030">
        <v>0.37</v>
      </c>
      <c r="O1030" s="7">
        <v>-1696</v>
      </c>
      <c r="P1030">
        <v>2</v>
      </c>
      <c r="Q1030" t="s">
        <v>57</v>
      </c>
      <c r="R1030" t="s">
        <v>60</v>
      </c>
      <c r="S1030">
        <f t="shared" si="80"/>
        <v>2023</v>
      </c>
      <c r="T1030" t="str">
        <f t="shared" si="81"/>
        <v>Oct</v>
      </c>
      <c r="U1030">
        <f t="shared" si="82"/>
        <v>4</v>
      </c>
      <c r="V1030">
        <f t="shared" si="83"/>
        <v>7</v>
      </c>
      <c r="W1030" s="9">
        <f t="shared" si="84"/>
        <v>-5.7479834609909852E-2</v>
      </c>
    </row>
    <row r="1031" spans="1:23">
      <c r="A1031">
        <v>11030</v>
      </c>
      <c r="B1031" s="5">
        <v>45226</v>
      </c>
      <c r="C1031" s="5">
        <v>45230</v>
      </c>
      <c r="D1031" s="5">
        <v>45235</v>
      </c>
      <c r="E1031" t="s">
        <v>19</v>
      </c>
      <c r="F1031" t="s">
        <v>22</v>
      </c>
      <c r="G1031" t="s">
        <v>26</v>
      </c>
      <c r="H1031" t="s">
        <v>25</v>
      </c>
      <c r="I1031" t="s">
        <v>35</v>
      </c>
      <c r="J1031" t="s">
        <v>43</v>
      </c>
      <c r="K1031" t="s">
        <v>50</v>
      </c>
      <c r="L1031" t="s">
        <v>51</v>
      </c>
      <c r="M1031" s="7">
        <v>14624</v>
      </c>
      <c r="N1031">
        <v>0.15</v>
      </c>
      <c r="O1031" s="7">
        <v>13062</v>
      </c>
      <c r="P1031">
        <v>12</v>
      </c>
      <c r="Q1031" t="s">
        <v>57</v>
      </c>
      <c r="R1031" t="s">
        <v>61</v>
      </c>
      <c r="S1031">
        <f t="shared" si="80"/>
        <v>2023</v>
      </c>
      <c r="T1031" t="str">
        <f t="shared" si="81"/>
        <v>Oct</v>
      </c>
      <c r="U1031">
        <f t="shared" si="82"/>
        <v>4</v>
      </c>
      <c r="V1031">
        <f t="shared" si="83"/>
        <v>9</v>
      </c>
      <c r="W1031" s="9">
        <f t="shared" si="84"/>
        <v>0.89318927789934355</v>
      </c>
    </row>
    <row r="1032" spans="1:23">
      <c r="A1032">
        <v>11031</v>
      </c>
      <c r="B1032" s="5">
        <v>45227</v>
      </c>
      <c r="C1032" s="5">
        <v>45229</v>
      </c>
      <c r="D1032" s="5">
        <v>45232</v>
      </c>
      <c r="E1032" t="s">
        <v>19</v>
      </c>
      <c r="F1032" t="s">
        <v>22</v>
      </c>
      <c r="G1032" t="s">
        <v>28</v>
      </c>
      <c r="H1032" t="s">
        <v>33</v>
      </c>
      <c r="I1032" t="s">
        <v>34</v>
      </c>
      <c r="J1032" t="s">
        <v>42</v>
      </c>
      <c r="K1032" t="s">
        <v>46</v>
      </c>
      <c r="L1032" t="s">
        <v>52</v>
      </c>
      <c r="M1032" s="7">
        <v>32143</v>
      </c>
      <c r="N1032">
        <v>0.24</v>
      </c>
      <c r="O1032" s="7">
        <v>12228</v>
      </c>
      <c r="P1032">
        <v>16</v>
      </c>
      <c r="Q1032" t="s">
        <v>58</v>
      </c>
      <c r="R1032" t="s">
        <v>61</v>
      </c>
      <c r="S1032">
        <f t="shared" si="80"/>
        <v>2023</v>
      </c>
      <c r="T1032" t="str">
        <f t="shared" si="81"/>
        <v>Oct</v>
      </c>
      <c r="U1032">
        <f t="shared" si="82"/>
        <v>2</v>
      </c>
      <c r="V1032">
        <f t="shared" si="83"/>
        <v>5</v>
      </c>
      <c r="W1032" s="9">
        <f t="shared" si="84"/>
        <v>0.38042497588899604</v>
      </c>
    </row>
    <row r="1033" spans="1:23">
      <c r="A1033">
        <v>11032</v>
      </c>
      <c r="B1033" s="5">
        <v>45228</v>
      </c>
      <c r="C1033" s="5">
        <v>45235</v>
      </c>
      <c r="D1033" s="5">
        <v>45237</v>
      </c>
      <c r="E1033" t="s">
        <v>19</v>
      </c>
      <c r="F1033" t="s">
        <v>22</v>
      </c>
      <c r="G1033" t="s">
        <v>28</v>
      </c>
      <c r="H1033" t="s">
        <v>25</v>
      </c>
      <c r="I1033" t="s">
        <v>34</v>
      </c>
      <c r="J1033" t="s">
        <v>37</v>
      </c>
      <c r="K1033" t="s">
        <v>50</v>
      </c>
      <c r="L1033" t="s">
        <v>53</v>
      </c>
      <c r="M1033" s="7">
        <v>57501</v>
      </c>
      <c r="N1033">
        <v>0.1</v>
      </c>
      <c r="O1033" s="7">
        <v>-1633</v>
      </c>
      <c r="P1033">
        <v>12</v>
      </c>
      <c r="Q1033" t="s">
        <v>57</v>
      </c>
      <c r="R1033" t="s">
        <v>59</v>
      </c>
      <c r="S1033">
        <f t="shared" si="80"/>
        <v>2023</v>
      </c>
      <c r="T1033" t="str">
        <f t="shared" si="81"/>
        <v>Oct</v>
      </c>
      <c r="U1033">
        <f t="shared" si="82"/>
        <v>7</v>
      </c>
      <c r="V1033">
        <f t="shared" si="83"/>
        <v>9</v>
      </c>
      <c r="W1033" s="9">
        <f t="shared" si="84"/>
        <v>-2.8399506095546163E-2</v>
      </c>
    </row>
    <row r="1034" spans="1:23">
      <c r="A1034">
        <v>11033</v>
      </c>
      <c r="B1034" s="5">
        <v>45229</v>
      </c>
      <c r="C1034" s="5">
        <v>45235</v>
      </c>
      <c r="D1034" s="5">
        <v>45238</v>
      </c>
      <c r="E1034" t="s">
        <v>21</v>
      </c>
      <c r="F1034" t="s">
        <v>22</v>
      </c>
      <c r="G1034" t="s">
        <v>25</v>
      </c>
      <c r="H1034" t="s">
        <v>31</v>
      </c>
      <c r="I1034" t="s">
        <v>34</v>
      </c>
      <c r="J1034" t="s">
        <v>39</v>
      </c>
      <c r="K1034" t="s">
        <v>45</v>
      </c>
      <c r="L1034" t="s">
        <v>53</v>
      </c>
      <c r="M1034" s="7">
        <v>61836</v>
      </c>
      <c r="N1034">
        <v>0.23</v>
      </c>
      <c r="O1034" s="7">
        <v>-1571</v>
      </c>
      <c r="P1034">
        <v>22</v>
      </c>
      <c r="Q1034" t="s">
        <v>58</v>
      </c>
      <c r="R1034" t="s">
        <v>62</v>
      </c>
      <c r="S1034">
        <f t="shared" si="80"/>
        <v>2023</v>
      </c>
      <c r="T1034" t="str">
        <f t="shared" si="81"/>
        <v>Oct</v>
      </c>
      <c r="U1034">
        <f t="shared" si="82"/>
        <v>6</v>
      </c>
      <c r="V1034">
        <f t="shared" si="83"/>
        <v>9</v>
      </c>
      <c r="W1034" s="9">
        <f t="shared" si="84"/>
        <v>-2.5405912413480822E-2</v>
      </c>
    </row>
    <row r="1035" spans="1:23">
      <c r="A1035">
        <v>11034</v>
      </c>
      <c r="B1035" s="5">
        <v>45230</v>
      </c>
      <c r="C1035" s="5">
        <v>45232</v>
      </c>
      <c r="D1035" s="5">
        <v>45236</v>
      </c>
      <c r="E1035" t="s">
        <v>21</v>
      </c>
      <c r="F1035" t="s">
        <v>22</v>
      </c>
      <c r="G1035" t="s">
        <v>25</v>
      </c>
      <c r="H1035" t="s">
        <v>31</v>
      </c>
      <c r="I1035" t="s">
        <v>35</v>
      </c>
      <c r="J1035" t="s">
        <v>38</v>
      </c>
      <c r="K1035" t="s">
        <v>47</v>
      </c>
      <c r="L1035" t="s">
        <v>52</v>
      </c>
      <c r="M1035" s="7">
        <v>45866</v>
      </c>
      <c r="N1035">
        <v>0.17</v>
      </c>
      <c r="O1035" s="7">
        <v>-968</v>
      </c>
      <c r="P1035">
        <v>23</v>
      </c>
      <c r="Q1035" t="s">
        <v>58</v>
      </c>
      <c r="R1035" t="s">
        <v>62</v>
      </c>
      <c r="S1035">
        <f t="shared" si="80"/>
        <v>2023</v>
      </c>
      <c r="T1035" t="str">
        <f t="shared" si="81"/>
        <v>Oct</v>
      </c>
      <c r="U1035">
        <f t="shared" si="82"/>
        <v>2</v>
      </c>
      <c r="V1035">
        <f t="shared" si="83"/>
        <v>6</v>
      </c>
      <c r="W1035" s="9">
        <f t="shared" si="84"/>
        <v>-2.1104957920900013E-2</v>
      </c>
    </row>
    <row r="1036" spans="1:23">
      <c r="A1036">
        <v>11035</v>
      </c>
      <c r="B1036" s="5">
        <v>45231</v>
      </c>
      <c r="C1036" s="5">
        <v>45233</v>
      </c>
      <c r="D1036" s="5">
        <v>45235</v>
      </c>
      <c r="E1036" t="s">
        <v>19</v>
      </c>
      <c r="F1036" t="s">
        <v>22</v>
      </c>
      <c r="G1036" t="s">
        <v>24</v>
      </c>
      <c r="H1036" t="s">
        <v>25</v>
      </c>
      <c r="I1036" t="s">
        <v>35</v>
      </c>
      <c r="J1036" t="s">
        <v>39</v>
      </c>
      <c r="K1036" t="s">
        <v>48</v>
      </c>
      <c r="L1036" t="s">
        <v>52</v>
      </c>
      <c r="M1036" s="7">
        <v>5418</v>
      </c>
      <c r="N1036">
        <v>0.33</v>
      </c>
      <c r="O1036" s="7">
        <v>6392</v>
      </c>
      <c r="P1036">
        <v>20</v>
      </c>
      <c r="Q1036" t="s">
        <v>57</v>
      </c>
      <c r="R1036" t="s">
        <v>59</v>
      </c>
      <c r="S1036">
        <f t="shared" si="80"/>
        <v>2023</v>
      </c>
      <c r="T1036" t="str">
        <f t="shared" si="81"/>
        <v>Nov</v>
      </c>
      <c r="U1036">
        <f t="shared" si="82"/>
        <v>2</v>
      </c>
      <c r="V1036">
        <f t="shared" si="83"/>
        <v>4</v>
      </c>
      <c r="W1036" s="9">
        <f t="shared" si="84"/>
        <v>1.1797711332595053</v>
      </c>
    </row>
    <row r="1037" spans="1:23">
      <c r="A1037">
        <v>11036</v>
      </c>
      <c r="B1037" s="5">
        <v>45232</v>
      </c>
      <c r="C1037" s="5">
        <v>45239</v>
      </c>
      <c r="D1037" s="5">
        <v>45241</v>
      </c>
      <c r="E1037" t="s">
        <v>21</v>
      </c>
      <c r="F1037" t="s">
        <v>22</v>
      </c>
      <c r="G1037" t="s">
        <v>27</v>
      </c>
      <c r="H1037" t="s">
        <v>31</v>
      </c>
      <c r="I1037" t="s">
        <v>34</v>
      </c>
      <c r="J1037" t="s">
        <v>39</v>
      </c>
      <c r="K1037" t="s">
        <v>49</v>
      </c>
      <c r="L1037" t="s">
        <v>53</v>
      </c>
      <c r="M1037" s="7">
        <v>53642</v>
      </c>
      <c r="N1037">
        <v>0.02</v>
      </c>
      <c r="O1037" s="7">
        <v>11250</v>
      </c>
      <c r="P1037">
        <v>8</v>
      </c>
      <c r="Q1037" t="s">
        <v>56</v>
      </c>
      <c r="R1037" t="s">
        <v>61</v>
      </c>
      <c r="S1037">
        <f t="shared" si="80"/>
        <v>2023</v>
      </c>
      <c r="T1037" t="str">
        <f t="shared" si="81"/>
        <v>Nov</v>
      </c>
      <c r="U1037">
        <f t="shared" si="82"/>
        <v>7</v>
      </c>
      <c r="V1037">
        <f t="shared" si="83"/>
        <v>9</v>
      </c>
      <c r="W1037" s="9">
        <f t="shared" si="84"/>
        <v>0.20972372394765296</v>
      </c>
    </row>
    <row r="1038" spans="1:23">
      <c r="A1038">
        <v>11037</v>
      </c>
      <c r="B1038" s="5">
        <v>45233</v>
      </c>
      <c r="C1038" s="5">
        <v>45237</v>
      </c>
      <c r="D1038" s="5">
        <v>45240</v>
      </c>
      <c r="E1038" t="s">
        <v>20</v>
      </c>
      <c r="F1038" t="s">
        <v>22</v>
      </c>
      <c r="G1038" t="s">
        <v>24</v>
      </c>
      <c r="H1038" t="s">
        <v>25</v>
      </c>
      <c r="I1038" t="s">
        <v>34</v>
      </c>
      <c r="J1038" t="s">
        <v>42</v>
      </c>
      <c r="K1038" t="s">
        <v>46</v>
      </c>
      <c r="L1038" t="s">
        <v>51</v>
      </c>
      <c r="M1038" s="7">
        <v>52511</v>
      </c>
      <c r="N1038">
        <v>0.18</v>
      </c>
      <c r="O1038" s="7">
        <v>7180</v>
      </c>
      <c r="P1038">
        <v>24</v>
      </c>
      <c r="Q1038" t="s">
        <v>54</v>
      </c>
      <c r="R1038" t="s">
        <v>62</v>
      </c>
      <c r="S1038">
        <f t="shared" si="80"/>
        <v>2023</v>
      </c>
      <c r="T1038" t="str">
        <f t="shared" si="81"/>
        <v>Nov</v>
      </c>
      <c r="U1038">
        <f t="shared" si="82"/>
        <v>4</v>
      </c>
      <c r="V1038">
        <f t="shared" si="83"/>
        <v>7</v>
      </c>
      <c r="W1038" s="9">
        <f t="shared" si="84"/>
        <v>0.13673325588924226</v>
      </c>
    </row>
    <row r="1039" spans="1:23">
      <c r="A1039">
        <v>11038</v>
      </c>
      <c r="B1039" s="5">
        <v>45234</v>
      </c>
      <c r="C1039" s="5">
        <v>45237</v>
      </c>
      <c r="D1039" s="5">
        <v>45238</v>
      </c>
      <c r="E1039" t="s">
        <v>18</v>
      </c>
      <c r="F1039" t="s">
        <v>22</v>
      </c>
      <c r="G1039" t="s">
        <v>28</v>
      </c>
      <c r="H1039" t="s">
        <v>33</v>
      </c>
      <c r="I1039" t="s">
        <v>34</v>
      </c>
      <c r="J1039" t="s">
        <v>38</v>
      </c>
      <c r="K1039" t="s">
        <v>45</v>
      </c>
      <c r="L1039" t="s">
        <v>51</v>
      </c>
      <c r="M1039" s="7">
        <v>18046</v>
      </c>
      <c r="N1039">
        <v>0.14000000000000001</v>
      </c>
      <c r="O1039" s="7">
        <v>10016</v>
      </c>
      <c r="P1039">
        <v>8</v>
      </c>
      <c r="Q1039" t="s">
        <v>54</v>
      </c>
      <c r="R1039" t="s">
        <v>59</v>
      </c>
      <c r="S1039">
        <f t="shared" si="80"/>
        <v>2023</v>
      </c>
      <c r="T1039" t="str">
        <f t="shared" si="81"/>
        <v>Nov</v>
      </c>
      <c r="U1039">
        <f t="shared" si="82"/>
        <v>3</v>
      </c>
      <c r="V1039">
        <f t="shared" si="83"/>
        <v>4</v>
      </c>
      <c r="W1039" s="9">
        <f t="shared" si="84"/>
        <v>0.55502604455280946</v>
      </c>
    </row>
    <row r="1040" spans="1:23">
      <c r="A1040">
        <v>11039</v>
      </c>
      <c r="B1040" s="5">
        <v>45235</v>
      </c>
      <c r="C1040" s="5">
        <v>45237</v>
      </c>
      <c r="D1040" s="5">
        <v>45240</v>
      </c>
      <c r="E1040" t="s">
        <v>18</v>
      </c>
      <c r="F1040" t="s">
        <v>22</v>
      </c>
      <c r="G1040" t="s">
        <v>24</v>
      </c>
      <c r="H1040" t="s">
        <v>33</v>
      </c>
      <c r="I1040" t="s">
        <v>36</v>
      </c>
      <c r="J1040" t="s">
        <v>38</v>
      </c>
      <c r="K1040" t="s">
        <v>44</v>
      </c>
      <c r="L1040" t="s">
        <v>51</v>
      </c>
      <c r="M1040" s="7">
        <v>70287</v>
      </c>
      <c r="N1040">
        <v>0.28000000000000003</v>
      </c>
      <c r="O1040" s="7">
        <v>13786</v>
      </c>
      <c r="P1040">
        <v>14</v>
      </c>
      <c r="Q1040" t="s">
        <v>58</v>
      </c>
      <c r="R1040" t="s">
        <v>60</v>
      </c>
      <c r="S1040">
        <f t="shared" si="80"/>
        <v>2023</v>
      </c>
      <c r="T1040" t="str">
        <f t="shared" si="81"/>
        <v>Nov</v>
      </c>
      <c r="U1040">
        <f t="shared" si="82"/>
        <v>2</v>
      </c>
      <c r="V1040">
        <f t="shared" si="83"/>
        <v>5</v>
      </c>
      <c r="W1040" s="9">
        <f t="shared" si="84"/>
        <v>0.19613868851992544</v>
      </c>
    </row>
    <row r="1041" spans="1:23">
      <c r="A1041">
        <v>11040</v>
      </c>
      <c r="B1041" s="5">
        <v>45236</v>
      </c>
      <c r="C1041" s="5">
        <v>45242</v>
      </c>
      <c r="D1041" s="5">
        <v>45246</v>
      </c>
      <c r="E1041" t="s">
        <v>19</v>
      </c>
      <c r="F1041" t="s">
        <v>22</v>
      </c>
      <c r="G1041" t="s">
        <v>24</v>
      </c>
      <c r="H1041" t="s">
        <v>31</v>
      </c>
      <c r="I1041" t="s">
        <v>34</v>
      </c>
      <c r="J1041" t="s">
        <v>43</v>
      </c>
      <c r="K1041" t="s">
        <v>48</v>
      </c>
      <c r="L1041" t="s">
        <v>52</v>
      </c>
      <c r="M1041" s="7">
        <v>35922</v>
      </c>
      <c r="N1041">
        <v>0.05</v>
      </c>
      <c r="O1041" s="7">
        <v>4272</v>
      </c>
      <c r="P1041">
        <v>16</v>
      </c>
      <c r="Q1041" t="s">
        <v>58</v>
      </c>
      <c r="R1041" t="s">
        <v>60</v>
      </c>
      <c r="S1041">
        <f t="shared" si="80"/>
        <v>2023</v>
      </c>
      <c r="T1041" t="str">
        <f t="shared" si="81"/>
        <v>Nov</v>
      </c>
      <c r="U1041">
        <f t="shared" si="82"/>
        <v>6</v>
      </c>
      <c r="V1041">
        <f t="shared" si="83"/>
        <v>10</v>
      </c>
      <c r="W1041" s="9">
        <f t="shared" si="84"/>
        <v>0.1189243360614665</v>
      </c>
    </row>
    <row r="1042" spans="1:23">
      <c r="A1042">
        <v>11041</v>
      </c>
      <c r="B1042" s="5">
        <v>45237</v>
      </c>
      <c r="C1042" s="5">
        <v>45241</v>
      </c>
      <c r="D1042" s="5">
        <v>45243</v>
      </c>
      <c r="E1042" t="s">
        <v>19</v>
      </c>
      <c r="F1042" t="s">
        <v>22</v>
      </c>
      <c r="G1042" t="s">
        <v>25</v>
      </c>
      <c r="H1042" t="s">
        <v>25</v>
      </c>
      <c r="I1042" t="s">
        <v>35</v>
      </c>
      <c r="J1042" t="s">
        <v>38</v>
      </c>
      <c r="K1042" t="s">
        <v>44</v>
      </c>
      <c r="L1042" t="s">
        <v>53</v>
      </c>
      <c r="M1042" s="7">
        <v>35582</v>
      </c>
      <c r="N1042">
        <v>0.08</v>
      </c>
      <c r="O1042" s="7">
        <v>10459</v>
      </c>
      <c r="P1042">
        <v>19</v>
      </c>
      <c r="Q1042" t="s">
        <v>56</v>
      </c>
      <c r="R1042" t="s">
        <v>61</v>
      </c>
      <c r="S1042">
        <f t="shared" si="80"/>
        <v>2023</v>
      </c>
      <c r="T1042" t="str">
        <f t="shared" si="81"/>
        <v>Nov</v>
      </c>
      <c r="U1042">
        <f t="shared" si="82"/>
        <v>4</v>
      </c>
      <c r="V1042">
        <f t="shared" si="83"/>
        <v>6</v>
      </c>
      <c r="W1042" s="9">
        <f t="shared" si="84"/>
        <v>0.29394075656230678</v>
      </c>
    </row>
    <row r="1043" spans="1:23">
      <c r="A1043">
        <v>11042</v>
      </c>
      <c r="B1043" s="5">
        <v>45238</v>
      </c>
      <c r="C1043" s="5">
        <v>45242</v>
      </c>
      <c r="D1043" s="5">
        <v>45243</v>
      </c>
      <c r="E1043" t="s">
        <v>20</v>
      </c>
      <c r="F1043" t="s">
        <v>22</v>
      </c>
      <c r="G1043" t="s">
        <v>24</v>
      </c>
      <c r="H1043" t="s">
        <v>30</v>
      </c>
      <c r="I1043" t="s">
        <v>35</v>
      </c>
      <c r="J1043" t="s">
        <v>43</v>
      </c>
      <c r="K1043" t="s">
        <v>48</v>
      </c>
      <c r="L1043" t="s">
        <v>53</v>
      </c>
      <c r="M1043" s="7">
        <v>22978</v>
      </c>
      <c r="N1043">
        <v>0.18</v>
      </c>
      <c r="O1043" s="7">
        <v>2236</v>
      </c>
      <c r="P1043">
        <v>21</v>
      </c>
      <c r="Q1043" t="s">
        <v>57</v>
      </c>
      <c r="R1043" t="s">
        <v>61</v>
      </c>
      <c r="S1043">
        <f t="shared" si="80"/>
        <v>2023</v>
      </c>
      <c r="T1043" t="str">
        <f t="shared" si="81"/>
        <v>Nov</v>
      </c>
      <c r="U1043">
        <f t="shared" si="82"/>
        <v>4</v>
      </c>
      <c r="V1043">
        <f t="shared" si="83"/>
        <v>5</v>
      </c>
      <c r="W1043" s="9">
        <f t="shared" si="84"/>
        <v>9.7310470885194539E-2</v>
      </c>
    </row>
    <row r="1044" spans="1:23">
      <c r="A1044">
        <v>11043</v>
      </c>
      <c r="B1044" s="5">
        <v>45239</v>
      </c>
      <c r="C1044" s="5">
        <v>45244</v>
      </c>
      <c r="D1044" s="5">
        <v>45246</v>
      </c>
      <c r="E1044" t="s">
        <v>21</v>
      </c>
      <c r="F1044" t="s">
        <v>22</v>
      </c>
      <c r="G1044" t="s">
        <v>27</v>
      </c>
      <c r="H1044" t="s">
        <v>30</v>
      </c>
      <c r="I1044" t="s">
        <v>36</v>
      </c>
      <c r="J1044" t="s">
        <v>40</v>
      </c>
      <c r="K1044" t="s">
        <v>47</v>
      </c>
      <c r="L1044" t="s">
        <v>53</v>
      </c>
      <c r="M1044" s="7">
        <v>4550</v>
      </c>
      <c r="N1044">
        <v>0.34</v>
      </c>
      <c r="O1044" s="7">
        <v>2915</v>
      </c>
      <c r="P1044">
        <v>16</v>
      </c>
      <c r="Q1044" t="s">
        <v>57</v>
      </c>
      <c r="R1044" t="s">
        <v>59</v>
      </c>
      <c r="S1044">
        <f t="shared" si="80"/>
        <v>2023</v>
      </c>
      <c r="T1044" t="str">
        <f t="shared" si="81"/>
        <v>Nov</v>
      </c>
      <c r="U1044">
        <f t="shared" si="82"/>
        <v>5</v>
      </c>
      <c r="V1044">
        <f t="shared" si="83"/>
        <v>7</v>
      </c>
      <c r="W1044" s="9">
        <f t="shared" si="84"/>
        <v>0.64065934065934071</v>
      </c>
    </row>
    <row r="1045" spans="1:23">
      <c r="A1045">
        <v>11044</v>
      </c>
      <c r="B1045" s="5">
        <v>45240</v>
      </c>
      <c r="C1045" s="5">
        <v>45242</v>
      </c>
      <c r="D1045" s="5">
        <v>45243</v>
      </c>
      <c r="E1045" t="s">
        <v>21</v>
      </c>
      <c r="F1045" t="s">
        <v>22</v>
      </c>
      <c r="G1045" t="s">
        <v>23</v>
      </c>
      <c r="H1045" t="s">
        <v>31</v>
      </c>
      <c r="I1045" t="s">
        <v>35</v>
      </c>
      <c r="J1045" t="s">
        <v>43</v>
      </c>
      <c r="K1045" t="s">
        <v>47</v>
      </c>
      <c r="L1045" t="s">
        <v>51</v>
      </c>
      <c r="M1045" s="7">
        <v>68323</v>
      </c>
      <c r="N1045">
        <v>0.39</v>
      </c>
      <c r="O1045" s="7">
        <v>10623</v>
      </c>
      <c r="P1045">
        <v>9</v>
      </c>
      <c r="Q1045" t="s">
        <v>58</v>
      </c>
      <c r="R1045" t="s">
        <v>61</v>
      </c>
      <c r="S1045">
        <f t="shared" si="80"/>
        <v>2023</v>
      </c>
      <c r="T1045" t="str">
        <f t="shared" si="81"/>
        <v>Nov</v>
      </c>
      <c r="U1045">
        <f t="shared" si="82"/>
        <v>2</v>
      </c>
      <c r="V1045">
        <f t="shared" si="83"/>
        <v>3</v>
      </c>
      <c r="W1045" s="9">
        <f t="shared" si="84"/>
        <v>0.15548204850489586</v>
      </c>
    </row>
    <row r="1046" spans="1:23">
      <c r="A1046">
        <v>11045</v>
      </c>
      <c r="B1046" s="5">
        <v>45241</v>
      </c>
      <c r="C1046" s="5">
        <v>45248</v>
      </c>
      <c r="D1046" s="5">
        <v>45249</v>
      </c>
      <c r="E1046" t="s">
        <v>19</v>
      </c>
      <c r="F1046" t="s">
        <v>22</v>
      </c>
      <c r="G1046" t="s">
        <v>27</v>
      </c>
      <c r="H1046" t="s">
        <v>31</v>
      </c>
      <c r="I1046" t="s">
        <v>35</v>
      </c>
      <c r="J1046" t="s">
        <v>39</v>
      </c>
      <c r="K1046" t="s">
        <v>47</v>
      </c>
      <c r="L1046" t="s">
        <v>53</v>
      </c>
      <c r="M1046" s="7">
        <v>56514</v>
      </c>
      <c r="N1046">
        <v>0.28000000000000003</v>
      </c>
      <c r="O1046" s="7">
        <v>-1782</v>
      </c>
      <c r="P1046">
        <v>3</v>
      </c>
      <c r="Q1046" t="s">
        <v>57</v>
      </c>
      <c r="R1046" t="s">
        <v>60</v>
      </c>
      <c r="S1046">
        <f t="shared" si="80"/>
        <v>2023</v>
      </c>
      <c r="T1046" t="str">
        <f t="shared" si="81"/>
        <v>Nov</v>
      </c>
      <c r="U1046">
        <f t="shared" si="82"/>
        <v>7</v>
      </c>
      <c r="V1046">
        <f t="shared" si="83"/>
        <v>8</v>
      </c>
      <c r="W1046" s="9">
        <f t="shared" si="84"/>
        <v>-3.1532009767491244E-2</v>
      </c>
    </row>
    <row r="1047" spans="1:23">
      <c r="A1047">
        <v>11046</v>
      </c>
      <c r="B1047" s="5">
        <v>45242</v>
      </c>
      <c r="C1047" s="5">
        <v>45249</v>
      </c>
      <c r="D1047" s="5">
        <v>45253</v>
      </c>
      <c r="E1047" t="s">
        <v>20</v>
      </c>
      <c r="F1047" t="s">
        <v>22</v>
      </c>
      <c r="G1047" t="s">
        <v>26</v>
      </c>
      <c r="H1047" t="s">
        <v>33</v>
      </c>
      <c r="I1047" t="s">
        <v>34</v>
      </c>
      <c r="J1047" t="s">
        <v>41</v>
      </c>
      <c r="K1047" t="s">
        <v>45</v>
      </c>
      <c r="L1047" t="s">
        <v>52</v>
      </c>
      <c r="M1047" s="7">
        <v>4442</v>
      </c>
      <c r="N1047">
        <v>0.33</v>
      </c>
      <c r="O1047" s="7">
        <v>3587</v>
      </c>
      <c r="P1047">
        <v>23</v>
      </c>
      <c r="Q1047" t="s">
        <v>56</v>
      </c>
      <c r="R1047" t="s">
        <v>62</v>
      </c>
      <c r="S1047">
        <f t="shared" si="80"/>
        <v>2023</v>
      </c>
      <c r="T1047" t="str">
        <f t="shared" si="81"/>
        <v>Nov</v>
      </c>
      <c r="U1047">
        <f t="shared" si="82"/>
        <v>7</v>
      </c>
      <c r="V1047">
        <f t="shared" si="83"/>
        <v>11</v>
      </c>
      <c r="W1047" s="9">
        <f t="shared" si="84"/>
        <v>0.80751913552453847</v>
      </c>
    </row>
    <row r="1048" spans="1:23">
      <c r="A1048">
        <v>11047</v>
      </c>
      <c r="B1048" s="5">
        <v>45243</v>
      </c>
      <c r="C1048" s="5">
        <v>45246</v>
      </c>
      <c r="D1048" s="5">
        <v>45249</v>
      </c>
      <c r="E1048" t="s">
        <v>19</v>
      </c>
      <c r="F1048" t="s">
        <v>22</v>
      </c>
      <c r="G1048" t="s">
        <v>27</v>
      </c>
      <c r="H1048" t="s">
        <v>32</v>
      </c>
      <c r="I1048" t="s">
        <v>36</v>
      </c>
      <c r="J1048" t="s">
        <v>42</v>
      </c>
      <c r="K1048" t="s">
        <v>50</v>
      </c>
      <c r="L1048" t="s">
        <v>51</v>
      </c>
      <c r="M1048" s="7">
        <v>50718</v>
      </c>
      <c r="N1048">
        <v>0.28999999999999998</v>
      </c>
      <c r="O1048" s="7">
        <v>8042</v>
      </c>
      <c r="P1048">
        <v>16</v>
      </c>
      <c r="Q1048" t="s">
        <v>56</v>
      </c>
      <c r="R1048" t="s">
        <v>62</v>
      </c>
      <c r="S1048">
        <f t="shared" si="80"/>
        <v>2023</v>
      </c>
      <c r="T1048" t="str">
        <f t="shared" si="81"/>
        <v>Nov</v>
      </c>
      <c r="U1048">
        <f t="shared" si="82"/>
        <v>3</v>
      </c>
      <c r="V1048">
        <f t="shared" si="83"/>
        <v>6</v>
      </c>
      <c r="W1048" s="9">
        <f t="shared" si="84"/>
        <v>0.15856303481998502</v>
      </c>
    </row>
    <row r="1049" spans="1:23">
      <c r="A1049">
        <v>11048</v>
      </c>
      <c r="B1049" s="5">
        <v>45244</v>
      </c>
      <c r="C1049" s="5">
        <v>45250</v>
      </c>
      <c r="D1049" s="5">
        <v>45255</v>
      </c>
      <c r="E1049" t="s">
        <v>18</v>
      </c>
      <c r="F1049" t="s">
        <v>22</v>
      </c>
      <c r="G1049" t="s">
        <v>26</v>
      </c>
      <c r="H1049" t="s">
        <v>30</v>
      </c>
      <c r="I1049" t="s">
        <v>34</v>
      </c>
      <c r="J1049" t="s">
        <v>39</v>
      </c>
      <c r="K1049" t="s">
        <v>44</v>
      </c>
      <c r="L1049" t="s">
        <v>53</v>
      </c>
      <c r="M1049" s="7">
        <v>42923</v>
      </c>
      <c r="N1049">
        <v>0.04</v>
      </c>
      <c r="O1049" s="7">
        <v>-853</v>
      </c>
      <c r="P1049">
        <v>22</v>
      </c>
      <c r="Q1049" t="s">
        <v>58</v>
      </c>
      <c r="R1049" t="s">
        <v>62</v>
      </c>
      <c r="S1049">
        <f t="shared" si="80"/>
        <v>2023</v>
      </c>
      <c r="T1049" t="str">
        <f t="shared" si="81"/>
        <v>Nov</v>
      </c>
      <c r="U1049">
        <f t="shared" si="82"/>
        <v>6</v>
      </c>
      <c r="V1049">
        <f t="shared" si="83"/>
        <v>11</v>
      </c>
      <c r="W1049" s="9">
        <f t="shared" si="84"/>
        <v>-1.9872795470959624E-2</v>
      </c>
    </row>
    <row r="1050" spans="1:23">
      <c r="A1050">
        <v>11049</v>
      </c>
      <c r="B1050" s="5">
        <v>45245</v>
      </c>
      <c r="C1050" s="5">
        <v>45249</v>
      </c>
      <c r="D1050" s="5">
        <v>45251</v>
      </c>
      <c r="E1050" t="s">
        <v>18</v>
      </c>
      <c r="F1050" t="s">
        <v>22</v>
      </c>
      <c r="G1050" t="s">
        <v>26</v>
      </c>
      <c r="H1050" t="s">
        <v>30</v>
      </c>
      <c r="I1050" t="s">
        <v>35</v>
      </c>
      <c r="J1050" t="s">
        <v>38</v>
      </c>
      <c r="K1050" t="s">
        <v>46</v>
      </c>
      <c r="L1050" t="s">
        <v>51</v>
      </c>
      <c r="M1050" s="7">
        <v>33142</v>
      </c>
      <c r="N1050">
        <v>0.28999999999999998</v>
      </c>
      <c r="O1050" s="7">
        <v>16218</v>
      </c>
      <c r="P1050">
        <v>1</v>
      </c>
      <c r="Q1050" t="s">
        <v>54</v>
      </c>
      <c r="R1050" t="s">
        <v>60</v>
      </c>
      <c r="S1050">
        <f t="shared" si="80"/>
        <v>2023</v>
      </c>
      <c r="T1050" t="str">
        <f t="shared" si="81"/>
        <v>Nov</v>
      </c>
      <c r="U1050">
        <f t="shared" si="82"/>
        <v>4</v>
      </c>
      <c r="V1050">
        <f t="shared" si="83"/>
        <v>6</v>
      </c>
      <c r="W1050" s="9">
        <f t="shared" si="84"/>
        <v>0.48934886247058113</v>
      </c>
    </row>
    <row r="1051" spans="1:23">
      <c r="A1051">
        <v>11050</v>
      </c>
      <c r="B1051" s="5">
        <v>45246</v>
      </c>
      <c r="C1051" s="5">
        <v>45252</v>
      </c>
      <c r="D1051" s="5">
        <v>45257</v>
      </c>
      <c r="E1051" t="s">
        <v>18</v>
      </c>
      <c r="F1051" t="s">
        <v>22</v>
      </c>
      <c r="G1051" t="s">
        <v>28</v>
      </c>
      <c r="H1051" t="s">
        <v>30</v>
      </c>
      <c r="I1051" t="s">
        <v>35</v>
      </c>
      <c r="J1051" t="s">
        <v>38</v>
      </c>
      <c r="K1051" t="s">
        <v>47</v>
      </c>
      <c r="L1051" t="s">
        <v>52</v>
      </c>
      <c r="M1051" s="7">
        <v>49585</v>
      </c>
      <c r="N1051">
        <v>0.31</v>
      </c>
      <c r="O1051" s="7">
        <v>18009</v>
      </c>
      <c r="P1051">
        <v>16</v>
      </c>
      <c r="Q1051" t="s">
        <v>57</v>
      </c>
      <c r="R1051" t="s">
        <v>60</v>
      </c>
      <c r="S1051">
        <f t="shared" si="80"/>
        <v>2023</v>
      </c>
      <c r="T1051" t="str">
        <f t="shared" si="81"/>
        <v>Nov</v>
      </c>
      <c r="U1051">
        <f t="shared" si="82"/>
        <v>6</v>
      </c>
      <c r="V1051">
        <f t="shared" si="83"/>
        <v>11</v>
      </c>
      <c r="W1051" s="9">
        <f t="shared" si="84"/>
        <v>0.36319451447010187</v>
      </c>
    </row>
    <row r="1052" spans="1:23">
      <c r="A1052">
        <v>11051</v>
      </c>
      <c r="B1052" s="5">
        <v>45247</v>
      </c>
      <c r="C1052" s="5">
        <v>45249</v>
      </c>
      <c r="D1052" s="5">
        <v>45250</v>
      </c>
      <c r="E1052" t="s">
        <v>21</v>
      </c>
      <c r="F1052" t="s">
        <v>22</v>
      </c>
      <c r="G1052" t="s">
        <v>26</v>
      </c>
      <c r="H1052" t="s">
        <v>31</v>
      </c>
      <c r="I1052" t="s">
        <v>34</v>
      </c>
      <c r="J1052" t="s">
        <v>41</v>
      </c>
      <c r="K1052" t="s">
        <v>50</v>
      </c>
      <c r="L1052" t="s">
        <v>52</v>
      </c>
      <c r="M1052" s="7">
        <v>23929</v>
      </c>
      <c r="N1052">
        <v>0.19</v>
      </c>
      <c r="O1052" s="7">
        <v>2108</v>
      </c>
      <c r="P1052">
        <v>18</v>
      </c>
      <c r="Q1052" t="s">
        <v>56</v>
      </c>
      <c r="R1052" t="s">
        <v>60</v>
      </c>
      <c r="S1052">
        <f t="shared" si="80"/>
        <v>2023</v>
      </c>
      <c r="T1052" t="str">
        <f t="shared" si="81"/>
        <v>Nov</v>
      </c>
      <c r="U1052">
        <f t="shared" si="82"/>
        <v>2</v>
      </c>
      <c r="V1052">
        <f t="shared" si="83"/>
        <v>3</v>
      </c>
      <c r="W1052" s="9">
        <f t="shared" si="84"/>
        <v>8.8093944586067119E-2</v>
      </c>
    </row>
    <row r="1053" spans="1:23">
      <c r="A1053">
        <v>11052</v>
      </c>
      <c r="B1053" s="5">
        <v>45248</v>
      </c>
      <c r="C1053" s="5">
        <v>45255</v>
      </c>
      <c r="D1053" s="5">
        <v>45257</v>
      </c>
      <c r="E1053" t="s">
        <v>18</v>
      </c>
      <c r="F1053" t="s">
        <v>22</v>
      </c>
      <c r="G1053" t="s">
        <v>23</v>
      </c>
      <c r="H1053" t="s">
        <v>33</v>
      </c>
      <c r="I1053" t="s">
        <v>34</v>
      </c>
      <c r="J1053" t="s">
        <v>38</v>
      </c>
      <c r="K1053" t="s">
        <v>45</v>
      </c>
      <c r="L1053" t="s">
        <v>52</v>
      </c>
      <c r="M1053" s="7">
        <v>61161</v>
      </c>
      <c r="N1053">
        <v>0.32</v>
      </c>
      <c r="O1053" s="7">
        <v>19214</v>
      </c>
      <c r="P1053">
        <v>3</v>
      </c>
      <c r="Q1053" t="s">
        <v>56</v>
      </c>
      <c r="R1053" t="s">
        <v>61</v>
      </c>
      <c r="S1053">
        <f t="shared" si="80"/>
        <v>2023</v>
      </c>
      <c r="T1053" t="str">
        <f t="shared" si="81"/>
        <v>Nov</v>
      </c>
      <c r="U1053">
        <f t="shared" si="82"/>
        <v>7</v>
      </c>
      <c r="V1053">
        <f t="shared" si="83"/>
        <v>9</v>
      </c>
      <c r="W1053" s="9">
        <f t="shared" si="84"/>
        <v>0.31415444482595117</v>
      </c>
    </row>
    <row r="1054" spans="1:23">
      <c r="A1054">
        <v>11053</v>
      </c>
      <c r="B1054" s="5">
        <v>45249</v>
      </c>
      <c r="C1054" s="5">
        <v>45253</v>
      </c>
      <c r="D1054" s="5">
        <v>45257</v>
      </c>
      <c r="E1054" t="s">
        <v>21</v>
      </c>
      <c r="F1054" t="s">
        <v>22</v>
      </c>
      <c r="G1054" t="s">
        <v>25</v>
      </c>
      <c r="H1054" t="s">
        <v>32</v>
      </c>
      <c r="I1054" t="s">
        <v>35</v>
      </c>
      <c r="J1054" t="s">
        <v>39</v>
      </c>
      <c r="K1054" t="s">
        <v>50</v>
      </c>
      <c r="L1054" t="s">
        <v>52</v>
      </c>
      <c r="M1054" s="7">
        <v>10161</v>
      </c>
      <c r="N1054">
        <v>0.37</v>
      </c>
      <c r="O1054" s="7">
        <v>-1238</v>
      </c>
      <c r="P1054">
        <v>4</v>
      </c>
      <c r="Q1054" t="s">
        <v>55</v>
      </c>
      <c r="R1054" t="s">
        <v>62</v>
      </c>
      <c r="S1054">
        <f t="shared" si="80"/>
        <v>2023</v>
      </c>
      <c r="T1054" t="str">
        <f t="shared" si="81"/>
        <v>Nov</v>
      </c>
      <c r="U1054">
        <f t="shared" si="82"/>
        <v>4</v>
      </c>
      <c r="V1054">
        <f t="shared" si="83"/>
        <v>8</v>
      </c>
      <c r="W1054" s="9">
        <f t="shared" si="84"/>
        <v>-0.12183840173211298</v>
      </c>
    </row>
    <row r="1055" spans="1:23">
      <c r="A1055">
        <v>11054</v>
      </c>
      <c r="B1055" s="5">
        <v>45250</v>
      </c>
      <c r="C1055" s="5">
        <v>45254</v>
      </c>
      <c r="D1055" s="5">
        <v>45257</v>
      </c>
      <c r="E1055" t="s">
        <v>19</v>
      </c>
      <c r="F1055" t="s">
        <v>22</v>
      </c>
      <c r="G1055" t="s">
        <v>24</v>
      </c>
      <c r="H1055" t="s">
        <v>29</v>
      </c>
      <c r="I1055" t="s">
        <v>36</v>
      </c>
      <c r="J1055" t="s">
        <v>39</v>
      </c>
      <c r="K1055" t="s">
        <v>44</v>
      </c>
      <c r="L1055" t="s">
        <v>52</v>
      </c>
      <c r="M1055" s="7">
        <v>1904</v>
      </c>
      <c r="N1055">
        <v>0.28000000000000003</v>
      </c>
      <c r="O1055" s="7">
        <v>4431</v>
      </c>
      <c r="P1055">
        <v>22</v>
      </c>
      <c r="Q1055" t="s">
        <v>55</v>
      </c>
      <c r="R1055" t="s">
        <v>60</v>
      </c>
      <c r="S1055">
        <f t="shared" si="80"/>
        <v>2023</v>
      </c>
      <c r="T1055" t="str">
        <f t="shared" si="81"/>
        <v>Nov</v>
      </c>
      <c r="U1055">
        <f t="shared" si="82"/>
        <v>4</v>
      </c>
      <c r="V1055">
        <f t="shared" si="83"/>
        <v>7</v>
      </c>
      <c r="W1055" s="9">
        <f t="shared" si="84"/>
        <v>2.3272058823529411</v>
      </c>
    </row>
    <row r="1056" spans="1:23">
      <c r="A1056">
        <v>11055</v>
      </c>
      <c r="B1056" s="5">
        <v>45251</v>
      </c>
      <c r="C1056" s="5">
        <v>45257</v>
      </c>
      <c r="D1056" s="5">
        <v>45260</v>
      </c>
      <c r="E1056" t="s">
        <v>21</v>
      </c>
      <c r="F1056" t="s">
        <v>22</v>
      </c>
      <c r="G1056" t="s">
        <v>25</v>
      </c>
      <c r="H1056" t="s">
        <v>25</v>
      </c>
      <c r="I1056" t="s">
        <v>35</v>
      </c>
      <c r="J1056" t="s">
        <v>42</v>
      </c>
      <c r="K1056" t="s">
        <v>47</v>
      </c>
      <c r="L1056" t="s">
        <v>52</v>
      </c>
      <c r="M1056" s="7">
        <v>36735</v>
      </c>
      <c r="N1056">
        <v>0.16</v>
      </c>
      <c r="O1056" s="7">
        <v>10179</v>
      </c>
      <c r="P1056">
        <v>21</v>
      </c>
      <c r="Q1056" t="s">
        <v>55</v>
      </c>
      <c r="R1056" t="s">
        <v>62</v>
      </c>
      <c r="S1056">
        <f t="shared" si="80"/>
        <v>2023</v>
      </c>
      <c r="T1056" t="str">
        <f t="shared" si="81"/>
        <v>Nov</v>
      </c>
      <c r="U1056">
        <f t="shared" si="82"/>
        <v>6</v>
      </c>
      <c r="V1056">
        <f t="shared" si="83"/>
        <v>9</v>
      </c>
      <c r="W1056" s="9">
        <f t="shared" si="84"/>
        <v>0.27709269089424254</v>
      </c>
    </row>
    <row r="1057" spans="1:23">
      <c r="A1057">
        <v>11056</v>
      </c>
      <c r="B1057" s="5">
        <v>45252</v>
      </c>
      <c r="C1057" s="5">
        <v>45254</v>
      </c>
      <c r="D1057" s="5">
        <v>45256</v>
      </c>
      <c r="E1057" t="s">
        <v>20</v>
      </c>
      <c r="F1057" t="s">
        <v>22</v>
      </c>
      <c r="G1057" t="s">
        <v>24</v>
      </c>
      <c r="H1057" t="s">
        <v>25</v>
      </c>
      <c r="I1057" t="s">
        <v>35</v>
      </c>
      <c r="J1057" t="s">
        <v>38</v>
      </c>
      <c r="K1057" t="s">
        <v>44</v>
      </c>
      <c r="L1057" t="s">
        <v>52</v>
      </c>
      <c r="M1057" s="7">
        <v>45680</v>
      </c>
      <c r="N1057">
        <v>0.14000000000000001</v>
      </c>
      <c r="O1057" s="7">
        <v>9289</v>
      </c>
      <c r="P1057">
        <v>5</v>
      </c>
      <c r="Q1057" t="s">
        <v>55</v>
      </c>
      <c r="R1057" t="s">
        <v>59</v>
      </c>
      <c r="S1057">
        <f t="shared" si="80"/>
        <v>2023</v>
      </c>
      <c r="T1057" t="str">
        <f t="shared" si="81"/>
        <v>Nov</v>
      </c>
      <c r="U1057">
        <f t="shared" si="82"/>
        <v>2</v>
      </c>
      <c r="V1057">
        <f t="shared" si="83"/>
        <v>4</v>
      </c>
      <c r="W1057" s="9">
        <f t="shared" si="84"/>
        <v>0.20334938704028022</v>
      </c>
    </row>
    <row r="1058" spans="1:23">
      <c r="A1058">
        <v>11057</v>
      </c>
      <c r="B1058" s="5">
        <v>45253</v>
      </c>
      <c r="C1058" s="5">
        <v>45256</v>
      </c>
      <c r="D1058" s="5">
        <v>45261</v>
      </c>
      <c r="E1058" t="s">
        <v>19</v>
      </c>
      <c r="F1058" t="s">
        <v>22</v>
      </c>
      <c r="G1058" t="s">
        <v>23</v>
      </c>
      <c r="H1058" t="s">
        <v>25</v>
      </c>
      <c r="I1058" t="s">
        <v>36</v>
      </c>
      <c r="J1058" t="s">
        <v>37</v>
      </c>
      <c r="K1058" t="s">
        <v>48</v>
      </c>
      <c r="L1058" t="s">
        <v>51</v>
      </c>
      <c r="M1058" s="7">
        <v>34457</v>
      </c>
      <c r="N1058">
        <v>0.35</v>
      </c>
      <c r="O1058" s="7">
        <v>13883</v>
      </c>
      <c r="P1058">
        <v>9</v>
      </c>
      <c r="Q1058" t="s">
        <v>54</v>
      </c>
      <c r="R1058" t="s">
        <v>61</v>
      </c>
      <c r="S1058">
        <f t="shared" si="80"/>
        <v>2023</v>
      </c>
      <c r="T1058" t="str">
        <f t="shared" si="81"/>
        <v>Nov</v>
      </c>
      <c r="U1058">
        <f t="shared" si="82"/>
        <v>3</v>
      </c>
      <c r="V1058">
        <f t="shared" si="83"/>
        <v>8</v>
      </c>
      <c r="W1058" s="9">
        <f t="shared" si="84"/>
        <v>0.40290797225527469</v>
      </c>
    </row>
    <row r="1059" spans="1:23">
      <c r="A1059">
        <v>11058</v>
      </c>
      <c r="B1059" s="5">
        <v>45254</v>
      </c>
      <c r="C1059" s="5">
        <v>45256</v>
      </c>
      <c r="D1059" s="5">
        <v>45260</v>
      </c>
      <c r="E1059" t="s">
        <v>20</v>
      </c>
      <c r="F1059" t="s">
        <v>22</v>
      </c>
      <c r="G1059" t="s">
        <v>23</v>
      </c>
      <c r="H1059" t="s">
        <v>31</v>
      </c>
      <c r="I1059" t="s">
        <v>34</v>
      </c>
      <c r="J1059" t="s">
        <v>39</v>
      </c>
      <c r="K1059" t="s">
        <v>44</v>
      </c>
      <c r="L1059" t="s">
        <v>53</v>
      </c>
      <c r="M1059" s="7">
        <v>43420</v>
      </c>
      <c r="N1059">
        <v>0</v>
      </c>
      <c r="O1059" s="7">
        <v>3887</v>
      </c>
      <c r="P1059">
        <v>7</v>
      </c>
      <c r="Q1059" t="s">
        <v>58</v>
      </c>
      <c r="R1059" t="s">
        <v>62</v>
      </c>
      <c r="S1059">
        <f t="shared" si="80"/>
        <v>2023</v>
      </c>
      <c r="T1059" t="str">
        <f t="shared" si="81"/>
        <v>Nov</v>
      </c>
      <c r="U1059">
        <f t="shared" si="82"/>
        <v>2</v>
      </c>
      <c r="V1059">
        <f t="shared" si="83"/>
        <v>6</v>
      </c>
      <c r="W1059" s="9">
        <f t="shared" si="84"/>
        <v>8.9520958083832342E-2</v>
      </c>
    </row>
    <row r="1060" spans="1:23">
      <c r="A1060">
        <v>11059</v>
      </c>
      <c r="B1060" s="5">
        <v>45255</v>
      </c>
      <c r="C1060" s="5">
        <v>45257</v>
      </c>
      <c r="D1060" s="5">
        <v>45259</v>
      </c>
      <c r="E1060" t="s">
        <v>19</v>
      </c>
      <c r="F1060" t="s">
        <v>22</v>
      </c>
      <c r="G1060" t="s">
        <v>24</v>
      </c>
      <c r="H1060" t="s">
        <v>25</v>
      </c>
      <c r="I1060" t="s">
        <v>36</v>
      </c>
      <c r="J1060" t="s">
        <v>38</v>
      </c>
      <c r="K1060" t="s">
        <v>50</v>
      </c>
      <c r="L1060" t="s">
        <v>52</v>
      </c>
      <c r="M1060" s="7">
        <v>56962</v>
      </c>
      <c r="N1060">
        <v>0.26</v>
      </c>
      <c r="O1060" s="7">
        <v>-97</v>
      </c>
      <c r="P1060">
        <v>21</v>
      </c>
      <c r="Q1060" t="s">
        <v>55</v>
      </c>
      <c r="R1060" t="s">
        <v>61</v>
      </c>
      <c r="S1060">
        <f t="shared" si="80"/>
        <v>2023</v>
      </c>
      <c r="T1060" t="str">
        <f t="shared" si="81"/>
        <v>Nov</v>
      </c>
      <c r="U1060">
        <f t="shared" si="82"/>
        <v>2</v>
      </c>
      <c r="V1060">
        <f t="shared" si="83"/>
        <v>4</v>
      </c>
      <c r="W1060" s="9">
        <f t="shared" si="84"/>
        <v>-1.7028896457287315E-3</v>
      </c>
    </row>
    <row r="1061" spans="1:23">
      <c r="A1061">
        <v>11060</v>
      </c>
      <c r="B1061" s="5">
        <v>45256</v>
      </c>
      <c r="C1061" s="5">
        <v>45260</v>
      </c>
      <c r="D1061" s="5">
        <v>45265</v>
      </c>
      <c r="E1061" t="s">
        <v>20</v>
      </c>
      <c r="F1061" t="s">
        <v>22</v>
      </c>
      <c r="G1061" t="s">
        <v>27</v>
      </c>
      <c r="H1061" t="s">
        <v>32</v>
      </c>
      <c r="I1061" t="s">
        <v>35</v>
      </c>
      <c r="J1061" t="s">
        <v>40</v>
      </c>
      <c r="K1061" t="s">
        <v>49</v>
      </c>
      <c r="L1061" t="s">
        <v>52</v>
      </c>
      <c r="M1061" s="7">
        <v>5721</v>
      </c>
      <c r="N1061">
        <v>0.25</v>
      </c>
      <c r="O1061" s="7">
        <v>7602</v>
      </c>
      <c r="P1061">
        <v>10</v>
      </c>
      <c r="Q1061" t="s">
        <v>58</v>
      </c>
      <c r="R1061" t="s">
        <v>62</v>
      </c>
      <c r="S1061">
        <f t="shared" si="80"/>
        <v>2023</v>
      </c>
      <c r="T1061" t="str">
        <f t="shared" si="81"/>
        <v>Nov</v>
      </c>
      <c r="U1061">
        <f t="shared" si="82"/>
        <v>4</v>
      </c>
      <c r="V1061">
        <f t="shared" si="83"/>
        <v>9</v>
      </c>
      <c r="W1061" s="9">
        <f t="shared" si="84"/>
        <v>1.3287886733088621</v>
      </c>
    </row>
    <row r="1062" spans="1:23">
      <c r="A1062">
        <v>11061</v>
      </c>
      <c r="B1062" s="5">
        <v>45257</v>
      </c>
      <c r="C1062" s="5">
        <v>45262</v>
      </c>
      <c r="D1062" s="5">
        <v>45264</v>
      </c>
      <c r="E1062" t="s">
        <v>20</v>
      </c>
      <c r="F1062" t="s">
        <v>22</v>
      </c>
      <c r="G1062" t="s">
        <v>23</v>
      </c>
      <c r="H1062" t="s">
        <v>25</v>
      </c>
      <c r="I1062" t="s">
        <v>36</v>
      </c>
      <c r="J1062" t="s">
        <v>37</v>
      </c>
      <c r="K1062" t="s">
        <v>49</v>
      </c>
      <c r="L1062" t="s">
        <v>53</v>
      </c>
      <c r="M1062" s="7">
        <v>18914</v>
      </c>
      <c r="N1062">
        <v>0.25</v>
      </c>
      <c r="O1062" s="7">
        <v>13558</v>
      </c>
      <c r="P1062">
        <v>10</v>
      </c>
      <c r="Q1062" t="s">
        <v>58</v>
      </c>
      <c r="R1062" t="s">
        <v>59</v>
      </c>
      <c r="S1062">
        <f t="shared" si="80"/>
        <v>2023</v>
      </c>
      <c r="T1062" t="str">
        <f t="shared" si="81"/>
        <v>Nov</v>
      </c>
      <c r="U1062">
        <f t="shared" si="82"/>
        <v>5</v>
      </c>
      <c r="V1062">
        <f t="shared" si="83"/>
        <v>7</v>
      </c>
      <c r="W1062" s="9">
        <f t="shared" si="84"/>
        <v>0.71682351697155544</v>
      </c>
    </row>
    <row r="1063" spans="1:23">
      <c r="A1063">
        <v>11062</v>
      </c>
      <c r="B1063" s="5">
        <v>45258</v>
      </c>
      <c r="C1063" s="5">
        <v>45262</v>
      </c>
      <c r="D1063" s="5">
        <v>45265</v>
      </c>
      <c r="E1063" t="s">
        <v>19</v>
      </c>
      <c r="F1063" t="s">
        <v>22</v>
      </c>
      <c r="G1063" t="s">
        <v>24</v>
      </c>
      <c r="H1063" t="s">
        <v>30</v>
      </c>
      <c r="I1063" t="s">
        <v>35</v>
      </c>
      <c r="J1063" t="s">
        <v>39</v>
      </c>
      <c r="K1063" t="s">
        <v>46</v>
      </c>
      <c r="L1063" t="s">
        <v>53</v>
      </c>
      <c r="M1063" s="7">
        <v>19166</v>
      </c>
      <c r="N1063">
        <v>0.13</v>
      </c>
      <c r="O1063" s="7">
        <v>11889</v>
      </c>
      <c r="P1063">
        <v>8</v>
      </c>
      <c r="Q1063" t="s">
        <v>54</v>
      </c>
      <c r="R1063" t="s">
        <v>59</v>
      </c>
      <c r="S1063">
        <f t="shared" si="80"/>
        <v>2023</v>
      </c>
      <c r="T1063" t="str">
        <f t="shared" si="81"/>
        <v>Nov</v>
      </c>
      <c r="U1063">
        <f t="shared" si="82"/>
        <v>4</v>
      </c>
      <c r="V1063">
        <f t="shared" si="83"/>
        <v>7</v>
      </c>
      <c r="W1063" s="9">
        <f t="shared" si="84"/>
        <v>0.62031722842533654</v>
      </c>
    </row>
    <row r="1064" spans="1:23">
      <c r="A1064">
        <v>11063</v>
      </c>
      <c r="B1064" s="5">
        <v>45259</v>
      </c>
      <c r="C1064" s="5">
        <v>45262</v>
      </c>
      <c r="D1064" s="5">
        <v>45267</v>
      </c>
      <c r="E1064" t="s">
        <v>21</v>
      </c>
      <c r="F1064" t="s">
        <v>22</v>
      </c>
      <c r="G1064" t="s">
        <v>26</v>
      </c>
      <c r="H1064" t="s">
        <v>32</v>
      </c>
      <c r="I1064" t="s">
        <v>35</v>
      </c>
      <c r="J1064" t="s">
        <v>37</v>
      </c>
      <c r="K1064" t="s">
        <v>48</v>
      </c>
      <c r="L1064" t="s">
        <v>51</v>
      </c>
      <c r="M1064" s="7">
        <v>52318</v>
      </c>
      <c r="N1064">
        <v>0.22</v>
      </c>
      <c r="O1064" s="7">
        <v>-99</v>
      </c>
      <c r="P1064">
        <v>19</v>
      </c>
      <c r="Q1064" t="s">
        <v>58</v>
      </c>
      <c r="R1064" t="s">
        <v>59</v>
      </c>
      <c r="S1064">
        <f t="shared" si="80"/>
        <v>2023</v>
      </c>
      <c r="T1064" t="str">
        <f t="shared" si="81"/>
        <v>Nov</v>
      </c>
      <c r="U1064">
        <f t="shared" si="82"/>
        <v>3</v>
      </c>
      <c r="V1064">
        <f t="shared" si="83"/>
        <v>8</v>
      </c>
      <c r="W1064" s="9">
        <f t="shared" si="84"/>
        <v>-1.8922741695018923E-3</v>
      </c>
    </row>
    <row r="1065" spans="1:23">
      <c r="A1065">
        <v>11064</v>
      </c>
      <c r="B1065" s="5">
        <v>45260</v>
      </c>
      <c r="C1065" s="5">
        <v>45265</v>
      </c>
      <c r="D1065" s="5">
        <v>45270</v>
      </c>
      <c r="E1065" t="s">
        <v>18</v>
      </c>
      <c r="F1065" t="s">
        <v>22</v>
      </c>
      <c r="G1065" t="s">
        <v>23</v>
      </c>
      <c r="H1065" t="s">
        <v>25</v>
      </c>
      <c r="I1065" t="s">
        <v>35</v>
      </c>
      <c r="J1065" t="s">
        <v>41</v>
      </c>
      <c r="K1065" t="s">
        <v>48</v>
      </c>
      <c r="L1065" t="s">
        <v>53</v>
      </c>
      <c r="M1065" s="7">
        <v>24919</v>
      </c>
      <c r="N1065">
        <v>0.21</v>
      </c>
      <c r="O1065" s="7">
        <v>-200</v>
      </c>
      <c r="P1065">
        <v>1</v>
      </c>
      <c r="Q1065" t="s">
        <v>56</v>
      </c>
      <c r="R1065" t="s">
        <v>60</v>
      </c>
      <c r="S1065">
        <f t="shared" si="80"/>
        <v>2023</v>
      </c>
      <c r="T1065" t="str">
        <f t="shared" si="81"/>
        <v>Nov</v>
      </c>
      <c r="U1065">
        <f t="shared" si="82"/>
        <v>5</v>
      </c>
      <c r="V1065">
        <f t="shared" si="83"/>
        <v>10</v>
      </c>
      <c r="W1065" s="9">
        <f t="shared" si="84"/>
        <v>-8.0260042537822537E-3</v>
      </c>
    </row>
    <row r="1066" spans="1:23">
      <c r="A1066">
        <v>11065</v>
      </c>
      <c r="B1066" s="5">
        <v>45261</v>
      </c>
      <c r="C1066" s="5">
        <v>45264</v>
      </c>
      <c r="D1066" s="5">
        <v>45267</v>
      </c>
      <c r="E1066" t="s">
        <v>19</v>
      </c>
      <c r="F1066" t="s">
        <v>22</v>
      </c>
      <c r="G1066" t="s">
        <v>24</v>
      </c>
      <c r="H1066" t="s">
        <v>31</v>
      </c>
      <c r="I1066" t="s">
        <v>36</v>
      </c>
      <c r="J1066" t="s">
        <v>41</v>
      </c>
      <c r="K1066" t="s">
        <v>44</v>
      </c>
      <c r="L1066" t="s">
        <v>52</v>
      </c>
      <c r="M1066" s="7">
        <v>47530</v>
      </c>
      <c r="N1066">
        <v>0.35</v>
      </c>
      <c r="O1066" s="7">
        <v>-1406</v>
      </c>
      <c r="P1066">
        <v>3</v>
      </c>
      <c r="Q1066" t="s">
        <v>58</v>
      </c>
      <c r="R1066" t="s">
        <v>62</v>
      </c>
      <c r="S1066">
        <f t="shared" si="80"/>
        <v>2023</v>
      </c>
      <c r="T1066" t="str">
        <f t="shared" si="81"/>
        <v>Dec</v>
      </c>
      <c r="U1066">
        <f t="shared" si="82"/>
        <v>3</v>
      </c>
      <c r="V1066">
        <f t="shared" si="83"/>
        <v>6</v>
      </c>
      <c r="W1066" s="9">
        <f t="shared" si="84"/>
        <v>-2.9581317062907637E-2</v>
      </c>
    </row>
    <row r="1067" spans="1:23">
      <c r="A1067">
        <v>11066</v>
      </c>
      <c r="B1067" s="5">
        <v>45262</v>
      </c>
      <c r="C1067" s="5">
        <v>45266</v>
      </c>
      <c r="D1067" s="5">
        <v>45269</v>
      </c>
      <c r="E1067" t="s">
        <v>21</v>
      </c>
      <c r="F1067" t="s">
        <v>22</v>
      </c>
      <c r="G1067" t="s">
        <v>24</v>
      </c>
      <c r="H1067" t="s">
        <v>25</v>
      </c>
      <c r="I1067" t="s">
        <v>35</v>
      </c>
      <c r="J1067" t="s">
        <v>40</v>
      </c>
      <c r="K1067" t="s">
        <v>49</v>
      </c>
      <c r="L1067" t="s">
        <v>53</v>
      </c>
      <c r="M1067" s="7">
        <v>12423</v>
      </c>
      <c r="N1067">
        <v>0.39</v>
      </c>
      <c r="O1067" s="7">
        <v>7230</v>
      </c>
      <c r="P1067">
        <v>12</v>
      </c>
      <c r="Q1067" t="s">
        <v>54</v>
      </c>
      <c r="R1067" t="s">
        <v>62</v>
      </c>
      <c r="S1067">
        <f t="shared" si="80"/>
        <v>2023</v>
      </c>
      <c r="T1067" t="str">
        <f t="shared" si="81"/>
        <v>Dec</v>
      </c>
      <c r="U1067">
        <f t="shared" si="82"/>
        <v>4</v>
      </c>
      <c r="V1067">
        <f t="shared" si="83"/>
        <v>7</v>
      </c>
      <c r="W1067" s="9">
        <f t="shared" si="84"/>
        <v>0.58198502777106975</v>
      </c>
    </row>
    <row r="1068" spans="1:23">
      <c r="A1068">
        <v>11067</v>
      </c>
      <c r="B1068" s="5">
        <v>45263</v>
      </c>
      <c r="C1068" s="5">
        <v>45265</v>
      </c>
      <c r="D1068" s="5">
        <v>45270</v>
      </c>
      <c r="E1068" t="s">
        <v>18</v>
      </c>
      <c r="F1068" t="s">
        <v>22</v>
      </c>
      <c r="G1068" t="s">
        <v>28</v>
      </c>
      <c r="H1068" t="s">
        <v>32</v>
      </c>
      <c r="I1068" t="s">
        <v>35</v>
      </c>
      <c r="J1068" t="s">
        <v>42</v>
      </c>
      <c r="K1068" t="s">
        <v>50</v>
      </c>
      <c r="L1068" t="s">
        <v>52</v>
      </c>
      <c r="M1068" s="7">
        <v>30263</v>
      </c>
      <c r="N1068">
        <v>0.16</v>
      </c>
      <c r="O1068" s="7">
        <v>3184</v>
      </c>
      <c r="P1068">
        <v>16</v>
      </c>
      <c r="Q1068" t="s">
        <v>58</v>
      </c>
      <c r="R1068" t="s">
        <v>59</v>
      </c>
      <c r="S1068">
        <f t="shared" si="80"/>
        <v>2023</v>
      </c>
      <c r="T1068" t="str">
        <f t="shared" si="81"/>
        <v>Dec</v>
      </c>
      <c r="U1068">
        <f t="shared" si="82"/>
        <v>2</v>
      </c>
      <c r="V1068">
        <f t="shared" si="83"/>
        <v>7</v>
      </c>
      <c r="W1068" s="9">
        <f t="shared" si="84"/>
        <v>0.10521098370948022</v>
      </c>
    </row>
    <row r="1069" spans="1:23">
      <c r="A1069">
        <v>11068</v>
      </c>
      <c r="B1069" s="5">
        <v>45264</v>
      </c>
      <c r="C1069" s="5">
        <v>45271</v>
      </c>
      <c r="D1069" s="5">
        <v>45274</v>
      </c>
      <c r="E1069" t="s">
        <v>21</v>
      </c>
      <c r="F1069" t="s">
        <v>22</v>
      </c>
      <c r="G1069" t="s">
        <v>24</v>
      </c>
      <c r="H1069" t="s">
        <v>25</v>
      </c>
      <c r="I1069" t="s">
        <v>36</v>
      </c>
      <c r="J1069" t="s">
        <v>41</v>
      </c>
      <c r="K1069" t="s">
        <v>46</v>
      </c>
      <c r="L1069" t="s">
        <v>52</v>
      </c>
      <c r="M1069" s="7">
        <v>28801</v>
      </c>
      <c r="N1069">
        <v>0.35</v>
      </c>
      <c r="O1069" s="7">
        <v>18805</v>
      </c>
      <c r="P1069">
        <v>18</v>
      </c>
      <c r="Q1069" t="s">
        <v>57</v>
      </c>
      <c r="R1069" t="s">
        <v>59</v>
      </c>
      <c r="S1069">
        <f t="shared" si="80"/>
        <v>2023</v>
      </c>
      <c r="T1069" t="str">
        <f t="shared" si="81"/>
        <v>Dec</v>
      </c>
      <c r="U1069">
        <f t="shared" si="82"/>
        <v>7</v>
      </c>
      <c r="V1069">
        <f t="shared" si="83"/>
        <v>10</v>
      </c>
      <c r="W1069" s="9">
        <f t="shared" si="84"/>
        <v>0.65292871775285577</v>
      </c>
    </row>
    <row r="1070" spans="1:23">
      <c r="A1070">
        <v>11069</v>
      </c>
      <c r="B1070" s="5">
        <v>45265</v>
      </c>
      <c r="C1070" s="5">
        <v>45272</v>
      </c>
      <c r="D1070" s="5">
        <v>45277</v>
      </c>
      <c r="E1070" t="s">
        <v>21</v>
      </c>
      <c r="F1070" t="s">
        <v>22</v>
      </c>
      <c r="G1070" t="s">
        <v>23</v>
      </c>
      <c r="H1070" t="s">
        <v>31</v>
      </c>
      <c r="I1070" t="s">
        <v>36</v>
      </c>
      <c r="J1070" t="s">
        <v>37</v>
      </c>
      <c r="K1070" t="s">
        <v>49</v>
      </c>
      <c r="L1070" t="s">
        <v>51</v>
      </c>
      <c r="M1070" s="7">
        <v>16077</v>
      </c>
      <c r="N1070">
        <v>0.19</v>
      </c>
      <c r="O1070" s="7">
        <v>6276</v>
      </c>
      <c r="P1070">
        <v>7</v>
      </c>
      <c r="Q1070" t="s">
        <v>56</v>
      </c>
      <c r="R1070" t="s">
        <v>62</v>
      </c>
      <c r="S1070">
        <f t="shared" si="80"/>
        <v>2023</v>
      </c>
      <c r="T1070" t="str">
        <f t="shared" si="81"/>
        <v>Dec</v>
      </c>
      <c r="U1070">
        <f t="shared" si="82"/>
        <v>7</v>
      </c>
      <c r="V1070">
        <f t="shared" si="83"/>
        <v>12</v>
      </c>
      <c r="W1070" s="9">
        <f t="shared" si="84"/>
        <v>0.39037133793618212</v>
      </c>
    </row>
    <row r="1071" spans="1:23">
      <c r="A1071">
        <v>11070</v>
      </c>
      <c r="B1071" s="5">
        <v>45266</v>
      </c>
      <c r="C1071" s="5">
        <v>45271</v>
      </c>
      <c r="D1071" s="5">
        <v>45272</v>
      </c>
      <c r="E1071" t="s">
        <v>19</v>
      </c>
      <c r="F1071" t="s">
        <v>22</v>
      </c>
      <c r="G1071" t="s">
        <v>25</v>
      </c>
      <c r="H1071" t="s">
        <v>29</v>
      </c>
      <c r="I1071" t="s">
        <v>36</v>
      </c>
      <c r="J1071" t="s">
        <v>37</v>
      </c>
      <c r="K1071" t="s">
        <v>50</v>
      </c>
      <c r="L1071" t="s">
        <v>53</v>
      </c>
      <c r="M1071" s="7">
        <v>44125</v>
      </c>
      <c r="N1071">
        <v>0.33</v>
      </c>
      <c r="O1071" s="7">
        <v>12956</v>
      </c>
      <c r="P1071">
        <v>18</v>
      </c>
      <c r="Q1071" t="s">
        <v>54</v>
      </c>
      <c r="R1071" t="s">
        <v>59</v>
      </c>
      <c r="S1071">
        <f t="shared" si="80"/>
        <v>2023</v>
      </c>
      <c r="T1071" t="str">
        <f t="shared" si="81"/>
        <v>Dec</v>
      </c>
      <c r="U1071">
        <f t="shared" si="82"/>
        <v>5</v>
      </c>
      <c r="V1071">
        <f t="shared" si="83"/>
        <v>6</v>
      </c>
      <c r="W1071" s="9">
        <f t="shared" si="84"/>
        <v>0.29362039660056655</v>
      </c>
    </row>
    <row r="1072" spans="1:23">
      <c r="A1072">
        <v>11071</v>
      </c>
      <c r="B1072" s="5">
        <v>45267</v>
      </c>
      <c r="C1072" s="5">
        <v>45274</v>
      </c>
      <c r="D1072" s="5">
        <v>45275</v>
      </c>
      <c r="E1072" t="s">
        <v>18</v>
      </c>
      <c r="F1072" t="s">
        <v>22</v>
      </c>
      <c r="G1072" t="s">
        <v>23</v>
      </c>
      <c r="H1072" t="s">
        <v>32</v>
      </c>
      <c r="I1072" t="s">
        <v>35</v>
      </c>
      <c r="J1072" t="s">
        <v>42</v>
      </c>
      <c r="K1072" t="s">
        <v>50</v>
      </c>
      <c r="L1072" t="s">
        <v>52</v>
      </c>
      <c r="M1072" s="7">
        <v>71394</v>
      </c>
      <c r="N1072">
        <v>0.1</v>
      </c>
      <c r="O1072" s="7">
        <v>2683</v>
      </c>
      <c r="P1072">
        <v>6</v>
      </c>
      <c r="Q1072" t="s">
        <v>57</v>
      </c>
      <c r="R1072" t="s">
        <v>60</v>
      </c>
      <c r="S1072">
        <f t="shared" si="80"/>
        <v>2023</v>
      </c>
      <c r="T1072" t="str">
        <f t="shared" si="81"/>
        <v>Dec</v>
      </c>
      <c r="U1072">
        <f t="shared" si="82"/>
        <v>7</v>
      </c>
      <c r="V1072">
        <f t="shared" si="83"/>
        <v>8</v>
      </c>
      <c r="W1072" s="9">
        <f t="shared" si="84"/>
        <v>3.758018881138471E-2</v>
      </c>
    </row>
    <row r="1073" spans="1:23">
      <c r="A1073">
        <v>11072</v>
      </c>
      <c r="B1073" s="5">
        <v>45268</v>
      </c>
      <c r="C1073" s="5">
        <v>45275</v>
      </c>
      <c r="D1073" s="5">
        <v>45276</v>
      </c>
      <c r="E1073" t="s">
        <v>21</v>
      </c>
      <c r="F1073" t="s">
        <v>22</v>
      </c>
      <c r="G1073" t="s">
        <v>27</v>
      </c>
      <c r="H1073" t="s">
        <v>32</v>
      </c>
      <c r="I1073" t="s">
        <v>35</v>
      </c>
      <c r="J1073" t="s">
        <v>38</v>
      </c>
      <c r="K1073" t="s">
        <v>47</v>
      </c>
      <c r="L1073" t="s">
        <v>51</v>
      </c>
      <c r="M1073" s="7">
        <v>44423</v>
      </c>
      <c r="N1073">
        <v>0.24</v>
      </c>
      <c r="O1073" s="7">
        <v>2868</v>
      </c>
      <c r="P1073">
        <v>24</v>
      </c>
      <c r="Q1073" t="s">
        <v>57</v>
      </c>
      <c r="R1073" t="s">
        <v>61</v>
      </c>
      <c r="S1073">
        <f t="shared" si="80"/>
        <v>2023</v>
      </c>
      <c r="T1073" t="str">
        <f t="shared" si="81"/>
        <v>Dec</v>
      </c>
      <c r="U1073">
        <f t="shared" si="82"/>
        <v>7</v>
      </c>
      <c r="V1073">
        <f t="shared" si="83"/>
        <v>8</v>
      </c>
      <c r="W1073" s="9">
        <f t="shared" si="84"/>
        <v>6.4561150755239397E-2</v>
      </c>
    </row>
    <row r="1074" spans="1:23">
      <c r="A1074">
        <v>11073</v>
      </c>
      <c r="B1074" s="5">
        <v>45269</v>
      </c>
      <c r="C1074" s="5">
        <v>45273</v>
      </c>
      <c r="D1074" s="5">
        <v>45274</v>
      </c>
      <c r="E1074" t="s">
        <v>18</v>
      </c>
      <c r="F1074" t="s">
        <v>22</v>
      </c>
      <c r="G1074" t="s">
        <v>23</v>
      </c>
      <c r="H1074" t="s">
        <v>31</v>
      </c>
      <c r="I1074" t="s">
        <v>34</v>
      </c>
      <c r="J1074" t="s">
        <v>39</v>
      </c>
      <c r="K1074" t="s">
        <v>47</v>
      </c>
      <c r="L1074" t="s">
        <v>52</v>
      </c>
      <c r="M1074" s="7">
        <v>46722</v>
      </c>
      <c r="N1074">
        <v>0.03</v>
      </c>
      <c r="O1074" s="7">
        <v>-529</v>
      </c>
      <c r="P1074">
        <v>23</v>
      </c>
      <c r="Q1074" t="s">
        <v>56</v>
      </c>
      <c r="R1074" t="s">
        <v>61</v>
      </c>
      <c r="S1074">
        <f t="shared" si="80"/>
        <v>2023</v>
      </c>
      <c r="T1074" t="str">
        <f t="shared" si="81"/>
        <v>Dec</v>
      </c>
      <c r="U1074">
        <f t="shared" si="82"/>
        <v>4</v>
      </c>
      <c r="V1074">
        <f t="shared" si="83"/>
        <v>5</v>
      </c>
      <c r="W1074" s="9">
        <f t="shared" si="84"/>
        <v>-1.1322289285561405E-2</v>
      </c>
    </row>
    <row r="1075" spans="1:23">
      <c r="A1075">
        <v>11074</v>
      </c>
      <c r="B1075" s="5">
        <v>45270</v>
      </c>
      <c r="C1075" s="5">
        <v>45275</v>
      </c>
      <c r="D1075" s="5">
        <v>45277</v>
      </c>
      <c r="E1075" t="s">
        <v>20</v>
      </c>
      <c r="F1075" t="s">
        <v>22</v>
      </c>
      <c r="G1075" t="s">
        <v>26</v>
      </c>
      <c r="H1075" t="s">
        <v>31</v>
      </c>
      <c r="I1075" t="s">
        <v>34</v>
      </c>
      <c r="J1075" t="s">
        <v>43</v>
      </c>
      <c r="K1075" t="s">
        <v>46</v>
      </c>
      <c r="L1075" t="s">
        <v>53</v>
      </c>
      <c r="M1075" s="7">
        <v>37468</v>
      </c>
      <c r="N1075">
        <v>0.06</v>
      </c>
      <c r="O1075" s="7">
        <v>6522</v>
      </c>
      <c r="P1075">
        <v>24</v>
      </c>
      <c r="Q1075" t="s">
        <v>54</v>
      </c>
      <c r="R1075" t="s">
        <v>59</v>
      </c>
      <c r="S1075">
        <f t="shared" si="80"/>
        <v>2023</v>
      </c>
      <c r="T1075" t="str">
        <f t="shared" si="81"/>
        <v>Dec</v>
      </c>
      <c r="U1075">
        <f t="shared" si="82"/>
        <v>5</v>
      </c>
      <c r="V1075">
        <f t="shared" si="83"/>
        <v>7</v>
      </c>
      <c r="W1075" s="9">
        <f t="shared" si="84"/>
        <v>0.17406853848617487</v>
      </c>
    </row>
    <row r="1076" spans="1:23">
      <c r="A1076">
        <v>11075</v>
      </c>
      <c r="B1076" s="5">
        <v>45271</v>
      </c>
      <c r="C1076" s="5">
        <v>45274</v>
      </c>
      <c r="D1076" s="5">
        <v>45275</v>
      </c>
      <c r="E1076" t="s">
        <v>19</v>
      </c>
      <c r="F1076" t="s">
        <v>22</v>
      </c>
      <c r="G1076" t="s">
        <v>26</v>
      </c>
      <c r="H1076" t="s">
        <v>25</v>
      </c>
      <c r="I1076" t="s">
        <v>35</v>
      </c>
      <c r="J1076" t="s">
        <v>41</v>
      </c>
      <c r="K1076" t="s">
        <v>48</v>
      </c>
      <c r="L1076" t="s">
        <v>52</v>
      </c>
      <c r="M1076" s="7">
        <v>15434</v>
      </c>
      <c r="N1076">
        <v>0.26</v>
      </c>
      <c r="O1076" s="7">
        <v>14680</v>
      </c>
      <c r="P1076">
        <v>6</v>
      </c>
      <c r="Q1076" t="s">
        <v>56</v>
      </c>
      <c r="R1076" t="s">
        <v>59</v>
      </c>
      <c r="S1076">
        <f t="shared" si="80"/>
        <v>2023</v>
      </c>
      <c r="T1076" t="str">
        <f t="shared" si="81"/>
        <v>Dec</v>
      </c>
      <c r="U1076">
        <f t="shared" si="82"/>
        <v>3</v>
      </c>
      <c r="V1076">
        <f t="shared" si="83"/>
        <v>4</v>
      </c>
      <c r="W1076" s="9">
        <f t="shared" si="84"/>
        <v>0.95114681871193474</v>
      </c>
    </row>
    <row r="1077" spans="1:23">
      <c r="A1077">
        <v>11076</v>
      </c>
      <c r="B1077" s="5">
        <v>45272</v>
      </c>
      <c r="C1077" s="5">
        <v>45278</v>
      </c>
      <c r="D1077" s="5">
        <v>45283</v>
      </c>
      <c r="E1077" t="s">
        <v>18</v>
      </c>
      <c r="F1077" t="s">
        <v>22</v>
      </c>
      <c r="G1077" t="s">
        <v>26</v>
      </c>
      <c r="H1077" t="s">
        <v>32</v>
      </c>
      <c r="I1077" t="s">
        <v>34</v>
      </c>
      <c r="J1077" t="s">
        <v>39</v>
      </c>
      <c r="K1077" t="s">
        <v>45</v>
      </c>
      <c r="L1077" t="s">
        <v>53</v>
      </c>
      <c r="M1077" s="7">
        <v>51247</v>
      </c>
      <c r="N1077">
        <v>0.05</v>
      </c>
      <c r="O1077" s="7">
        <v>6018</v>
      </c>
      <c r="P1077">
        <v>18</v>
      </c>
      <c r="Q1077" t="s">
        <v>54</v>
      </c>
      <c r="R1077" t="s">
        <v>60</v>
      </c>
      <c r="S1077">
        <f t="shared" si="80"/>
        <v>2023</v>
      </c>
      <c r="T1077" t="str">
        <f t="shared" si="81"/>
        <v>Dec</v>
      </c>
      <c r="U1077">
        <f t="shared" si="82"/>
        <v>6</v>
      </c>
      <c r="V1077">
        <f t="shared" si="83"/>
        <v>11</v>
      </c>
      <c r="W1077" s="9">
        <f t="shared" si="84"/>
        <v>0.11743126426912795</v>
      </c>
    </row>
    <row r="1078" spans="1:23">
      <c r="A1078">
        <v>11077</v>
      </c>
      <c r="B1078" s="5">
        <v>45273</v>
      </c>
      <c r="C1078" s="5">
        <v>45279</v>
      </c>
      <c r="D1078" s="5">
        <v>45283</v>
      </c>
      <c r="E1078" t="s">
        <v>20</v>
      </c>
      <c r="F1078" t="s">
        <v>22</v>
      </c>
      <c r="G1078" t="s">
        <v>23</v>
      </c>
      <c r="H1078" t="s">
        <v>31</v>
      </c>
      <c r="I1078" t="s">
        <v>35</v>
      </c>
      <c r="J1078" t="s">
        <v>41</v>
      </c>
      <c r="K1078" t="s">
        <v>44</v>
      </c>
      <c r="L1078" t="s">
        <v>51</v>
      </c>
      <c r="M1078" s="7">
        <v>5160</v>
      </c>
      <c r="N1078">
        <v>0.12</v>
      </c>
      <c r="O1078" s="7">
        <v>10090</v>
      </c>
      <c r="P1078">
        <v>5</v>
      </c>
      <c r="Q1078" t="s">
        <v>56</v>
      </c>
      <c r="R1078" t="s">
        <v>62</v>
      </c>
      <c r="S1078">
        <f t="shared" si="80"/>
        <v>2023</v>
      </c>
      <c r="T1078" t="str">
        <f t="shared" si="81"/>
        <v>Dec</v>
      </c>
      <c r="U1078">
        <f t="shared" si="82"/>
        <v>6</v>
      </c>
      <c r="V1078">
        <f t="shared" si="83"/>
        <v>10</v>
      </c>
      <c r="W1078" s="9">
        <f t="shared" si="84"/>
        <v>1.9554263565891472</v>
      </c>
    </row>
    <row r="1079" spans="1:23">
      <c r="A1079">
        <v>11078</v>
      </c>
      <c r="B1079" s="5">
        <v>45274</v>
      </c>
      <c r="C1079" s="5">
        <v>45277</v>
      </c>
      <c r="D1079" s="5">
        <v>45280</v>
      </c>
      <c r="E1079" t="s">
        <v>19</v>
      </c>
      <c r="F1079" t="s">
        <v>22</v>
      </c>
      <c r="G1079" t="s">
        <v>23</v>
      </c>
      <c r="H1079" t="s">
        <v>32</v>
      </c>
      <c r="I1079" t="s">
        <v>36</v>
      </c>
      <c r="J1079" t="s">
        <v>38</v>
      </c>
      <c r="K1079" t="s">
        <v>50</v>
      </c>
      <c r="L1079" t="s">
        <v>51</v>
      </c>
      <c r="M1079" s="7">
        <v>4754</v>
      </c>
      <c r="N1079">
        <v>0.01</v>
      </c>
      <c r="O1079" s="7">
        <v>17837</v>
      </c>
      <c r="P1079">
        <v>8</v>
      </c>
      <c r="Q1079" t="s">
        <v>57</v>
      </c>
      <c r="R1079" t="s">
        <v>61</v>
      </c>
      <c r="S1079">
        <f t="shared" si="80"/>
        <v>2023</v>
      </c>
      <c r="T1079" t="str">
        <f t="shared" si="81"/>
        <v>Dec</v>
      </c>
      <c r="U1079">
        <f t="shared" si="82"/>
        <v>3</v>
      </c>
      <c r="V1079">
        <f t="shared" si="83"/>
        <v>6</v>
      </c>
      <c r="W1079" s="9">
        <f t="shared" si="84"/>
        <v>3.7519983172065627</v>
      </c>
    </row>
    <row r="1080" spans="1:23">
      <c r="A1080">
        <v>11079</v>
      </c>
      <c r="B1080" s="5">
        <v>45275</v>
      </c>
      <c r="C1080" s="5">
        <v>45278</v>
      </c>
      <c r="D1080" s="5">
        <v>45281</v>
      </c>
      <c r="E1080" t="s">
        <v>19</v>
      </c>
      <c r="F1080" t="s">
        <v>22</v>
      </c>
      <c r="G1080" t="s">
        <v>28</v>
      </c>
      <c r="H1080" t="s">
        <v>25</v>
      </c>
      <c r="I1080" t="s">
        <v>36</v>
      </c>
      <c r="J1080" t="s">
        <v>42</v>
      </c>
      <c r="K1080" t="s">
        <v>45</v>
      </c>
      <c r="L1080" t="s">
        <v>51</v>
      </c>
      <c r="M1080" s="7">
        <v>30070</v>
      </c>
      <c r="N1080">
        <v>0.09</v>
      </c>
      <c r="O1080" s="7">
        <v>17820</v>
      </c>
      <c r="P1080">
        <v>4</v>
      </c>
      <c r="Q1080" t="s">
        <v>58</v>
      </c>
      <c r="R1080" t="s">
        <v>60</v>
      </c>
      <c r="S1080">
        <f t="shared" si="80"/>
        <v>2023</v>
      </c>
      <c r="T1080" t="str">
        <f t="shared" si="81"/>
        <v>Dec</v>
      </c>
      <c r="U1080">
        <f t="shared" si="82"/>
        <v>3</v>
      </c>
      <c r="V1080">
        <f t="shared" si="83"/>
        <v>6</v>
      </c>
      <c r="W1080" s="9">
        <f t="shared" si="84"/>
        <v>0.59261722647156634</v>
      </c>
    </row>
    <row r="1081" spans="1:23">
      <c r="A1081">
        <v>11080</v>
      </c>
      <c r="B1081" s="5">
        <v>45276</v>
      </c>
      <c r="C1081" s="5">
        <v>45279</v>
      </c>
      <c r="D1081" s="5">
        <v>45283</v>
      </c>
      <c r="E1081" t="s">
        <v>19</v>
      </c>
      <c r="F1081" t="s">
        <v>22</v>
      </c>
      <c r="G1081" t="s">
        <v>25</v>
      </c>
      <c r="H1081" t="s">
        <v>33</v>
      </c>
      <c r="I1081" t="s">
        <v>36</v>
      </c>
      <c r="J1081" t="s">
        <v>42</v>
      </c>
      <c r="K1081" t="s">
        <v>47</v>
      </c>
      <c r="L1081" t="s">
        <v>51</v>
      </c>
      <c r="M1081" s="7">
        <v>38308</v>
      </c>
      <c r="N1081">
        <v>0.19</v>
      </c>
      <c r="O1081" s="7">
        <v>13991</v>
      </c>
      <c r="P1081">
        <v>18</v>
      </c>
      <c r="Q1081" t="s">
        <v>55</v>
      </c>
      <c r="R1081" t="s">
        <v>62</v>
      </c>
      <c r="S1081">
        <f t="shared" si="80"/>
        <v>2023</v>
      </c>
      <c r="T1081" t="str">
        <f t="shared" si="81"/>
        <v>Dec</v>
      </c>
      <c r="U1081">
        <f t="shared" si="82"/>
        <v>3</v>
      </c>
      <c r="V1081">
        <f t="shared" si="83"/>
        <v>7</v>
      </c>
      <c r="W1081" s="9">
        <f t="shared" si="84"/>
        <v>0.36522397410462565</v>
      </c>
    </row>
    <row r="1082" spans="1:23">
      <c r="A1082">
        <v>11081</v>
      </c>
      <c r="B1082" s="5">
        <v>45277</v>
      </c>
      <c r="C1082" s="5">
        <v>45282</v>
      </c>
      <c r="D1082" s="5">
        <v>45287</v>
      </c>
      <c r="E1082" t="s">
        <v>18</v>
      </c>
      <c r="F1082" t="s">
        <v>22</v>
      </c>
      <c r="G1082" t="s">
        <v>27</v>
      </c>
      <c r="H1082" t="s">
        <v>33</v>
      </c>
      <c r="I1082" t="s">
        <v>35</v>
      </c>
      <c r="J1082" t="s">
        <v>39</v>
      </c>
      <c r="K1082" t="s">
        <v>47</v>
      </c>
      <c r="L1082" t="s">
        <v>51</v>
      </c>
      <c r="M1082" s="7">
        <v>5289</v>
      </c>
      <c r="N1082">
        <v>0.25</v>
      </c>
      <c r="O1082" s="7">
        <v>6586</v>
      </c>
      <c r="P1082">
        <v>9</v>
      </c>
      <c r="Q1082" t="s">
        <v>57</v>
      </c>
      <c r="R1082" t="s">
        <v>61</v>
      </c>
      <c r="S1082">
        <f t="shared" si="80"/>
        <v>2023</v>
      </c>
      <c r="T1082" t="str">
        <f t="shared" si="81"/>
        <v>Dec</v>
      </c>
      <c r="U1082">
        <f t="shared" si="82"/>
        <v>5</v>
      </c>
      <c r="V1082">
        <f t="shared" si="83"/>
        <v>10</v>
      </c>
      <c r="W1082" s="9">
        <f t="shared" si="84"/>
        <v>1.2452259406314994</v>
      </c>
    </row>
    <row r="1083" spans="1:23">
      <c r="A1083">
        <v>11082</v>
      </c>
      <c r="B1083" s="5">
        <v>45278</v>
      </c>
      <c r="C1083" s="5">
        <v>45285</v>
      </c>
      <c r="D1083" s="5">
        <v>45288</v>
      </c>
      <c r="E1083" t="s">
        <v>19</v>
      </c>
      <c r="F1083" t="s">
        <v>22</v>
      </c>
      <c r="G1083" t="s">
        <v>24</v>
      </c>
      <c r="H1083" t="s">
        <v>33</v>
      </c>
      <c r="I1083" t="s">
        <v>36</v>
      </c>
      <c r="J1083" t="s">
        <v>40</v>
      </c>
      <c r="K1083" t="s">
        <v>49</v>
      </c>
      <c r="L1083" t="s">
        <v>52</v>
      </c>
      <c r="M1083" s="7">
        <v>37378</v>
      </c>
      <c r="N1083">
        <v>0.1</v>
      </c>
      <c r="O1083" s="7">
        <v>14310</v>
      </c>
      <c r="P1083">
        <v>19</v>
      </c>
      <c r="Q1083" t="s">
        <v>55</v>
      </c>
      <c r="R1083" t="s">
        <v>60</v>
      </c>
      <c r="S1083">
        <f t="shared" si="80"/>
        <v>2023</v>
      </c>
      <c r="T1083" t="str">
        <f t="shared" si="81"/>
        <v>Dec</v>
      </c>
      <c r="U1083">
        <f t="shared" si="82"/>
        <v>7</v>
      </c>
      <c r="V1083">
        <f t="shared" si="83"/>
        <v>10</v>
      </c>
      <c r="W1083" s="9">
        <f t="shared" si="84"/>
        <v>0.38284552410508854</v>
      </c>
    </row>
    <row r="1084" spans="1:23">
      <c r="A1084">
        <v>11083</v>
      </c>
      <c r="B1084" s="5">
        <v>45279</v>
      </c>
      <c r="C1084" s="5">
        <v>45283</v>
      </c>
      <c r="D1084" s="5">
        <v>45285</v>
      </c>
      <c r="E1084" t="s">
        <v>21</v>
      </c>
      <c r="F1084" t="s">
        <v>22</v>
      </c>
      <c r="G1084" t="s">
        <v>27</v>
      </c>
      <c r="H1084" t="s">
        <v>32</v>
      </c>
      <c r="I1084" t="s">
        <v>35</v>
      </c>
      <c r="J1084" t="s">
        <v>41</v>
      </c>
      <c r="K1084" t="s">
        <v>44</v>
      </c>
      <c r="L1084" t="s">
        <v>53</v>
      </c>
      <c r="M1084" s="7">
        <v>15923</v>
      </c>
      <c r="N1084">
        <v>0.03</v>
      </c>
      <c r="O1084" s="7">
        <v>14402</v>
      </c>
      <c r="P1084">
        <v>12</v>
      </c>
      <c r="Q1084" t="s">
        <v>57</v>
      </c>
      <c r="R1084" t="s">
        <v>60</v>
      </c>
      <c r="S1084">
        <f t="shared" si="80"/>
        <v>2023</v>
      </c>
      <c r="T1084" t="str">
        <f t="shared" si="81"/>
        <v>Dec</v>
      </c>
      <c r="U1084">
        <f t="shared" si="82"/>
        <v>4</v>
      </c>
      <c r="V1084">
        <f t="shared" si="83"/>
        <v>6</v>
      </c>
      <c r="W1084" s="9">
        <f t="shared" si="84"/>
        <v>0.904477799409659</v>
      </c>
    </row>
    <row r="1085" spans="1:23">
      <c r="A1085">
        <v>11084</v>
      </c>
      <c r="B1085" s="5">
        <v>45280</v>
      </c>
      <c r="C1085" s="5">
        <v>45286</v>
      </c>
      <c r="D1085" s="5">
        <v>45289</v>
      </c>
      <c r="E1085" t="s">
        <v>20</v>
      </c>
      <c r="F1085" t="s">
        <v>22</v>
      </c>
      <c r="G1085" t="s">
        <v>24</v>
      </c>
      <c r="H1085" t="s">
        <v>31</v>
      </c>
      <c r="I1085" t="s">
        <v>36</v>
      </c>
      <c r="J1085" t="s">
        <v>40</v>
      </c>
      <c r="K1085" t="s">
        <v>46</v>
      </c>
      <c r="L1085" t="s">
        <v>52</v>
      </c>
      <c r="M1085" s="7">
        <v>15751</v>
      </c>
      <c r="N1085">
        <v>0.38</v>
      </c>
      <c r="O1085" s="7">
        <v>5957</v>
      </c>
      <c r="P1085">
        <v>11</v>
      </c>
      <c r="Q1085" t="s">
        <v>57</v>
      </c>
      <c r="R1085" t="s">
        <v>60</v>
      </c>
      <c r="S1085">
        <f t="shared" si="80"/>
        <v>2023</v>
      </c>
      <c r="T1085" t="str">
        <f t="shared" si="81"/>
        <v>Dec</v>
      </c>
      <c r="U1085">
        <f t="shared" si="82"/>
        <v>6</v>
      </c>
      <c r="V1085">
        <f t="shared" si="83"/>
        <v>9</v>
      </c>
      <c r="W1085" s="9">
        <f t="shared" si="84"/>
        <v>0.37819820963748335</v>
      </c>
    </row>
    <row r="1086" spans="1:23">
      <c r="A1086">
        <v>11085</v>
      </c>
      <c r="B1086" s="5">
        <v>45281</v>
      </c>
      <c r="C1086" s="5">
        <v>45284</v>
      </c>
      <c r="D1086" s="5">
        <v>45287</v>
      </c>
      <c r="E1086" t="s">
        <v>21</v>
      </c>
      <c r="F1086" t="s">
        <v>22</v>
      </c>
      <c r="G1086" t="s">
        <v>23</v>
      </c>
      <c r="H1086" t="s">
        <v>33</v>
      </c>
      <c r="I1086" t="s">
        <v>35</v>
      </c>
      <c r="J1086" t="s">
        <v>43</v>
      </c>
      <c r="K1086" t="s">
        <v>44</v>
      </c>
      <c r="L1086" t="s">
        <v>51</v>
      </c>
      <c r="M1086" s="7">
        <v>34578</v>
      </c>
      <c r="N1086">
        <v>0.28000000000000003</v>
      </c>
      <c r="O1086" s="7">
        <v>9450</v>
      </c>
      <c r="P1086">
        <v>2</v>
      </c>
      <c r="Q1086" t="s">
        <v>55</v>
      </c>
      <c r="R1086" t="s">
        <v>59</v>
      </c>
      <c r="S1086">
        <f t="shared" si="80"/>
        <v>2023</v>
      </c>
      <c r="T1086" t="str">
        <f t="shared" si="81"/>
        <v>Dec</v>
      </c>
      <c r="U1086">
        <f t="shared" si="82"/>
        <v>3</v>
      </c>
      <c r="V1086">
        <f t="shared" si="83"/>
        <v>6</v>
      </c>
      <c r="W1086" s="9">
        <f t="shared" si="84"/>
        <v>0.2732951587714732</v>
      </c>
    </row>
    <row r="1087" spans="1:23">
      <c r="A1087">
        <v>11086</v>
      </c>
      <c r="B1087" s="5">
        <v>45282</v>
      </c>
      <c r="C1087" s="5">
        <v>45287</v>
      </c>
      <c r="D1087" s="5">
        <v>45289</v>
      </c>
      <c r="E1087" t="s">
        <v>18</v>
      </c>
      <c r="F1087" t="s">
        <v>22</v>
      </c>
      <c r="G1087" t="s">
        <v>28</v>
      </c>
      <c r="H1087" t="s">
        <v>31</v>
      </c>
      <c r="I1087" t="s">
        <v>34</v>
      </c>
      <c r="J1087" t="s">
        <v>38</v>
      </c>
      <c r="K1087" t="s">
        <v>48</v>
      </c>
      <c r="L1087" t="s">
        <v>53</v>
      </c>
      <c r="M1087" s="7">
        <v>39766</v>
      </c>
      <c r="N1087">
        <v>0.25</v>
      </c>
      <c r="O1087" s="7">
        <v>11157</v>
      </c>
      <c r="P1087">
        <v>18</v>
      </c>
      <c r="Q1087" t="s">
        <v>55</v>
      </c>
      <c r="R1087" t="s">
        <v>62</v>
      </c>
      <c r="S1087">
        <f t="shared" si="80"/>
        <v>2023</v>
      </c>
      <c r="T1087" t="str">
        <f t="shared" si="81"/>
        <v>Dec</v>
      </c>
      <c r="U1087">
        <f t="shared" si="82"/>
        <v>5</v>
      </c>
      <c r="V1087">
        <f t="shared" si="83"/>
        <v>7</v>
      </c>
      <c r="W1087" s="9">
        <f t="shared" si="84"/>
        <v>0.28056631293064427</v>
      </c>
    </row>
    <row r="1088" spans="1:23">
      <c r="A1088">
        <v>11087</v>
      </c>
      <c r="B1088" s="5">
        <v>45283</v>
      </c>
      <c r="C1088" s="5">
        <v>45285</v>
      </c>
      <c r="D1088" s="5">
        <v>45286</v>
      </c>
      <c r="E1088" t="s">
        <v>21</v>
      </c>
      <c r="F1088" t="s">
        <v>22</v>
      </c>
      <c r="G1088" t="s">
        <v>28</v>
      </c>
      <c r="H1088" t="s">
        <v>29</v>
      </c>
      <c r="I1088" t="s">
        <v>34</v>
      </c>
      <c r="J1088" t="s">
        <v>42</v>
      </c>
      <c r="K1088" t="s">
        <v>47</v>
      </c>
      <c r="L1088" t="s">
        <v>53</v>
      </c>
      <c r="M1088" s="7">
        <v>30571</v>
      </c>
      <c r="N1088">
        <v>0.16</v>
      </c>
      <c r="O1088" s="7">
        <v>742</v>
      </c>
      <c r="P1088">
        <v>15</v>
      </c>
      <c r="Q1088" t="s">
        <v>58</v>
      </c>
      <c r="R1088" t="s">
        <v>62</v>
      </c>
      <c r="S1088">
        <f t="shared" si="80"/>
        <v>2023</v>
      </c>
      <c r="T1088" t="str">
        <f t="shared" si="81"/>
        <v>Dec</v>
      </c>
      <c r="U1088">
        <f t="shared" si="82"/>
        <v>2</v>
      </c>
      <c r="V1088">
        <f t="shared" si="83"/>
        <v>3</v>
      </c>
      <c r="W1088" s="9">
        <f t="shared" si="84"/>
        <v>2.4271368290209677E-2</v>
      </c>
    </row>
    <row r="1089" spans="1:23">
      <c r="A1089">
        <v>11088</v>
      </c>
      <c r="B1089" s="5">
        <v>45284</v>
      </c>
      <c r="C1089" s="5">
        <v>45288</v>
      </c>
      <c r="D1089" s="5">
        <v>45290</v>
      </c>
      <c r="E1089" t="s">
        <v>18</v>
      </c>
      <c r="F1089" t="s">
        <v>22</v>
      </c>
      <c r="G1089" t="s">
        <v>24</v>
      </c>
      <c r="H1089" t="s">
        <v>31</v>
      </c>
      <c r="I1089" t="s">
        <v>36</v>
      </c>
      <c r="J1089" t="s">
        <v>39</v>
      </c>
      <c r="K1089" t="s">
        <v>44</v>
      </c>
      <c r="L1089" t="s">
        <v>53</v>
      </c>
      <c r="M1089" s="7">
        <v>1726</v>
      </c>
      <c r="N1089">
        <v>0.08</v>
      </c>
      <c r="O1089" s="7">
        <v>6824</v>
      </c>
      <c r="P1089">
        <v>15</v>
      </c>
      <c r="Q1089" t="s">
        <v>57</v>
      </c>
      <c r="R1089" t="s">
        <v>61</v>
      </c>
      <c r="S1089">
        <f t="shared" si="80"/>
        <v>2023</v>
      </c>
      <c r="T1089" t="str">
        <f t="shared" si="81"/>
        <v>Dec</v>
      </c>
      <c r="U1089">
        <f t="shared" si="82"/>
        <v>4</v>
      </c>
      <c r="V1089">
        <f t="shared" si="83"/>
        <v>6</v>
      </c>
      <c r="W1089" s="9">
        <f t="shared" si="84"/>
        <v>3.9536500579374274</v>
      </c>
    </row>
    <row r="1090" spans="1:23">
      <c r="A1090">
        <v>11089</v>
      </c>
      <c r="B1090" s="5">
        <v>45285</v>
      </c>
      <c r="C1090" s="5">
        <v>45291</v>
      </c>
      <c r="D1090" s="5">
        <v>45292</v>
      </c>
      <c r="E1090" t="s">
        <v>18</v>
      </c>
      <c r="F1090" t="s">
        <v>22</v>
      </c>
      <c r="G1090" t="s">
        <v>28</v>
      </c>
      <c r="H1090" t="s">
        <v>33</v>
      </c>
      <c r="I1090" t="s">
        <v>35</v>
      </c>
      <c r="J1090" t="s">
        <v>39</v>
      </c>
      <c r="K1090" t="s">
        <v>50</v>
      </c>
      <c r="L1090" t="s">
        <v>52</v>
      </c>
      <c r="M1090" s="7">
        <v>54576</v>
      </c>
      <c r="N1090">
        <v>0.11</v>
      </c>
      <c r="O1090" s="7">
        <v>14062</v>
      </c>
      <c r="P1090">
        <v>7</v>
      </c>
      <c r="Q1090" t="s">
        <v>54</v>
      </c>
      <c r="R1090" t="s">
        <v>59</v>
      </c>
      <c r="S1090">
        <f t="shared" si="80"/>
        <v>2023</v>
      </c>
      <c r="T1090" t="str">
        <f t="shared" si="81"/>
        <v>Dec</v>
      </c>
      <c r="U1090">
        <f t="shared" si="82"/>
        <v>6</v>
      </c>
      <c r="V1090">
        <f t="shared" si="83"/>
        <v>7</v>
      </c>
      <c r="W1090" s="9">
        <f t="shared" si="84"/>
        <v>0.25765904426854297</v>
      </c>
    </row>
    <row r="1091" spans="1:23">
      <c r="A1091">
        <v>11090</v>
      </c>
      <c r="B1091" s="5">
        <v>45286</v>
      </c>
      <c r="C1091" s="5">
        <v>45290</v>
      </c>
      <c r="D1091" s="5">
        <v>45293</v>
      </c>
      <c r="E1091" t="s">
        <v>20</v>
      </c>
      <c r="F1091" t="s">
        <v>22</v>
      </c>
      <c r="G1091" t="s">
        <v>23</v>
      </c>
      <c r="H1091" t="s">
        <v>25</v>
      </c>
      <c r="I1091" t="s">
        <v>34</v>
      </c>
      <c r="J1091" t="s">
        <v>37</v>
      </c>
      <c r="K1091" t="s">
        <v>47</v>
      </c>
      <c r="L1091" t="s">
        <v>51</v>
      </c>
      <c r="M1091" s="7">
        <v>28396</v>
      </c>
      <c r="N1091">
        <v>0.18</v>
      </c>
      <c r="O1091" s="7">
        <v>11309</v>
      </c>
      <c r="P1091">
        <v>21</v>
      </c>
      <c r="Q1091" t="s">
        <v>57</v>
      </c>
      <c r="R1091" t="s">
        <v>61</v>
      </c>
      <c r="S1091">
        <f t="shared" ref="S1091:S1154" si="85">YEAR(B1091)</f>
        <v>2023</v>
      </c>
      <c r="T1091" t="str">
        <f t="shared" ref="T1091:T1154" si="86">TEXT(B1091,"mmm")</f>
        <v>Dec</v>
      </c>
      <c r="U1091">
        <f t="shared" ref="U1091:U1154" si="87">C1091-B1091</f>
        <v>4</v>
      </c>
      <c r="V1091">
        <f t="shared" ref="V1091:V1154" si="88">D1091-B1091</f>
        <v>7</v>
      </c>
      <c r="W1091" s="9">
        <f t="shared" ref="W1091:W1154" si="89">IFERROR(O1091/M1091,0)</f>
        <v>0.39826031835469783</v>
      </c>
    </row>
    <row r="1092" spans="1:23">
      <c r="A1092">
        <v>11091</v>
      </c>
      <c r="B1092" s="5">
        <v>45287</v>
      </c>
      <c r="C1092" s="5">
        <v>45289</v>
      </c>
      <c r="D1092" s="5">
        <v>45293</v>
      </c>
      <c r="E1092" t="s">
        <v>19</v>
      </c>
      <c r="F1092" t="s">
        <v>22</v>
      </c>
      <c r="G1092" t="s">
        <v>27</v>
      </c>
      <c r="H1092" t="s">
        <v>31</v>
      </c>
      <c r="I1092" t="s">
        <v>34</v>
      </c>
      <c r="J1092" t="s">
        <v>41</v>
      </c>
      <c r="K1092" t="s">
        <v>50</v>
      </c>
      <c r="L1092" t="s">
        <v>52</v>
      </c>
      <c r="M1092" s="7">
        <v>23221</v>
      </c>
      <c r="N1092">
        <v>0.36</v>
      </c>
      <c r="O1092" s="7">
        <v>8399</v>
      </c>
      <c r="P1092">
        <v>9</v>
      </c>
      <c r="Q1092" t="s">
        <v>58</v>
      </c>
      <c r="R1092" t="s">
        <v>62</v>
      </c>
      <c r="S1092">
        <f t="shared" si="85"/>
        <v>2023</v>
      </c>
      <c r="T1092" t="str">
        <f t="shared" si="86"/>
        <v>Dec</v>
      </c>
      <c r="U1092">
        <f t="shared" si="87"/>
        <v>2</v>
      </c>
      <c r="V1092">
        <f t="shared" si="88"/>
        <v>6</v>
      </c>
      <c r="W1092" s="9">
        <f t="shared" si="89"/>
        <v>0.36169846259850996</v>
      </c>
    </row>
    <row r="1093" spans="1:23">
      <c r="A1093">
        <v>11092</v>
      </c>
      <c r="B1093" s="5">
        <v>45288</v>
      </c>
      <c r="C1093" s="5">
        <v>45290</v>
      </c>
      <c r="D1093" s="5">
        <v>45291</v>
      </c>
      <c r="E1093" t="s">
        <v>21</v>
      </c>
      <c r="F1093" t="s">
        <v>22</v>
      </c>
      <c r="G1093" t="s">
        <v>28</v>
      </c>
      <c r="H1093" t="s">
        <v>32</v>
      </c>
      <c r="I1093" t="s">
        <v>35</v>
      </c>
      <c r="J1093" t="s">
        <v>39</v>
      </c>
      <c r="K1093" t="s">
        <v>45</v>
      </c>
      <c r="L1093" t="s">
        <v>51</v>
      </c>
      <c r="M1093" s="7">
        <v>28173</v>
      </c>
      <c r="N1093">
        <v>0.31</v>
      </c>
      <c r="O1093" s="7">
        <v>3401</v>
      </c>
      <c r="P1093">
        <v>11</v>
      </c>
      <c r="Q1093" t="s">
        <v>56</v>
      </c>
      <c r="R1093" t="s">
        <v>61</v>
      </c>
      <c r="S1093">
        <f t="shared" si="85"/>
        <v>2023</v>
      </c>
      <c r="T1093" t="str">
        <f t="shared" si="86"/>
        <v>Dec</v>
      </c>
      <c r="U1093">
        <f t="shared" si="87"/>
        <v>2</v>
      </c>
      <c r="V1093">
        <f t="shared" si="88"/>
        <v>3</v>
      </c>
      <c r="W1093" s="9">
        <f t="shared" si="89"/>
        <v>0.12071841834380435</v>
      </c>
    </row>
    <row r="1094" spans="1:23">
      <c r="A1094">
        <v>11093</v>
      </c>
      <c r="B1094" s="5">
        <v>45289</v>
      </c>
      <c r="C1094" s="5">
        <v>45292</v>
      </c>
      <c r="D1094" s="5">
        <v>45294</v>
      </c>
      <c r="E1094" t="s">
        <v>21</v>
      </c>
      <c r="F1094" t="s">
        <v>22</v>
      </c>
      <c r="G1094" t="s">
        <v>24</v>
      </c>
      <c r="H1094" t="s">
        <v>29</v>
      </c>
      <c r="I1094" t="s">
        <v>35</v>
      </c>
      <c r="J1094" t="s">
        <v>37</v>
      </c>
      <c r="K1094" t="s">
        <v>44</v>
      </c>
      <c r="L1094" t="s">
        <v>53</v>
      </c>
      <c r="M1094" s="7">
        <v>55606</v>
      </c>
      <c r="N1094">
        <v>0.36</v>
      </c>
      <c r="O1094" s="7">
        <v>16777</v>
      </c>
      <c r="P1094">
        <v>5</v>
      </c>
      <c r="Q1094" t="s">
        <v>54</v>
      </c>
      <c r="R1094" t="s">
        <v>61</v>
      </c>
      <c r="S1094">
        <f t="shared" si="85"/>
        <v>2023</v>
      </c>
      <c r="T1094" t="str">
        <f t="shared" si="86"/>
        <v>Dec</v>
      </c>
      <c r="U1094">
        <f t="shared" si="87"/>
        <v>3</v>
      </c>
      <c r="V1094">
        <f t="shared" si="88"/>
        <v>5</v>
      </c>
      <c r="W1094" s="9">
        <f t="shared" si="89"/>
        <v>0.30171204546271985</v>
      </c>
    </row>
    <row r="1095" spans="1:23">
      <c r="A1095">
        <v>11094</v>
      </c>
      <c r="B1095" s="5">
        <v>45290</v>
      </c>
      <c r="C1095" s="5">
        <v>45292</v>
      </c>
      <c r="D1095" s="5">
        <v>45296</v>
      </c>
      <c r="E1095" t="s">
        <v>20</v>
      </c>
      <c r="F1095" t="s">
        <v>22</v>
      </c>
      <c r="G1095" t="s">
        <v>28</v>
      </c>
      <c r="H1095" t="s">
        <v>29</v>
      </c>
      <c r="I1095" t="s">
        <v>36</v>
      </c>
      <c r="J1095" t="s">
        <v>42</v>
      </c>
      <c r="K1095" t="s">
        <v>47</v>
      </c>
      <c r="L1095" t="s">
        <v>53</v>
      </c>
      <c r="M1095" s="7">
        <v>73838</v>
      </c>
      <c r="N1095">
        <v>0.03</v>
      </c>
      <c r="O1095" s="7">
        <v>11909</v>
      </c>
      <c r="P1095">
        <v>7</v>
      </c>
      <c r="Q1095" t="s">
        <v>56</v>
      </c>
      <c r="R1095" t="s">
        <v>62</v>
      </c>
      <c r="S1095">
        <f t="shared" si="85"/>
        <v>2023</v>
      </c>
      <c r="T1095" t="str">
        <f t="shared" si="86"/>
        <v>Dec</v>
      </c>
      <c r="U1095">
        <f t="shared" si="87"/>
        <v>2</v>
      </c>
      <c r="V1095">
        <f t="shared" si="88"/>
        <v>6</v>
      </c>
      <c r="W1095" s="9">
        <f t="shared" si="89"/>
        <v>0.16128551694249574</v>
      </c>
    </row>
    <row r="1096" spans="1:23">
      <c r="A1096">
        <v>11095</v>
      </c>
      <c r="B1096" s="5">
        <v>45291</v>
      </c>
      <c r="C1096" s="5">
        <v>45298</v>
      </c>
      <c r="D1096" s="5">
        <v>45300</v>
      </c>
      <c r="E1096" t="s">
        <v>19</v>
      </c>
      <c r="F1096" t="s">
        <v>22</v>
      </c>
      <c r="G1096" t="s">
        <v>23</v>
      </c>
      <c r="H1096" t="s">
        <v>30</v>
      </c>
      <c r="I1096" t="s">
        <v>34</v>
      </c>
      <c r="J1096" t="s">
        <v>38</v>
      </c>
      <c r="K1096" t="s">
        <v>48</v>
      </c>
      <c r="L1096" t="s">
        <v>52</v>
      </c>
      <c r="M1096" s="7">
        <v>68049</v>
      </c>
      <c r="N1096">
        <v>0.36</v>
      </c>
      <c r="O1096" s="7">
        <v>14533</v>
      </c>
      <c r="P1096">
        <v>13</v>
      </c>
      <c r="Q1096" t="s">
        <v>56</v>
      </c>
      <c r="R1096" t="s">
        <v>61</v>
      </c>
      <c r="S1096">
        <f t="shared" si="85"/>
        <v>2023</v>
      </c>
      <c r="T1096" t="str">
        <f t="shared" si="86"/>
        <v>Dec</v>
      </c>
      <c r="U1096">
        <f t="shared" si="87"/>
        <v>7</v>
      </c>
      <c r="V1096">
        <f t="shared" si="88"/>
        <v>9</v>
      </c>
      <c r="W1096" s="9">
        <f t="shared" si="89"/>
        <v>0.21356669458772357</v>
      </c>
    </row>
    <row r="1097" spans="1:23">
      <c r="A1097">
        <v>11096</v>
      </c>
      <c r="B1097" s="5">
        <v>45292</v>
      </c>
      <c r="C1097" s="5">
        <v>45298</v>
      </c>
      <c r="D1097" s="5">
        <v>45302</v>
      </c>
      <c r="E1097" t="s">
        <v>20</v>
      </c>
      <c r="F1097" t="s">
        <v>22</v>
      </c>
      <c r="G1097" t="s">
        <v>27</v>
      </c>
      <c r="H1097" t="s">
        <v>30</v>
      </c>
      <c r="I1097" t="s">
        <v>34</v>
      </c>
      <c r="J1097" t="s">
        <v>43</v>
      </c>
      <c r="K1097" t="s">
        <v>50</v>
      </c>
      <c r="L1097" t="s">
        <v>51</v>
      </c>
      <c r="M1097" s="7">
        <v>7506</v>
      </c>
      <c r="N1097">
        <v>0.24</v>
      </c>
      <c r="O1097" s="7">
        <v>5051</v>
      </c>
      <c r="P1097">
        <v>21</v>
      </c>
      <c r="Q1097" t="s">
        <v>56</v>
      </c>
      <c r="R1097" t="s">
        <v>60</v>
      </c>
      <c r="S1097">
        <f t="shared" si="85"/>
        <v>2024</v>
      </c>
      <c r="T1097" t="str">
        <f t="shared" si="86"/>
        <v>Jan</v>
      </c>
      <c r="U1097">
        <f t="shared" si="87"/>
        <v>6</v>
      </c>
      <c r="V1097">
        <f t="shared" si="88"/>
        <v>10</v>
      </c>
      <c r="W1097" s="9">
        <f t="shared" si="89"/>
        <v>0.67292832400746072</v>
      </c>
    </row>
    <row r="1098" spans="1:23">
      <c r="A1098">
        <v>11097</v>
      </c>
      <c r="B1098" s="5">
        <v>45293</v>
      </c>
      <c r="C1098" s="5">
        <v>45297</v>
      </c>
      <c r="D1098" s="5">
        <v>45300</v>
      </c>
      <c r="E1098" t="s">
        <v>21</v>
      </c>
      <c r="F1098" t="s">
        <v>22</v>
      </c>
      <c r="G1098" t="s">
        <v>25</v>
      </c>
      <c r="H1098" t="s">
        <v>25</v>
      </c>
      <c r="I1098" t="s">
        <v>34</v>
      </c>
      <c r="J1098" t="s">
        <v>41</v>
      </c>
      <c r="K1098" t="s">
        <v>48</v>
      </c>
      <c r="L1098" t="s">
        <v>51</v>
      </c>
      <c r="M1098" s="7">
        <v>5593</v>
      </c>
      <c r="N1098">
        <v>0.13</v>
      </c>
      <c r="O1098" s="7">
        <v>-650</v>
      </c>
      <c r="P1098">
        <v>12</v>
      </c>
      <c r="Q1098" t="s">
        <v>56</v>
      </c>
      <c r="R1098" t="s">
        <v>60</v>
      </c>
      <c r="S1098">
        <f t="shared" si="85"/>
        <v>2024</v>
      </c>
      <c r="T1098" t="str">
        <f t="shared" si="86"/>
        <v>Jan</v>
      </c>
      <c r="U1098">
        <f t="shared" si="87"/>
        <v>4</v>
      </c>
      <c r="V1098">
        <f t="shared" si="88"/>
        <v>7</v>
      </c>
      <c r="W1098" s="9">
        <f t="shared" si="89"/>
        <v>-0.11621669944573575</v>
      </c>
    </row>
    <row r="1099" spans="1:23">
      <c r="A1099">
        <v>11098</v>
      </c>
      <c r="B1099" s="5">
        <v>45294</v>
      </c>
      <c r="C1099" s="5">
        <v>45299</v>
      </c>
      <c r="D1099" s="5">
        <v>45304</v>
      </c>
      <c r="E1099" t="s">
        <v>21</v>
      </c>
      <c r="F1099" t="s">
        <v>22</v>
      </c>
      <c r="G1099" t="s">
        <v>24</v>
      </c>
      <c r="H1099" t="s">
        <v>32</v>
      </c>
      <c r="I1099" t="s">
        <v>34</v>
      </c>
      <c r="J1099" t="s">
        <v>42</v>
      </c>
      <c r="K1099" t="s">
        <v>45</v>
      </c>
      <c r="L1099" t="s">
        <v>51</v>
      </c>
      <c r="M1099" s="7">
        <v>63120</v>
      </c>
      <c r="N1099">
        <v>0.08</v>
      </c>
      <c r="O1099" s="7">
        <v>18779</v>
      </c>
      <c r="P1099">
        <v>15</v>
      </c>
      <c r="Q1099" t="s">
        <v>55</v>
      </c>
      <c r="R1099" t="s">
        <v>59</v>
      </c>
      <c r="S1099">
        <f t="shared" si="85"/>
        <v>2024</v>
      </c>
      <c r="T1099" t="str">
        <f t="shared" si="86"/>
        <v>Jan</v>
      </c>
      <c r="U1099">
        <f t="shared" si="87"/>
        <v>5</v>
      </c>
      <c r="V1099">
        <f t="shared" si="88"/>
        <v>10</v>
      </c>
      <c r="W1099" s="9">
        <f t="shared" si="89"/>
        <v>0.2975126742712294</v>
      </c>
    </row>
    <row r="1100" spans="1:23">
      <c r="A1100">
        <v>11099</v>
      </c>
      <c r="B1100" s="5">
        <v>45295</v>
      </c>
      <c r="C1100" s="5">
        <v>45302</v>
      </c>
      <c r="D1100" s="5">
        <v>45306</v>
      </c>
      <c r="E1100" t="s">
        <v>21</v>
      </c>
      <c r="F1100" t="s">
        <v>22</v>
      </c>
      <c r="G1100" t="s">
        <v>25</v>
      </c>
      <c r="H1100" t="s">
        <v>31</v>
      </c>
      <c r="I1100" t="s">
        <v>34</v>
      </c>
      <c r="J1100" t="s">
        <v>37</v>
      </c>
      <c r="K1100" t="s">
        <v>45</v>
      </c>
      <c r="L1100" t="s">
        <v>52</v>
      </c>
      <c r="M1100" s="7">
        <v>24807</v>
      </c>
      <c r="N1100">
        <v>0.35</v>
      </c>
      <c r="O1100" s="7">
        <v>11104</v>
      </c>
      <c r="P1100">
        <v>21</v>
      </c>
      <c r="Q1100" t="s">
        <v>58</v>
      </c>
      <c r="R1100" t="s">
        <v>62</v>
      </c>
      <c r="S1100">
        <f t="shared" si="85"/>
        <v>2024</v>
      </c>
      <c r="T1100" t="str">
        <f t="shared" si="86"/>
        <v>Jan</v>
      </c>
      <c r="U1100">
        <f t="shared" si="87"/>
        <v>7</v>
      </c>
      <c r="V1100">
        <f t="shared" si="88"/>
        <v>11</v>
      </c>
      <c r="W1100" s="9">
        <f t="shared" si="89"/>
        <v>0.44761559237312049</v>
      </c>
    </row>
    <row r="1101" spans="1:23">
      <c r="A1101">
        <v>11100</v>
      </c>
      <c r="B1101" s="5">
        <v>45296</v>
      </c>
      <c r="C1101" s="5">
        <v>45302</v>
      </c>
      <c r="D1101" s="5">
        <v>45306</v>
      </c>
      <c r="E1101" t="s">
        <v>18</v>
      </c>
      <c r="F1101" t="s">
        <v>22</v>
      </c>
      <c r="G1101" t="s">
        <v>26</v>
      </c>
      <c r="H1101" t="s">
        <v>29</v>
      </c>
      <c r="I1101" t="s">
        <v>34</v>
      </c>
      <c r="J1101" t="s">
        <v>42</v>
      </c>
      <c r="K1101" t="s">
        <v>49</v>
      </c>
      <c r="L1101" t="s">
        <v>51</v>
      </c>
      <c r="M1101" s="7">
        <v>9724</v>
      </c>
      <c r="N1101">
        <v>0.09</v>
      </c>
      <c r="O1101" s="7">
        <v>5561</v>
      </c>
      <c r="P1101">
        <v>18</v>
      </c>
      <c r="Q1101" t="s">
        <v>56</v>
      </c>
      <c r="R1101" t="s">
        <v>60</v>
      </c>
      <c r="S1101">
        <f t="shared" si="85"/>
        <v>2024</v>
      </c>
      <c r="T1101" t="str">
        <f t="shared" si="86"/>
        <v>Jan</v>
      </c>
      <c r="U1101">
        <f t="shared" si="87"/>
        <v>6</v>
      </c>
      <c r="V1101">
        <f t="shared" si="88"/>
        <v>10</v>
      </c>
      <c r="W1101" s="9">
        <f t="shared" si="89"/>
        <v>0.57188399835458659</v>
      </c>
    </row>
    <row r="1102" spans="1:23">
      <c r="A1102">
        <v>11101</v>
      </c>
      <c r="B1102" s="5">
        <v>45297</v>
      </c>
      <c r="C1102" s="5">
        <v>45302</v>
      </c>
      <c r="D1102" s="5">
        <v>45305</v>
      </c>
      <c r="E1102" t="s">
        <v>21</v>
      </c>
      <c r="F1102" t="s">
        <v>22</v>
      </c>
      <c r="G1102" t="s">
        <v>27</v>
      </c>
      <c r="H1102" t="s">
        <v>32</v>
      </c>
      <c r="I1102" t="s">
        <v>34</v>
      </c>
      <c r="J1102" t="s">
        <v>39</v>
      </c>
      <c r="K1102" t="s">
        <v>50</v>
      </c>
      <c r="L1102" t="s">
        <v>51</v>
      </c>
      <c r="M1102" s="7">
        <v>623</v>
      </c>
      <c r="N1102">
        <v>0.11</v>
      </c>
      <c r="O1102" s="7">
        <v>7537</v>
      </c>
      <c r="P1102">
        <v>6</v>
      </c>
      <c r="Q1102" t="s">
        <v>57</v>
      </c>
      <c r="R1102" t="s">
        <v>61</v>
      </c>
      <c r="S1102">
        <f t="shared" si="85"/>
        <v>2024</v>
      </c>
      <c r="T1102" t="str">
        <f t="shared" si="86"/>
        <v>Jan</v>
      </c>
      <c r="U1102">
        <f t="shared" si="87"/>
        <v>5</v>
      </c>
      <c r="V1102">
        <f t="shared" si="88"/>
        <v>8</v>
      </c>
      <c r="W1102" s="9">
        <f t="shared" si="89"/>
        <v>12.097913322632424</v>
      </c>
    </row>
    <row r="1103" spans="1:23">
      <c r="A1103">
        <v>11102</v>
      </c>
      <c r="B1103" s="5">
        <v>45298</v>
      </c>
      <c r="C1103" s="5">
        <v>45305</v>
      </c>
      <c r="D1103" s="5">
        <v>45308</v>
      </c>
      <c r="E1103" t="s">
        <v>20</v>
      </c>
      <c r="F1103" t="s">
        <v>22</v>
      </c>
      <c r="G1103" t="s">
        <v>28</v>
      </c>
      <c r="H1103" t="s">
        <v>33</v>
      </c>
      <c r="I1103" t="s">
        <v>36</v>
      </c>
      <c r="J1103" t="s">
        <v>41</v>
      </c>
      <c r="K1103" t="s">
        <v>46</v>
      </c>
      <c r="L1103" t="s">
        <v>53</v>
      </c>
      <c r="M1103" s="7">
        <v>13732</v>
      </c>
      <c r="N1103">
        <v>0.3</v>
      </c>
      <c r="O1103" s="7">
        <v>19752</v>
      </c>
      <c r="P1103">
        <v>16</v>
      </c>
      <c r="Q1103" t="s">
        <v>58</v>
      </c>
      <c r="R1103" t="s">
        <v>61</v>
      </c>
      <c r="S1103">
        <f t="shared" si="85"/>
        <v>2024</v>
      </c>
      <c r="T1103" t="str">
        <f t="shared" si="86"/>
        <v>Jan</v>
      </c>
      <c r="U1103">
        <f t="shared" si="87"/>
        <v>7</v>
      </c>
      <c r="V1103">
        <f t="shared" si="88"/>
        <v>10</v>
      </c>
      <c r="W1103" s="9">
        <f t="shared" si="89"/>
        <v>1.4383920769006699</v>
      </c>
    </row>
    <row r="1104" spans="1:23">
      <c r="A1104">
        <v>11103</v>
      </c>
      <c r="B1104" s="5">
        <v>45299</v>
      </c>
      <c r="C1104" s="5">
        <v>45302</v>
      </c>
      <c r="D1104" s="5">
        <v>45307</v>
      </c>
      <c r="E1104" t="s">
        <v>18</v>
      </c>
      <c r="F1104" t="s">
        <v>22</v>
      </c>
      <c r="G1104" t="s">
        <v>24</v>
      </c>
      <c r="H1104" t="s">
        <v>29</v>
      </c>
      <c r="I1104" t="s">
        <v>34</v>
      </c>
      <c r="J1104" t="s">
        <v>40</v>
      </c>
      <c r="K1104" t="s">
        <v>45</v>
      </c>
      <c r="L1104" t="s">
        <v>51</v>
      </c>
      <c r="M1104" s="7">
        <v>43226</v>
      </c>
      <c r="N1104">
        <v>0.16</v>
      </c>
      <c r="O1104" s="7">
        <v>7315</v>
      </c>
      <c r="P1104">
        <v>15</v>
      </c>
      <c r="Q1104" t="s">
        <v>57</v>
      </c>
      <c r="R1104" t="s">
        <v>62</v>
      </c>
      <c r="S1104">
        <f t="shared" si="85"/>
        <v>2024</v>
      </c>
      <c r="T1104" t="str">
        <f t="shared" si="86"/>
        <v>Jan</v>
      </c>
      <c r="U1104">
        <f t="shared" si="87"/>
        <v>3</v>
      </c>
      <c r="V1104">
        <f t="shared" si="88"/>
        <v>8</v>
      </c>
      <c r="W1104" s="9">
        <f t="shared" si="89"/>
        <v>0.16922685420811548</v>
      </c>
    </row>
    <row r="1105" spans="1:23">
      <c r="A1105">
        <v>11104</v>
      </c>
      <c r="B1105" s="5">
        <v>45300</v>
      </c>
      <c r="C1105" s="5">
        <v>45305</v>
      </c>
      <c r="D1105" s="5">
        <v>45309</v>
      </c>
      <c r="E1105" t="s">
        <v>19</v>
      </c>
      <c r="F1105" t="s">
        <v>22</v>
      </c>
      <c r="G1105" t="s">
        <v>23</v>
      </c>
      <c r="H1105" t="s">
        <v>33</v>
      </c>
      <c r="I1105" t="s">
        <v>35</v>
      </c>
      <c r="J1105" t="s">
        <v>38</v>
      </c>
      <c r="K1105" t="s">
        <v>50</v>
      </c>
      <c r="L1105" t="s">
        <v>51</v>
      </c>
      <c r="M1105" s="7">
        <v>25863</v>
      </c>
      <c r="N1105">
        <v>0.06</v>
      </c>
      <c r="O1105" s="7">
        <v>277</v>
      </c>
      <c r="P1105">
        <v>5</v>
      </c>
      <c r="Q1105" t="s">
        <v>58</v>
      </c>
      <c r="R1105" t="s">
        <v>62</v>
      </c>
      <c r="S1105">
        <f t="shared" si="85"/>
        <v>2024</v>
      </c>
      <c r="T1105" t="str">
        <f t="shared" si="86"/>
        <v>Jan</v>
      </c>
      <c r="U1105">
        <f t="shared" si="87"/>
        <v>5</v>
      </c>
      <c r="V1105">
        <f t="shared" si="88"/>
        <v>9</v>
      </c>
      <c r="W1105" s="9">
        <f t="shared" si="89"/>
        <v>1.0710281096547191E-2</v>
      </c>
    </row>
    <row r="1106" spans="1:23">
      <c r="A1106">
        <v>11105</v>
      </c>
      <c r="B1106" s="5">
        <v>45301</v>
      </c>
      <c r="C1106" s="5">
        <v>45304</v>
      </c>
      <c r="D1106" s="5">
        <v>45309</v>
      </c>
      <c r="E1106" t="s">
        <v>19</v>
      </c>
      <c r="F1106" t="s">
        <v>22</v>
      </c>
      <c r="G1106" t="s">
        <v>26</v>
      </c>
      <c r="H1106" t="s">
        <v>29</v>
      </c>
      <c r="I1106" t="s">
        <v>35</v>
      </c>
      <c r="J1106" t="s">
        <v>41</v>
      </c>
      <c r="K1106" t="s">
        <v>45</v>
      </c>
      <c r="L1106" t="s">
        <v>52</v>
      </c>
      <c r="M1106" s="7">
        <v>52379</v>
      </c>
      <c r="N1106">
        <v>0.26</v>
      </c>
      <c r="O1106" s="7">
        <v>5758</v>
      </c>
      <c r="P1106">
        <v>3</v>
      </c>
      <c r="Q1106" t="s">
        <v>55</v>
      </c>
      <c r="R1106" t="s">
        <v>61</v>
      </c>
      <c r="S1106">
        <f t="shared" si="85"/>
        <v>2024</v>
      </c>
      <c r="T1106" t="str">
        <f t="shared" si="86"/>
        <v>Jan</v>
      </c>
      <c r="U1106">
        <f t="shared" si="87"/>
        <v>3</v>
      </c>
      <c r="V1106">
        <f t="shared" si="88"/>
        <v>8</v>
      </c>
      <c r="W1106" s="9">
        <f t="shared" si="89"/>
        <v>0.10992955191966246</v>
      </c>
    </row>
    <row r="1107" spans="1:23">
      <c r="A1107">
        <v>11106</v>
      </c>
      <c r="B1107" s="5">
        <v>45302</v>
      </c>
      <c r="C1107" s="5">
        <v>45308</v>
      </c>
      <c r="D1107" s="5">
        <v>45311</v>
      </c>
      <c r="E1107" t="s">
        <v>20</v>
      </c>
      <c r="F1107" t="s">
        <v>22</v>
      </c>
      <c r="G1107" t="s">
        <v>25</v>
      </c>
      <c r="H1107" t="s">
        <v>33</v>
      </c>
      <c r="I1107" t="s">
        <v>34</v>
      </c>
      <c r="J1107" t="s">
        <v>38</v>
      </c>
      <c r="K1107" t="s">
        <v>47</v>
      </c>
      <c r="L1107" t="s">
        <v>52</v>
      </c>
      <c r="M1107" s="7">
        <v>20795</v>
      </c>
      <c r="N1107">
        <v>0.03</v>
      </c>
      <c r="O1107" s="7">
        <v>12030</v>
      </c>
      <c r="P1107">
        <v>11</v>
      </c>
      <c r="Q1107" t="s">
        <v>56</v>
      </c>
      <c r="R1107" t="s">
        <v>61</v>
      </c>
      <c r="S1107">
        <f t="shared" si="85"/>
        <v>2024</v>
      </c>
      <c r="T1107" t="str">
        <f t="shared" si="86"/>
        <v>Jan</v>
      </c>
      <c r="U1107">
        <f t="shared" si="87"/>
        <v>6</v>
      </c>
      <c r="V1107">
        <f t="shared" si="88"/>
        <v>9</v>
      </c>
      <c r="W1107" s="9">
        <f t="shared" si="89"/>
        <v>0.57850444818465974</v>
      </c>
    </row>
    <row r="1108" spans="1:23">
      <c r="A1108">
        <v>11107</v>
      </c>
      <c r="B1108" s="5">
        <v>45303</v>
      </c>
      <c r="C1108" s="5">
        <v>45309</v>
      </c>
      <c r="D1108" s="5">
        <v>45311</v>
      </c>
      <c r="E1108" t="s">
        <v>19</v>
      </c>
      <c r="F1108" t="s">
        <v>22</v>
      </c>
      <c r="G1108" t="s">
        <v>27</v>
      </c>
      <c r="H1108" t="s">
        <v>30</v>
      </c>
      <c r="I1108" t="s">
        <v>36</v>
      </c>
      <c r="J1108" t="s">
        <v>41</v>
      </c>
      <c r="K1108" t="s">
        <v>50</v>
      </c>
      <c r="L1108" t="s">
        <v>52</v>
      </c>
      <c r="M1108" s="7">
        <v>48174</v>
      </c>
      <c r="N1108">
        <v>0.32</v>
      </c>
      <c r="O1108" s="7">
        <v>2546</v>
      </c>
      <c r="P1108">
        <v>18</v>
      </c>
      <c r="Q1108" t="s">
        <v>58</v>
      </c>
      <c r="R1108" t="s">
        <v>60</v>
      </c>
      <c r="S1108">
        <f t="shared" si="85"/>
        <v>2024</v>
      </c>
      <c r="T1108" t="str">
        <f t="shared" si="86"/>
        <v>Jan</v>
      </c>
      <c r="U1108">
        <f t="shared" si="87"/>
        <v>6</v>
      </c>
      <c r="V1108">
        <f t="shared" si="88"/>
        <v>8</v>
      </c>
      <c r="W1108" s="9">
        <f t="shared" si="89"/>
        <v>5.2850085108149626E-2</v>
      </c>
    </row>
    <row r="1109" spans="1:23">
      <c r="A1109">
        <v>11108</v>
      </c>
      <c r="B1109" s="5">
        <v>45304</v>
      </c>
      <c r="C1109" s="5">
        <v>45311</v>
      </c>
      <c r="D1109" s="5">
        <v>45313</v>
      </c>
      <c r="E1109" t="s">
        <v>19</v>
      </c>
      <c r="F1109" t="s">
        <v>22</v>
      </c>
      <c r="G1109" t="s">
        <v>23</v>
      </c>
      <c r="H1109" t="s">
        <v>33</v>
      </c>
      <c r="I1109" t="s">
        <v>36</v>
      </c>
      <c r="J1109" t="s">
        <v>37</v>
      </c>
      <c r="K1109" t="s">
        <v>48</v>
      </c>
      <c r="L1109" t="s">
        <v>53</v>
      </c>
      <c r="M1109" s="7">
        <v>70837</v>
      </c>
      <c r="N1109">
        <v>0.02</v>
      </c>
      <c r="O1109" s="7">
        <v>6167</v>
      </c>
      <c r="P1109">
        <v>8</v>
      </c>
      <c r="Q1109" t="s">
        <v>57</v>
      </c>
      <c r="R1109" t="s">
        <v>60</v>
      </c>
      <c r="S1109">
        <f t="shared" si="85"/>
        <v>2024</v>
      </c>
      <c r="T1109" t="str">
        <f t="shared" si="86"/>
        <v>Jan</v>
      </c>
      <c r="U1109">
        <f t="shared" si="87"/>
        <v>7</v>
      </c>
      <c r="V1109">
        <f t="shared" si="88"/>
        <v>9</v>
      </c>
      <c r="W1109" s="9">
        <f t="shared" si="89"/>
        <v>8.7059022827053661E-2</v>
      </c>
    </row>
    <row r="1110" spans="1:23">
      <c r="A1110">
        <v>11109</v>
      </c>
      <c r="B1110" s="5">
        <v>45305</v>
      </c>
      <c r="C1110" s="5">
        <v>45309</v>
      </c>
      <c r="D1110" s="5">
        <v>45311</v>
      </c>
      <c r="E1110" t="s">
        <v>21</v>
      </c>
      <c r="F1110" t="s">
        <v>22</v>
      </c>
      <c r="G1110" t="s">
        <v>28</v>
      </c>
      <c r="H1110" t="s">
        <v>25</v>
      </c>
      <c r="I1110" t="s">
        <v>35</v>
      </c>
      <c r="J1110" t="s">
        <v>43</v>
      </c>
      <c r="K1110" t="s">
        <v>44</v>
      </c>
      <c r="L1110" t="s">
        <v>53</v>
      </c>
      <c r="M1110" s="7">
        <v>5769</v>
      </c>
      <c r="N1110">
        <v>0.13</v>
      </c>
      <c r="O1110" s="7">
        <v>7493</v>
      </c>
      <c r="P1110">
        <v>9</v>
      </c>
      <c r="Q1110" t="s">
        <v>54</v>
      </c>
      <c r="R1110" t="s">
        <v>62</v>
      </c>
      <c r="S1110">
        <f t="shared" si="85"/>
        <v>2024</v>
      </c>
      <c r="T1110" t="str">
        <f t="shared" si="86"/>
        <v>Jan</v>
      </c>
      <c r="U1110">
        <f t="shared" si="87"/>
        <v>4</v>
      </c>
      <c r="V1110">
        <f t="shared" si="88"/>
        <v>6</v>
      </c>
      <c r="W1110" s="9">
        <f t="shared" si="89"/>
        <v>1.2988386202114752</v>
      </c>
    </row>
    <row r="1111" spans="1:23">
      <c r="A1111">
        <v>11110</v>
      </c>
      <c r="B1111" s="5">
        <v>45306</v>
      </c>
      <c r="C1111" s="5">
        <v>45313</v>
      </c>
      <c r="D1111" s="5">
        <v>45314</v>
      </c>
      <c r="E1111" t="s">
        <v>19</v>
      </c>
      <c r="F1111" t="s">
        <v>22</v>
      </c>
      <c r="G1111" t="s">
        <v>23</v>
      </c>
      <c r="H1111" t="s">
        <v>30</v>
      </c>
      <c r="I1111" t="s">
        <v>35</v>
      </c>
      <c r="J1111" t="s">
        <v>41</v>
      </c>
      <c r="K1111" t="s">
        <v>45</v>
      </c>
      <c r="L1111" t="s">
        <v>52</v>
      </c>
      <c r="M1111" s="7">
        <v>47581</v>
      </c>
      <c r="N1111">
        <v>0.32</v>
      </c>
      <c r="O1111" s="7">
        <v>8859</v>
      </c>
      <c r="P1111">
        <v>17</v>
      </c>
      <c r="Q1111" t="s">
        <v>56</v>
      </c>
      <c r="R1111" t="s">
        <v>61</v>
      </c>
      <c r="S1111">
        <f t="shared" si="85"/>
        <v>2024</v>
      </c>
      <c r="T1111" t="str">
        <f t="shared" si="86"/>
        <v>Jan</v>
      </c>
      <c r="U1111">
        <f t="shared" si="87"/>
        <v>7</v>
      </c>
      <c r="V1111">
        <f t="shared" si="88"/>
        <v>8</v>
      </c>
      <c r="W1111" s="9">
        <f t="shared" si="89"/>
        <v>0.18618776402345474</v>
      </c>
    </row>
    <row r="1112" spans="1:23">
      <c r="A1112">
        <v>11111</v>
      </c>
      <c r="B1112" s="5">
        <v>45307</v>
      </c>
      <c r="C1112" s="5">
        <v>45310</v>
      </c>
      <c r="D1112" s="5">
        <v>45311</v>
      </c>
      <c r="E1112" t="s">
        <v>20</v>
      </c>
      <c r="F1112" t="s">
        <v>22</v>
      </c>
      <c r="G1112" t="s">
        <v>28</v>
      </c>
      <c r="H1112" t="s">
        <v>25</v>
      </c>
      <c r="I1112" t="s">
        <v>34</v>
      </c>
      <c r="J1112" t="s">
        <v>37</v>
      </c>
      <c r="K1112" t="s">
        <v>50</v>
      </c>
      <c r="L1112" t="s">
        <v>53</v>
      </c>
      <c r="M1112" s="7">
        <v>45051</v>
      </c>
      <c r="N1112">
        <v>0.2</v>
      </c>
      <c r="O1112" s="7">
        <v>-1926</v>
      </c>
      <c r="P1112">
        <v>2</v>
      </c>
      <c r="Q1112" t="s">
        <v>57</v>
      </c>
      <c r="R1112" t="s">
        <v>60</v>
      </c>
      <c r="S1112">
        <f t="shared" si="85"/>
        <v>2024</v>
      </c>
      <c r="T1112" t="str">
        <f t="shared" si="86"/>
        <v>Jan</v>
      </c>
      <c r="U1112">
        <f t="shared" si="87"/>
        <v>3</v>
      </c>
      <c r="V1112">
        <f t="shared" si="88"/>
        <v>4</v>
      </c>
      <c r="W1112" s="9">
        <f t="shared" si="89"/>
        <v>-4.2751548245321971E-2</v>
      </c>
    </row>
    <row r="1113" spans="1:23">
      <c r="A1113">
        <v>11112</v>
      </c>
      <c r="B1113" s="5">
        <v>45308</v>
      </c>
      <c r="C1113" s="5">
        <v>45310</v>
      </c>
      <c r="D1113" s="5">
        <v>45314</v>
      </c>
      <c r="E1113" t="s">
        <v>19</v>
      </c>
      <c r="F1113" t="s">
        <v>22</v>
      </c>
      <c r="G1113" t="s">
        <v>26</v>
      </c>
      <c r="H1113" t="s">
        <v>31</v>
      </c>
      <c r="I1113" t="s">
        <v>35</v>
      </c>
      <c r="J1113" t="s">
        <v>43</v>
      </c>
      <c r="K1113" t="s">
        <v>48</v>
      </c>
      <c r="L1113" t="s">
        <v>52</v>
      </c>
      <c r="M1113" s="7">
        <v>19664</v>
      </c>
      <c r="N1113">
        <v>0.39</v>
      </c>
      <c r="O1113" s="7">
        <v>4660</v>
      </c>
      <c r="P1113">
        <v>24</v>
      </c>
      <c r="Q1113" t="s">
        <v>54</v>
      </c>
      <c r="R1113" t="s">
        <v>59</v>
      </c>
      <c r="S1113">
        <f t="shared" si="85"/>
        <v>2024</v>
      </c>
      <c r="T1113" t="str">
        <f t="shared" si="86"/>
        <v>Jan</v>
      </c>
      <c r="U1113">
        <f t="shared" si="87"/>
        <v>2</v>
      </c>
      <c r="V1113">
        <f t="shared" si="88"/>
        <v>6</v>
      </c>
      <c r="W1113" s="9">
        <f t="shared" si="89"/>
        <v>0.23698128559804718</v>
      </c>
    </row>
    <row r="1114" spans="1:23">
      <c r="A1114">
        <v>11113</v>
      </c>
      <c r="B1114" s="5">
        <v>45309</v>
      </c>
      <c r="C1114" s="5">
        <v>45313</v>
      </c>
      <c r="D1114" s="5">
        <v>45314</v>
      </c>
      <c r="E1114" t="s">
        <v>18</v>
      </c>
      <c r="F1114" t="s">
        <v>22</v>
      </c>
      <c r="G1114" t="s">
        <v>25</v>
      </c>
      <c r="H1114" t="s">
        <v>29</v>
      </c>
      <c r="I1114" t="s">
        <v>35</v>
      </c>
      <c r="J1114" t="s">
        <v>37</v>
      </c>
      <c r="K1114" t="s">
        <v>46</v>
      </c>
      <c r="L1114" t="s">
        <v>51</v>
      </c>
      <c r="M1114" s="7">
        <v>69070</v>
      </c>
      <c r="N1114">
        <v>0.25</v>
      </c>
      <c r="O1114" s="7">
        <v>18344</v>
      </c>
      <c r="P1114">
        <v>6</v>
      </c>
      <c r="Q1114" t="s">
        <v>58</v>
      </c>
      <c r="R1114" t="s">
        <v>60</v>
      </c>
      <c r="S1114">
        <f t="shared" si="85"/>
        <v>2024</v>
      </c>
      <c r="T1114" t="str">
        <f t="shared" si="86"/>
        <v>Jan</v>
      </c>
      <c r="U1114">
        <f t="shared" si="87"/>
        <v>4</v>
      </c>
      <c r="V1114">
        <f t="shared" si="88"/>
        <v>5</v>
      </c>
      <c r="W1114" s="9">
        <f t="shared" si="89"/>
        <v>0.2655856377587954</v>
      </c>
    </row>
    <row r="1115" spans="1:23">
      <c r="A1115">
        <v>11114</v>
      </c>
      <c r="B1115" s="5">
        <v>45310</v>
      </c>
      <c r="C1115" s="5">
        <v>45315</v>
      </c>
      <c r="D1115" s="5">
        <v>45320</v>
      </c>
      <c r="E1115" t="s">
        <v>20</v>
      </c>
      <c r="F1115" t="s">
        <v>22</v>
      </c>
      <c r="G1115" t="s">
        <v>28</v>
      </c>
      <c r="H1115" t="s">
        <v>30</v>
      </c>
      <c r="I1115" t="s">
        <v>36</v>
      </c>
      <c r="J1115" t="s">
        <v>39</v>
      </c>
      <c r="K1115" t="s">
        <v>49</v>
      </c>
      <c r="L1115" t="s">
        <v>51</v>
      </c>
      <c r="M1115" s="7">
        <v>5157</v>
      </c>
      <c r="N1115">
        <v>0.26</v>
      </c>
      <c r="O1115" s="7">
        <v>6710</v>
      </c>
      <c r="P1115">
        <v>5</v>
      </c>
      <c r="Q1115" t="s">
        <v>57</v>
      </c>
      <c r="R1115" t="s">
        <v>61</v>
      </c>
      <c r="S1115">
        <f t="shared" si="85"/>
        <v>2024</v>
      </c>
      <c r="T1115" t="str">
        <f t="shared" si="86"/>
        <v>Jan</v>
      </c>
      <c r="U1115">
        <f t="shared" si="87"/>
        <v>5</v>
      </c>
      <c r="V1115">
        <f t="shared" si="88"/>
        <v>10</v>
      </c>
      <c r="W1115" s="9">
        <f t="shared" si="89"/>
        <v>1.301144076013186</v>
      </c>
    </row>
    <row r="1116" spans="1:23">
      <c r="A1116">
        <v>11115</v>
      </c>
      <c r="B1116" s="5">
        <v>45311</v>
      </c>
      <c r="C1116" s="5">
        <v>45318</v>
      </c>
      <c r="D1116" s="5">
        <v>45320</v>
      </c>
      <c r="E1116" t="s">
        <v>20</v>
      </c>
      <c r="F1116" t="s">
        <v>22</v>
      </c>
      <c r="G1116" t="s">
        <v>26</v>
      </c>
      <c r="H1116" t="s">
        <v>30</v>
      </c>
      <c r="I1116" t="s">
        <v>35</v>
      </c>
      <c r="J1116" t="s">
        <v>39</v>
      </c>
      <c r="K1116" t="s">
        <v>48</v>
      </c>
      <c r="L1116" t="s">
        <v>52</v>
      </c>
      <c r="M1116" s="7">
        <v>73803</v>
      </c>
      <c r="N1116">
        <v>0.34</v>
      </c>
      <c r="O1116" s="7">
        <v>6279</v>
      </c>
      <c r="P1116">
        <v>6</v>
      </c>
      <c r="Q1116" t="s">
        <v>54</v>
      </c>
      <c r="R1116" t="s">
        <v>59</v>
      </c>
      <c r="S1116">
        <f t="shared" si="85"/>
        <v>2024</v>
      </c>
      <c r="T1116" t="str">
        <f t="shared" si="86"/>
        <v>Jan</v>
      </c>
      <c r="U1116">
        <f t="shared" si="87"/>
        <v>7</v>
      </c>
      <c r="V1116">
        <f t="shared" si="88"/>
        <v>9</v>
      </c>
      <c r="W1116" s="9">
        <f t="shared" si="89"/>
        <v>8.5077842364131545E-2</v>
      </c>
    </row>
    <row r="1117" spans="1:23">
      <c r="A1117">
        <v>11116</v>
      </c>
      <c r="B1117" s="5">
        <v>45312</v>
      </c>
      <c r="C1117" s="5">
        <v>45316</v>
      </c>
      <c r="D1117" s="5">
        <v>45318</v>
      </c>
      <c r="E1117" t="s">
        <v>21</v>
      </c>
      <c r="F1117" t="s">
        <v>22</v>
      </c>
      <c r="G1117" t="s">
        <v>23</v>
      </c>
      <c r="H1117" t="s">
        <v>25</v>
      </c>
      <c r="I1117" t="s">
        <v>34</v>
      </c>
      <c r="J1117" t="s">
        <v>40</v>
      </c>
      <c r="K1117" t="s">
        <v>49</v>
      </c>
      <c r="L1117" t="s">
        <v>53</v>
      </c>
      <c r="M1117" s="7">
        <v>66054</v>
      </c>
      <c r="N1117">
        <v>0.37</v>
      </c>
      <c r="O1117" s="7">
        <v>8564</v>
      </c>
      <c r="P1117">
        <v>24</v>
      </c>
      <c r="Q1117" t="s">
        <v>56</v>
      </c>
      <c r="R1117" t="s">
        <v>59</v>
      </c>
      <c r="S1117">
        <f t="shared" si="85"/>
        <v>2024</v>
      </c>
      <c r="T1117" t="str">
        <f t="shared" si="86"/>
        <v>Jan</v>
      </c>
      <c r="U1117">
        <f t="shared" si="87"/>
        <v>4</v>
      </c>
      <c r="V1117">
        <f t="shared" si="88"/>
        <v>6</v>
      </c>
      <c r="W1117" s="9">
        <f t="shared" si="89"/>
        <v>0.12965149725981773</v>
      </c>
    </row>
    <row r="1118" spans="1:23">
      <c r="A1118">
        <v>11117</v>
      </c>
      <c r="B1118" s="5">
        <v>45313</v>
      </c>
      <c r="C1118" s="5">
        <v>45315</v>
      </c>
      <c r="D1118" s="5">
        <v>45319</v>
      </c>
      <c r="E1118" t="s">
        <v>19</v>
      </c>
      <c r="F1118" t="s">
        <v>22</v>
      </c>
      <c r="G1118" t="s">
        <v>25</v>
      </c>
      <c r="H1118" t="s">
        <v>33</v>
      </c>
      <c r="I1118" t="s">
        <v>34</v>
      </c>
      <c r="J1118" t="s">
        <v>43</v>
      </c>
      <c r="K1118" t="s">
        <v>49</v>
      </c>
      <c r="L1118" t="s">
        <v>52</v>
      </c>
      <c r="M1118" s="7">
        <v>69615</v>
      </c>
      <c r="N1118">
        <v>0.03</v>
      </c>
      <c r="O1118" s="7">
        <v>9020</v>
      </c>
      <c r="P1118">
        <v>13</v>
      </c>
      <c r="Q1118" t="s">
        <v>57</v>
      </c>
      <c r="R1118" t="s">
        <v>61</v>
      </c>
      <c r="S1118">
        <f t="shared" si="85"/>
        <v>2024</v>
      </c>
      <c r="T1118" t="str">
        <f t="shared" si="86"/>
        <v>Jan</v>
      </c>
      <c r="U1118">
        <f t="shared" si="87"/>
        <v>2</v>
      </c>
      <c r="V1118">
        <f t="shared" si="88"/>
        <v>6</v>
      </c>
      <c r="W1118" s="9">
        <f t="shared" si="89"/>
        <v>0.12956977662860017</v>
      </c>
    </row>
    <row r="1119" spans="1:23">
      <c r="A1119">
        <v>11118</v>
      </c>
      <c r="B1119" s="5">
        <v>45314</v>
      </c>
      <c r="C1119" s="5">
        <v>45316</v>
      </c>
      <c r="D1119" s="5">
        <v>45319</v>
      </c>
      <c r="E1119" t="s">
        <v>18</v>
      </c>
      <c r="F1119" t="s">
        <v>22</v>
      </c>
      <c r="G1119" t="s">
        <v>27</v>
      </c>
      <c r="H1119" t="s">
        <v>31</v>
      </c>
      <c r="I1119" t="s">
        <v>34</v>
      </c>
      <c r="J1119" t="s">
        <v>41</v>
      </c>
      <c r="K1119" t="s">
        <v>44</v>
      </c>
      <c r="L1119" t="s">
        <v>52</v>
      </c>
      <c r="M1119" s="7">
        <v>8190</v>
      </c>
      <c r="N1119">
        <v>0.35</v>
      </c>
      <c r="O1119" s="7">
        <v>3829</v>
      </c>
      <c r="P1119">
        <v>8</v>
      </c>
      <c r="Q1119" t="s">
        <v>57</v>
      </c>
      <c r="R1119" t="s">
        <v>59</v>
      </c>
      <c r="S1119">
        <f t="shared" si="85"/>
        <v>2024</v>
      </c>
      <c r="T1119" t="str">
        <f t="shared" si="86"/>
        <v>Jan</v>
      </c>
      <c r="U1119">
        <f t="shared" si="87"/>
        <v>2</v>
      </c>
      <c r="V1119">
        <f t="shared" si="88"/>
        <v>5</v>
      </c>
      <c r="W1119" s="9">
        <f t="shared" si="89"/>
        <v>0.46752136752136753</v>
      </c>
    </row>
    <row r="1120" spans="1:23">
      <c r="A1120">
        <v>11119</v>
      </c>
      <c r="B1120" s="5">
        <v>45315</v>
      </c>
      <c r="C1120" s="5">
        <v>45317</v>
      </c>
      <c r="D1120" s="5">
        <v>45318</v>
      </c>
      <c r="E1120" t="s">
        <v>21</v>
      </c>
      <c r="F1120" t="s">
        <v>22</v>
      </c>
      <c r="G1120" t="s">
        <v>24</v>
      </c>
      <c r="H1120" t="s">
        <v>33</v>
      </c>
      <c r="I1120" t="s">
        <v>36</v>
      </c>
      <c r="J1120" t="s">
        <v>39</v>
      </c>
      <c r="K1120" t="s">
        <v>47</v>
      </c>
      <c r="L1120" t="s">
        <v>53</v>
      </c>
      <c r="M1120" s="7">
        <v>5024</v>
      </c>
      <c r="N1120">
        <v>0.31</v>
      </c>
      <c r="O1120" s="7">
        <v>-276</v>
      </c>
      <c r="P1120">
        <v>18</v>
      </c>
      <c r="Q1120" t="s">
        <v>54</v>
      </c>
      <c r="R1120" t="s">
        <v>61</v>
      </c>
      <c r="S1120">
        <f t="shared" si="85"/>
        <v>2024</v>
      </c>
      <c r="T1120" t="str">
        <f t="shared" si="86"/>
        <v>Jan</v>
      </c>
      <c r="U1120">
        <f t="shared" si="87"/>
        <v>2</v>
      </c>
      <c r="V1120">
        <f t="shared" si="88"/>
        <v>3</v>
      </c>
      <c r="W1120" s="9">
        <f t="shared" si="89"/>
        <v>-5.4936305732484078E-2</v>
      </c>
    </row>
    <row r="1121" spans="1:23">
      <c r="A1121">
        <v>11120</v>
      </c>
      <c r="B1121" s="5">
        <v>45316</v>
      </c>
      <c r="C1121" s="5">
        <v>45318</v>
      </c>
      <c r="D1121" s="5">
        <v>45323</v>
      </c>
      <c r="E1121" t="s">
        <v>18</v>
      </c>
      <c r="F1121" t="s">
        <v>22</v>
      </c>
      <c r="G1121" t="s">
        <v>28</v>
      </c>
      <c r="H1121" t="s">
        <v>33</v>
      </c>
      <c r="I1121" t="s">
        <v>34</v>
      </c>
      <c r="J1121" t="s">
        <v>39</v>
      </c>
      <c r="K1121" t="s">
        <v>44</v>
      </c>
      <c r="L1121" t="s">
        <v>51</v>
      </c>
      <c r="M1121" s="7">
        <v>27663</v>
      </c>
      <c r="N1121">
        <v>0.34</v>
      </c>
      <c r="O1121" s="7">
        <v>14279</v>
      </c>
      <c r="P1121">
        <v>6</v>
      </c>
      <c r="Q1121" t="s">
        <v>58</v>
      </c>
      <c r="R1121" t="s">
        <v>62</v>
      </c>
      <c r="S1121">
        <f t="shared" si="85"/>
        <v>2024</v>
      </c>
      <c r="T1121" t="str">
        <f t="shared" si="86"/>
        <v>Jan</v>
      </c>
      <c r="U1121">
        <f t="shared" si="87"/>
        <v>2</v>
      </c>
      <c r="V1121">
        <f t="shared" si="88"/>
        <v>7</v>
      </c>
      <c r="W1121" s="9">
        <f t="shared" si="89"/>
        <v>0.51617684271409459</v>
      </c>
    </row>
    <row r="1122" spans="1:23">
      <c r="A1122">
        <v>11121</v>
      </c>
      <c r="B1122" s="5">
        <v>45317</v>
      </c>
      <c r="C1122" s="5">
        <v>45323</v>
      </c>
      <c r="D1122" s="5">
        <v>45325</v>
      </c>
      <c r="E1122" t="s">
        <v>20</v>
      </c>
      <c r="F1122" t="s">
        <v>22</v>
      </c>
      <c r="G1122" t="s">
        <v>27</v>
      </c>
      <c r="H1122" t="s">
        <v>30</v>
      </c>
      <c r="I1122" t="s">
        <v>34</v>
      </c>
      <c r="J1122" t="s">
        <v>40</v>
      </c>
      <c r="K1122" t="s">
        <v>45</v>
      </c>
      <c r="L1122" t="s">
        <v>53</v>
      </c>
      <c r="M1122" s="7">
        <v>20583</v>
      </c>
      <c r="N1122">
        <v>0.31</v>
      </c>
      <c r="O1122" s="7">
        <v>7587</v>
      </c>
      <c r="P1122">
        <v>4</v>
      </c>
      <c r="Q1122" t="s">
        <v>58</v>
      </c>
      <c r="R1122" t="s">
        <v>62</v>
      </c>
      <c r="S1122">
        <f t="shared" si="85"/>
        <v>2024</v>
      </c>
      <c r="T1122" t="str">
        <f t="shared" si="86"/>
        <v>Jan</v>
      </c>
      <c r="U1122">
        <f t="shared" si="87"/>
        <v>6</v>
      </c>
      <c r="V1122">
        <f t="shared" si="88"/>
        <v>8</v>
      </c>
      <c r="W1122" s="9">
        <f t="shared" si="89"/>
        <v>0.36860515959772627</v>
      </c>
    </row>
    <row r="1123" spans="1:23">
      <c r="A1123">
        <v>11122</v>
      </c>
      <c r="B1123" s="5">
        <v>45318</v>
      </c>
      <c r="C1123" s="5">
        <v>45322</v>
      </c>
      <c r="D1123" s="5">
        <v>45325</v>
      </c>
      <c r="E1123" t="s">
        <v>18</v>
      </c>
      <c r="F1123" t="s">
        <v>22</v>
      </c>
      <c r="G1123" t="s">
        <v>23</v>
      </c>
      <c r="H1123" t="s">
        <v>29</v>
      </c>
      <c r="I1123" t="s">
        <v>35</v>
      </c>
      <c r="J1123" t="s">
        <v>38</v>
      </c>
      <c r="K1123" t="s">
        <v>47</v>
      </c>
      <c r="L1123" t="s">
        <v>51</v>
      </c>
      <c r="M1123" s="7">
        <v>69131</v>
      </c>
      <c r="N1123">
        <v>0.33</v>
      </c>
      <c r="O1123" s="7">
        <v>7889</v>
      </c>
      <c r="P1123">
        <v>21</v>
      </c>
      <c r="Q1123" t="s">
        <v>54</v>
      </c>
      <c r="R1123" t="s">
        <v>62</v>
      </c>
      <c r="S1123">
        <f t="shared" si="85"/>
        <v>2024</v>
      </c>
      <c r="T1123" t="str">
        <f t="shared" si="86"/>
        <v>Jan</v>
      </c>
      <c r="U1123">
        <f t="shared" si="87"/>
        <v>4</v>
      </c>
      <c r="V1123">
        <f t="shared" si="88"/>
        <v>7</v>
      </c>
      <c r="W1123" s="9">
        <f t="shared" si="89"/>
        <v>0.11411667703345822</v>
      </c>
    </row>
    <row r="1124" spans="1:23">
      <c r="A1124">
        <v>11123</v>
      </c>
      <c r="B1124" s="5">
        <v>45319</v>
      </c>
      <c r="C1124" s="5">
        <v>45322</v>
      </c>
      <c r="D1124" s="5">
        <v>45325</v>
      </c>
      <c r="E1124" t="s">
        <v>18</v>
      </c>
      <c r="F1124" t="s">
        <v>22</v>
      </c>
      <c r="G1124" t="s">
        <v>25</v>
      </c>
      <c r="H1124" t="s">
        <v>32</v>
      </c>
      <c r="I1124" t="s">
        <v>34</v>
      </c>
      <c r="J1124" t="s">
        <v>37</v>
      </c>
      <c r="K1124" t="s">
        <v>45</v>
      </c>
      <c r="L1124" t="s">
        <v>51</v>
      </c>
      <c r="M1124" s="7">
        <v>50933</v>
      </c>
      <c r="N1124">
        <v>0.03</v>
      </c>
      <c r="O1124" s="7">
        <v>7344</v>
      </c>
      <c r="P1124">
        <v>4</v>
      </c>
      <c r="Q1124" t="s">
        <v>57</v>
      </c>
      <c r="R1124" t="s">
        <v>62</v>
      </c>
      <c r="S1124">
        <f t="shared" si="85"/>
        <v>2024</v>
      </c>
      <c r="T1124" t="str">
        <f t="shared" si="86"/>
        <v>Jan</v>
      </c>
      <c r="U1124">
        <f t="shared" si="87"/>
        <v>3</v>
      </c>
      <c r="V1124">
        <f t="shared" si="88"/>
        <v>6</v>
      </c>
      <c r="W1124" s="9">
        <f t="shared" si="89"/>
        <v>0.14418942532346415</v>
      </c>
    </row>
    <row r="1125" spans="1:23">
      <c r="A1125">
        <v>11124</v>
      </c>
      <c r="B1125" s="5">
        <v>45320</v>
      </c>
      <c r="C1125" s="5">
        <v>45322</v>
      </c>
      <c r="D1125" s="5">
        <v>45324</v>
      </c>
      <c r="E1125" t="s">
        <v>18</v>
      </c>
      <c r="F1125" t="s">
        <v>22</v>
      </c>
      <c r="G1125" t="s">
        <v>23</v>
      </c>
      <c r="H1125" t="s">
        <v>33</v>
      </c>
      <c r="I1125" t="s">
        <v>35</v>
      </c>
      <c r="J1125" t="s">
        <v>41</v>
      </c>
      <c r="K1125" t="s">
        <v>45</v>
      </c>
      <c r="L1125" t="s">
        <v>52</v>
      </c>
      <c r="M1125" s="7">
        <v>9924</v>
      </c>
      <c r="N1125">
        <v>0.3</v>
      </c>
      <c r="O1125" s="7">
        <v>12482</v>
      </c>
      <c r="P1125">
        <v>6</v>
      </c>
      <c r="Q1125" t="s">
        <v>56</v>
      </c>
      <c r="R1125" t="s">
        <v>60</v>
      </c>
      <c r="S1125">
        <f t="shared" si="85"/>
        <v>2024</v>
      </c>
      <c r="T1125" t="str">
        <f t="shared" si="86"/>
        <v>Jan</v>
      </c>
      <c r="U1125">
        <f t="shared" si="87"/>
        <v>2</v>
      </c>
      <c r="V1125">
        <f t="shared" si="88"/>
        <v>4</v>
      </c>
      <c r="W1125" s="9">
        <f t="shared" si="89"/>
        <v>1.2577589681580008</v>
      </c>
    </row>
    <row r="1126" spans="1:23">
      <c r="A1126">
        <v>11125</v>
      </c>
      <c r="B1126" s="5">
        <v>45321</v>
      </c>
      <c r="C1126" s="5">
        <v>45325</v>
      </c>
      <c r="D1126" s="5">
        <v>45330</v>
      </c>
      <c r="E1126" t="s">
        <v>20</v>
      </c>
      <c r="F1126" t="s">
        <v>22</v>
      </c>
      <c r="G1126" t="s">
        <v>25</v>
      </c>
      <c r="H1126" t="s">
        <v>29</v>
      </c>
      <c r="I1126" t="s">
        <v>36</v>
      </c>
      <c r="J1126" t="s">
        <v>39</v>
      </c>
      <c r="K1126" t="s">
        <v>49</v>
      </c>
      <c r="L1126" t="s">
        <v>52</v>
      </c>
      <c r="M1126" s="7">
        <v>39223</v>
      </c>
      <c r="N1126">
        <v>0.09</v>
      </c>
      <c r="O1126" s="7">
        <v>5661</v>
      </c>
      <c r="P1126">
        <v>23</v>
      </c>
      <c r="Q1126" t="s">
        <v>56</v>
      </c>
      <c r="R1126" t="s">
        <v>59</v>
      </c>
      <c r="S1126">
        <f t="shared" si="85"/>
        <v>2024</v>
      </c>
      <c r="T1126" t="str">
        <f t="shared" si="86"/>
        <v>Jan</v>
      </c>
      <c r="U1126">
        <f t="shared" si="87"/>
        <v>4</v>
      </c>
      <c r="V1126">
        <f t="shared" si="88"/>
        <v>9</v>
      </c>
      <c r="W1126" s="9">
        <f t="shared" si="89"/>
        <v>0.14432858271932283</v>
      </c>
    </row>
    <row r="1127" spans="1:23">
      <c r="A1127">
        <v>11126</v>
      </c>
      <c r="B1127" s="5">
        <v>45322</v>
      </c>
      <c r="C1127" s="5">
        <v>45328</v>
      </c>
      <c r="D1127" s="5">
        <v>45331</v>
      </c>
      <c r="E1127" t="s">
        <v>20</v>
      </c>
      <c r="F1127" t="s">
        <v>22</v>
      </c>
      <c r="G1127" t="s">
        <v>24</v>
      </c>
      <c r="H1127" t="s">
        <v>25</v>
      </c>
      <c r="I1127" t="s">
        <v>35</v>
      </c>
      <c r="J1127" t="s">
        <v>40</v>
      </c>
      <c r="K1127" t="s">
        <v>49</v>
      </c>
      <c r="L1127" t="s">
        <v>51</v>
      </c>
      <c r="M1127" s="7">
        <v>42954</v>
      </c>
      <c r="N1127">
        <v>0.33</v>
      </c>
      <c r="O1127" s="7">
        <v>15226</v>
      </c>
      <c r="P1127">
        <v>9</v>
      </c>
      <c r="Q1127" t="s">
        <v>58</v>
      </c>
      <c r="R1127" t="s">
        <v>61</v>
      </c>
      <c r="S1127">
        <f t="shared" si="85"/>
        <v>2024</v>
      </c>
      <c r="T1127" t="str">
        <f t="shared" si="86"/>
        <v>Jan</v>
      </c>
      <c r="U1127">
        <f t="shared" si="87"/>
        <v>6</v>
      </c>
      <c r="V1127">
        <f t="shared" si="88"/>
        <v>9</v>
      </c>
      <c r="W1127" s="9">
        <f t="shared" si="89"/>
        <v>0.35447222610234203</v>
      </c>
    </row>
    <row r="1128" spans="1:23">
      <c r="A1128">
        <v>11127</v>
      </c>
      <c r="B1128" s="5">
        <v>45323</v>
      </c>
      <c r="C1128" s="5">
        <v>45329</v>
      </c>
      <c r="D1128" s="5">
        <v>45334</v>
      </c>
      <c r="E1128" t="s">
        <v>21</v>
      </c>
      <c r="F1128" t="s">
        <v>22</v>
      </c>
      <c r="G1128" t="s">
        <v>28</v>
      </c>
      <c r="H1128" t="s">
        <v>33</v>
      </c>
      <c r="I1128" t="s">
        <v>35</v>
      </c>
      <c r="J1128" t="s">
        <v>37</v>
      </c>
      <c r="K1128" t="s">
        <v>49</v>
      </c>
      <c r="L1128" t="s">
        <v>51</v>
      </c>
      <c r="M1128" s="7">
        <v>56283</v>
      </c>
      <c r="N1128">
        <v>0.09</v>
      </c>
      <c r="O1128" s="7">
        <v>-186</v>
      </c>
      <c r="P1128">
        <v>5</v>
      </c>
      <c r="Q1128" t="s">
        <v>55</v>
      </c>
      <c r="R1128" t="s">
        <v>61</v>
      </c>
      <c r="S1128">
        <f t="shared" si="85"/>
        <v>2024</v>
      </c>
      <c r="T1128" t="str">
        <f t="shared" si="86"/>
        <v>Feb</v>
      </c>
      <c r="U1128">
        <f t="shared" si="87"/>
        <v>6</v>
      </c>
      <c r="V1128">
        <f t="shared" si="88"/>
        <v>11</v>
      </c>
      <c r="W1128" s="9">
        <f t="shared" si="89"/>
        <v>-3.3047278929694579E-3</v>
      </c>
    </row>
    <row r="1129" spans="1:23">
      <c r="A1129">
        <v>11128</v>
      </c>
      <c r="B1129" s="5">
        <v>45324</v>
      </c>
      <c r="C1129" s="5">
        <v>45331</v>
      </c>
      <c r="D1129" s="5">
        <v>45333</v>
      </c>
      <c r="E1129" t="s">
        <v>19</v>
      </c>
      <c r="F1129" t="s">
        <v>22</v>
      </c>
      <c r="G1129" t="s">
        <v>28</v>
      </c>
      <c r="H1129" t="s">
        <v>33</v>
      </c>
      <c r="I1129" t="s">
        <v>36</v>
      </c>
      <c r="J1129" t="s">
        <v>38</v>
      </c>
      <c r="K1129" t="s">
        <v>47</v>
      </c>
      <c r="L1129" t="s">
        <v>51</v>
      </c>
      <c r="M1129" s="7">
        <v>34699</v>
      </c>
      <c r="N1129">
        <v>0.17</v>
      </c>
      <c r="O1129" s="7">
        <v>6781</v>
      </c>
      <c r="P1129">
        <v>11</v>
      </c>
      <c r="Q1129" t="s">
        <v>57</v>
      </c>
      <c r="R1129" t="s">
        <v>61</v>
      </c>
      <c r="S1129">
        <f t="shared" si="85"/>
        <v>2024</v>
      </c>
      <c r="T1129" t="str">
        <f t="shared" si="86"/>
        <v>Feb</v>
      </c>
      <c r="U1129">
        <f t="shared" si="87"/>
        <v>7</v>
      </c>
      <c r="V1129">
        <f t="shared" si="88"/>
        <v>9</v>
      </c>
      <c r="W1129" s="9">
        <f t="shared" si="89"/>
        <v>0.19542349923628924</v>
      </c>
    </row>
    <row r="1130" spans="1:23">
      <c r="A1130">
        <v>11129</v>
      </c>
      <c r="B1130" s="5">
        <v>45325</v>
      </c>
      <c r="C1130" s="5">
        <v>45331</v>
      </c>
      <c r="D1130" s="5">
        <v>45333</v>
      </c>
      <c r="E1130" t="s">
        <v>21</v>
      </c>
      <c r="F1130" t="s">
        <v>22</v>
      </c>
      <c r="G1130" t="s">
        <v>26</v>
      </c>
      <c r="H1130" t="s">
        <v>31</v>
      </c>
      <c r="I1130" t="s">
        <v>34</v>
      </c>
      <c r="J1130" t="s">
        <v>42</v>
      </c>
      <c r="K1130" t="s">
        <v>47</v>
      </c>
      <c r="L1130" t="s">
        <v>51</v>
      </c>
      <c r="M1130" s="7">
        <v>9752</v>
      </c>
      <c r="N1130">
        <v>0.38</v>
      </c>
      <c r="O1130" s="7">
        <v>12327</v>
      </c>
      <c r="P1130">
        <v>20</v>
      </c>
      <c r="Q1130" t="s">
        <v>58</v>
      </c>
      <c r="R1130" t="s">
        <v>59</v>
      </c>
      <c r="S1130">
        <f t="shared" si="85"/>
        <v>2024</v>
      </c>
      <c r="T1130" t="str">
        <f t="shared" si="86"/>
        <v>Feb</v>
      </c>
      <c r="U1130">
        <f t="shared" si="87"/>
        <v>6</v>
      </c>
      <c r="V1130">
        <f t="shared" si="88"/>
        <v>8</v>
      </c>
      <c r="W1130" s="9">
        <f t="shared" si="89"/>
        <v>1.2640484003281378</v>
      </c>
    </row>
    <row r="1131" spans="1:23">
      <c r="A1131">
        <v>11130</v>
      </c>
      <c r="B1131" s="5">
        <v>45326</v>
      </c>
      <c r="C1131" s="5">
        <v>45333</v>
      </c>
      <c r="D1131" s="5">
        <v>45337</v>
      </c>
      <c r="E1131" t="s">
        <v>19</v>
      </c>
      <c r="F1131" t="s">
        <v>22</v>
      </c>
      <c r="G1131" t="s">
        <v>28</v>
      </c>
      <c r="H1131" t="s">
        <v>32</v>
      </c>
      <c r="I1131" t="s">
        <v>34</v>
      </c>
      <c r="J1131" t="s">
        <v>42</v>
      </c>
      <c r="K1131" t="s">
        <v>46</v>
      </c>
      <c r="L1131" t="s">
        <v>51</v>
      </c>
      <c r="M1131" s="7">
        <v>26689</v>
      </c>
      <c r="N1131">
        <v>0.23</v>
      </c>
      <c r="O1131" s="7">
        <v>10527</v>
      </c>
      <c r="P1131">
        <v>18</v>
      </c>
      <c r="Q1131" t="s">
        <v>58</v>
      </c>
      <c r="R1131" t="s">
        <v>60</v>
      </c>
      <c r="S1131">
        <f t="shared" si="85"/>
        <v>2024</v>
      </c>
      <c r="T1131" t="str">
        <f t="shared" si="86"/>
        <v>Feb</v>
      </c>
      <c r="U1131">
        <f t="shared" si="87"/>
        <v>7</v>
      </c>
      <c r="V1131">
        <f t="shared" si="88"/>
        <v>11</v>
      </c>
      <c r="W1131" s="9">
        <f t="shared" si="89"/>
        <v>0.39443216306343437</v>
      </c>
    </row>
    <row r="1132" spans="1:23">
      <c r="A1132">
        <v>11131</v>
      </c>
      <c r="B1132" s="5">
        <v>45327</v>
      </c>
      <c r="C1132" s="5">
        <v>45334</v>
      </c>
      <c r="D1132" s="5">
        <v>45338</v>
      </c>
      <c r="E1132" t="s">
        <v>19</v>
      </c>
      <c r="F1132" t="s">
        <v>22</v>
      </c>
      <c r="G1132" t="s">
        <v>27</v>
      </c>
      <c r="H1132" t="s">
        <v>31</v>
      </c>
      <c r="I1132" t="s">
        <v>35</v>
      </c>
      <c r="J1132" t="s">
        <v>38</v>
      </c>
      <c r="K1132" t="s">
        <v>48</v>
      </c>
      <c r="L1132" t="s">
        <v>53</v>
      </c>
      <c r="M1132" s="7">
        <v>29578</v>
      </c>
      <c r="N1132">
        <v>0.34</v>
      </c>
      <c r="O1132" s="7">
        <v>3024</v>
      </c>
      <c r="P1132">
        <v>19</v>
      </c>
      <c r="Q1132" t="s">
        <v>56</v>
      </c>
      <c r="R1132" t="s">
        <v>61</v>
      </c>
      <c r="S1132">
        <f t="shared" si="85"/>
        <v>2024</v>
      </c>
      <c r="T1132" t="str">
        <f t="shared" si="86"/>
        <v>Feb</v>
      </c>
      <c r="U1132">
        <f t="shared" si="87"/>
        <v>7</v>
      </c>
      <c r="V1132">
        <f t="shared" si="88"/>
        <v>11</v>
      </c>
      <c r="W1132" s="9">
        <f t="shared" si="89"/>
        <v>0.10223814997633376</v>
      </c>
    </row>
    <row r="1133" spans="1:23">
      <c r="A1133">
        <v>11132</v>
      </c>
      <c r="B1133" s="5">
        <v>45328</v>
      </c>
      <c r="C1133" s="5">
        <v>45332</v>
      </c>
      <c r="D1133" s="5">
        <v>45333</v>
      </c>
      <c r="E1133" t="s">
        <v>21</v>
      </c>
      <c r="F1133" t="s">
        <v>22</v>
      </c>
      <c r="G1133" t="s">
        <v>24</v>
      </c>
      <c r="H1133" t="s">
        <v>32</v>
      </c>
      <c r="I1133" t="s">
        <v>36</v>
      </c>
      <c r="J1133" t="s">
        <v>37</v>
      </c>
      <c r="K1133" t="s">
        <v>44</v>
      </c>
      <c r="L1133" t="s">
        <v>52</v>
      </c>
      <c r="M1133" s="7">
        <v>42587</v>
      </c>
      <c r="N1133">
        <v>0.09</v>
      </c>
      <c r="O1133" s="7">
        <v>2662</v>
      </c>
      <c r="P1133">
        <v>21</v>
      </c>
      <c r="Q1133" t="s">
        <v>54</v>
      </c>
      <c r="R1133" t="s">
        <v>62</v>
      </c>
      <c r="S1133">
        <f t="shared" si="85"/>
        <v>2024</v>
      </c>
      <c r="T1133" t="str">
        <f t="shared" si="86"/>
        <v>Feb</v>
      </c>
      <c r="U1133">
        <f t="shared" si="87"/>
        <v>4</v>
      </c>
      <c r="V1133">
        <f t="shared" si="88"/>
        <v>5</v>
      </c>
      <c r="W1133" s="9">
        <f t="shared" si="89"/>
        <v>6.250733792002254E-2</v>
      </c>
    </row>
    <row r="1134" spans="1:23">
      <c r="A1134">
        <v>11133</v>
      </c>
      <c r="B1134" s="5">
        <v>45329</v>
      </c>
      <c r="C1134" s="5">
        <v>45334</v>
      </c>
      <c r="D1134" s="5">
        <v>45337</v>
      </c>
      <c r="E1134" t="s">
        <v>20</v>
      </c>
      <c r="F1134" t="s">
        <v>22</v>
      </c>
      <c r="G1134" t="s">
        <v>23</v>
      </c>
      <c r="H1134" t="s">
        <v>25</v>
      </c>
      <c r="I1134" t="s">
        <v>34</v>
      </c>
      <c r="J1134" t="s">
        <v>43</v>
      </c>
      <c r="K1134" t="s">
        <v>49</v>
      </c>
      <c r="L1134" t="s">
        <v>53</v>
      </c>
      <c r="M1134" s="7">
        <v>47849</v>
      </c>
      <c r="N1134">
        <v>0.24</v>
      </c>
      <c r="O1134" s="7">
        <v>15214</v>
      </c>
      <c r="P1134">
        <v>18</v>
      </c>
      <c r="Q1134" t="s">
        <v>54</v>
      </c>
      <c r="R1134" t="s">
        <v>61</v>
      </c>
      <c r="S1134">
        <f t="shared" si="85"/>
        <v>2024</v>
      </c>
      <c r="T1134" t="str">
        <f t="shared" si="86"/>
        <v>Feb</v>
      </c>
      <c r="U1134">
        <f t="shared" si="87"/>
        <v>5</v>
      </c>
      <c r="V1134">
        <f t="shared" si="88"/>
        <v>8</v>
      </c>
      <c r="W1134" s="9">
        <f t="shared" si="89"/>
        <v>0.31795857802670902</v>
      </c>
    </row>
    <row r="1135" spans="1:23">
      <c r="A1135">
        <v>11134</v>
      </c>
      <c r="B1135" s="5">
        <v>45330</v>
      </c>
      <c r="C1135" s="5">
        <v>45333</v>
      </c>
      <c r="D1135" s="5">
        <v>45335</v>
      </c>
      <c r="E1135" t="s">
        <v>18</v>
      </c>
      <c r="F1135" t="s">
        <v>22</v>
      </c>
      <c r="G1135" t="s">
        <v>24</v>
      </c>
      <c r="H1135" t="s">
        <v>31</v>
      </c>
      <c r="I1135" t="s">
        <v>35</v>
      </c>
      <c r="J1135" t="s">
        <v>38</v>
      </c>
      <c r="K1135" t="s">
        <v>49</v>
      </c>
      <c r="L1135" t="s">
        <v>51</v>
      </c>
      <c r="M1135" s="7">
        <v>23107</v>
      </c>
      <c r="N1135">
        <v>0.18</v>
      </c>
      <c r="O1135" s="7">
        <v>14704</v>
      </c>
      <c r="P1135">
        <v>10</v>
      </c>
      <c r="Q1135" t="s">
        <v>55</v>
      </c>
      <c r="R1135" t="s">
        <v>59</v>
      </c>
      <c r="S1135">
        <f t="shared" si="85"/>
        <v>2024</v>
      </c>
      <c r="T1135" t="str">
        <f t="shared" si="86"/>
        <v>Feb</v>
      </c>
      <c r="U1135">
        <f t="shared" si="87"/>
        <v>3</v>
      </c>
      <c r="V1135">
        <f t="shared" si="88"/>
        <v>5</v>
      </c>
      <c r="W1135" s="9">
        <f t="shared" si="89"/>
        <v>0.63634396503224133</v>
      </c>
    </row>
    <row r="1136" spans="1:23">
      <c r="A1136">
        <v>11135</v>
      </c>
      <c r="B1136" s="5">
        <v>45331</v>
      </c>
      <c r="C1136" s="5">
        <v>45335</v>
      </c>
      <c r="D1136" s="5">
        <v>45340</v>
      </c>
      <c r="E1136" t="s">
        <v>19</v>
      </c>
      <c r="F1136" t="s">
        <v>22</v>
      </c>
      <c r="G1136" t="s">
        <v>24</v>
      </c>
      <c r="H1136" t="s">
        <v>31</v>
      </c>
      <c r="I1136" t="s">
        <v>35</v>
      </c>
      <c r="J1136" t="s">
        <v>41</v>
      </c>
      <c r="K1136" t="s">
        <v>44</v>
      </c>
      <c r="L1136" t="s">
        <v>51</v>
      </c>
      <c r="M1136" s="7">
        <v>5816</v>
      </c>
      <c r="N1136">
        <v>0.11</v>
      </c>
      <c r="O1136" s="7">
        <v>11849</v>
      </c>
      <c r="P1136">
        <v>9</v>
      </c>
      <c r="Q1136" t="s">
        <v>57</v>
      </c>
      <c r="R1136" t="s">
        <v>60</v>
      </c>
      <c r="S1136">
        <f t="shared" si="85"/>
        <v>2024</v>
      </c>
      <c r="T1136" t="str">
        <f t="shared" si="86"/>
        <v>Feb</v>
      </c>
      <c r="U1136">
        <f t="shared" si="87"/>
        <v>4</v>
      </c>
      <c r="V1136">
        <f t="shared" si="88"/>
        <v>9</v>
      </c>
      <c r="W1136" s="9">
        <f t="shared" si="89"/>
        <v>2.0373108665749657</v>
      </c>
    </row>
    <row r="1137" spans="1:23">
      <c r="A1137">
        <v>11136</v>
      </c>
      <c r="B1137" s="5">
        <v>45332</v>
      </c>
      <c r="C1137" s="5">
        <v>45335</v>
      </c>
      <c r="D1137" s="5">
        <v>45338</v>
      </c>
      <c r="E1137" t="s">
        <v>21</v>
      </c>
      <c r="F1137" t="s">
        <v>22</v>
      </c>
      <c r="G1137" t="s">
        <v>24</v>
      </c>
      <c r="H1137" t="s">
        <v>31</v>
      </c>
      <c r="I1137" t="s">
        <v>36</v>
      </c>
      <c r="J1137" t="s">
        <v>40</v>
      </c>
      <c r="K1137" t="s">
        <v>46</v>
      </c>
      <c r="L1137" t="s">
        <v>53</v>
      </c>
      <c r="M1137" s="7">
        <v>66033</v>
      </c>
      <c r="N1137">
        <v>0.03</v>
      </c>
      <c r="O1137" s="7">
        <v>2570</v>
      </c>
      <c r="P1137">
        <v>15</v>
      </c>
      <c r="Q1137" t="s">
        <v>58</v>
      </c>
      <c r="R1137" t="s">
        <v>61</v>
      </c>
      <c r="S1137">
        <f t="shared" si="85"/>
        <v>2024</v>
      </c>
      <c r="T1137" t="str">
        <f t="shared" si="86"/>
        <v>Feb</v>
      </c>
      <c r="U1137">
        <f t="shared" si="87"/>
        <v>3</v>
      </c>
      <c r="V1137">
        <f t="shared" si="88"/>
        <v>6</v>
      </c>
      <c r="W1137" s="9">
        <f t="shared" si="89"/>
        <v>3.8919933972407735E-2</v>
      </c>
    </row>
    <row r="1138" spans="1:23">
      <c r="A1138">
        <v>11137</v>
      </c>
      <c r="B1138" s="5">
        <v>45333</v>
      </c>
      <c r="C1138" s="5">
        <v>45338</v>
      </c>
      <c r="D1138" s="5">
        <v>45343</v>
      </c>
      <c r="E1138" t="s">
        <v>19</v>
      </c>
      <c r="F1138" t="s">
        <v>22</v>
      </c>
      <c r="G1138" t="s">
        <v>24</v>
      </c>
      <c r="H1138" t="s">
        <v>31</v>
      </c>
      <c r="I1138" t="s">
        <v>36</v>
      </c>
      <c r="J1138" t="s">
        <v>38</v>
      </c>
      <c r="K1138" t="s">
        <v>46</v>
      </c>
      <c r="L1138" t="s">
        <v>53</v>
      </c>
      <c r="M1138" s="7">
        <v>35764</v>
      </c>
      <c r="N1138">
        <v>0.26</v>
      </c>
      <c r="O1138" s="7">
        <v>45</v>
      </c>
      <c r="P1138">
        <v>21</v>
      </c>
      <c r="Q1138" t="s">
        <v>56</v>
      </c>
      <c r="R1138" t="s">
        <v>62</v>
      </c>
      <c r="S1138">
        <f t="shared" si="85"/>
        <v>2024</v>
      </c>
      <c r="T1138" t="str">
        <f t="shared" si="86"/>
        <v>Feb</v>
      </c>
      <c r="U1138">
        <f t="shared" si="87"/>
        <v>5</v>
      </c>
      <c r="V1138">
        <f t="shared" si="88"/>
        <v>10</v>
      </c>
      <c r="W1138" s="9">
        <f t="shared" si="89"/>
        <v>1.2582485180628565E-3</v>
      </c>
    </row>
    <row r="1139" spans="1:23">
      <c r="A1139">
        <v>11138</v>
      </c>
      <c r="B1139" s="5">
        <v>45334</v>
      </c>
      <c r="C1139" s="5">
        <v>45339</v>
      </c>
      <c r="D1139" s="5">
        <v>45342</v>
      </c>
      <c r="E1139" t="s">
        <v>20</v>
      </c>
      <c r="F1139" t="s">
        <v>22</v>
      </c>
      <c r="G1139" t="s">
        <v>24</v>
      </c>
      <c r="H1139" t="s">
        <v>25</v>
      </c>
      <c r="I1139" t="s">
        <v>34</v>
      </c>
      <c r="J1139" t="s">
        <v>38</v>
      </c>
      <c r="K1139" t="s">
        <v>47</v>
      </c>
      <c r="L1139" t="s">
        <v>53</v>
      </c>
      <c r="M1139" s="7">
        <v>65760</v>
      </c>
      <c r="N1139">
        <v>0.35</v>
      </c>
      <c r="O1139" s="7">
        <v>15795</v>
      </c>
      <c r="P1139">
        <v>23</v>
      </c>
      <c r="Q1139" t="s">
        <v>58</v>
      </c>
      <c r="R1139" t="s">
        <v>61</v>
      </c>
      <c r="S1139">
        <f t="shared" si="85"/>
        <v>2024</v>
      </c>
      <c r="T1139" t="str">
        <f t="shared" si="86"/>
        <v>Feb</v>
      </c>
      <c r="U1139">
        <f t="shared" si="87"/>
        <v>5</v>
      </c>
      <c r="V1139">
        <f t="shared" si="88"/>
        <v>8</v>
      </c>
      <c r="W1139" s="9">
        <f t="shared" si="89"/>
        <v>0.24019160583941607</v>
      </c>
    </row>
    <row r="1140" spans="1:23">
      <c r="A1140">
        <v>11139</v>
      </c>
      <c r="B1140" s="5">
        <v>45335</v>
      </c>
      <c r="C1140" s="5">
        <v>45339</v>
      </c>
      <c r="D1140" s="5">
        <v>45343</v>
      </c>
      <c r="E1140" t="s">
        <v>19</v>
      </c>
      <c r="F1140" t="s">
        <v>22</v>
      </c>
      <c r="G1140" t="s">
        <v>24</v>
      </c>
      <c r="H1140" t="s">
        <v>29</v>
      </c>
      <c r="I1140" t="s">
        <v>34</v>
      </c>
      <c r="J1140" t="s">
        <v>39</v>
      </c>
      <c r="K1140" t="s">
        <v>49</v>
      </c>
      <c r="L1140" t="s">
        <v>51</v>
      </c>
      <c r="M1140" s="7">
        <v>73600</v>
      </c>
      <c r="N1140">
        <v>0.09</v>
      </c>
      <c r="O1140" s="7">
        <v>11130</v>
      </c>
      <c r="P1140">
        <v>5</v>
      </c>
      <c r="Q1140" t="s">
        <v>57</v>
      </c>
      <c r="R1140" t="s">
        <v>61</v>
      </c>
      <c r="S1140">
        <f t="shared" si="85"/>
        <v>2024</v>
      </c>
      <c r="T1140" t="str">
        <f t="shared" si="86"/>
        <v>Feb</v>
      </c>
      <c r="U1140">
        <f t="shared" si="87"/>
        <v>4</v>
      </c>
      <c r="V1140">
        <f t="shared" si="88"/>
        <v>8</v>
      </c>
      <c r="W1140" s="9">
        <f t="shared" si="89"/>
        <v>0.15122282608695653</v>
      </c>
    </row>
    <row r="1141" spans="1:23">
      <c r="A1141">
        <v>11140</v>
      </c>
      <c r="B1141" s="5">
        <v>45336</v>
      </c>
      <c r="C1141" s="5">
        <v>45338</v>
      </c>
      <c r="D1141" s="5">
        <v>45340</v>
      </c>
      <c r="E1141" t="s">
        <v>21</v>
      </c>
      <c r="F1141" t="s">
        <v>22</v>
      </c>
      <c r="G1141" t="s">
        <v>25</v>
      </c>
      <c r="H1141" t="s">
        <v>29</v>
      </c>
      <c r="I1141" t="s">
        <v>34</v>
      </c>
      <c r="J1141" t="s">
        <v>39</v>
      </c>
      <c r="K1141" t="s">
        <v>48</v>
      </c>
      <c r="L1141" t="s">
        <v>53</v>
      </c>
      <c r="M1141" s="7">
        <v>10264</v>
      </c>
      <c r="N1141">
        <v>0.02</v>
      </c>
      <c r="O1141" s="7">
        <v>17887</v>
      </c>
      <c r="P1141">
        <v>2</v>
      </c>
      <c r="Q1141" t="s">
        <v>58</v>
      </c>
      <c r="R1141" t="s">
        <v>62</v>
      </c>
      <c r="S1141">
        <f t="shared" si="85"/>
        <v>2024</v>
      </c>
      <c r="T1141" t="str">
        <f t="shared" si="86"/>
        <v>Feb</v>
      </c>
      <c r="U1141">
        <f t="shared" si="87"/>
        <v>2</v>
      </c>
      <c r="V1141">
        <f t="shared" si="88"/>
        <v>4</v>
      </c>
      <c r="W1141" s="9">
        <f t="shared" si="89"/>
        <v>1.7426929072486359</v>
      </c>
    </row>
    <row r="1142" spans="1:23">
      <c r="A1142">
        <v>11141</v>
      </c>
      <c r="B1142" s="5">
        <v>45337</v>
      </c>
      <c r="C1142" s="5">
        <v>45340</v>
      </c>
      <c r="D1142" s="5">
        <v>45342</v>
      </c>
      <c r="E1142" t="s">
        <v>18</v>
      </c>
      <c r="F1142" t="s">
        <v>22</v>
      </c>
      <c r="G1142" t="s">
        <v>25</v>
      </c>
      <c r="H1142" t="s">
        <v>33</v>
      </c>
      <c r="I1142" t="s">
        <v>34</v>
      </c>
      <c r="J1142" t="s">
        <v>38</v>
      </c>
      <c r="K1142" t="s">
        <v>49</v>
      </c>
      <c r="L1142" t="s">
        <v>53</v>
      </c>
      <c r="M1142" s="7">
        <v>27680</v>
      </c>
      <c r="N1142">
        <v>0.02</v>
      </c>
      <c r="O1142" s="7">
        <v>6602</v>
      </c>
      <c r="P1142">
        <v>8</v>
      </c>
      <c r="Q1142" t="s">
        <v>54</v>
      </c>
      <c r="R1142" t="s">
        <v>59</v>
      </c>
      <c r="S1142">
        <f t="shared" si="85"/>
        <v>2024</v>
      </c>
      <c r="T1142" t="str">
        <f t="shared" si="86"/>
        <v>Feb</v>
      </c>
      <c r="U1142">
        <f t="shared" si="87"/>
        <v>3</v>
      </c>
      <c r="V1142">
        <f t="shared" si="88"/>
        <v>5</v>
      </c>
      <c r="W1142" s="9">
        <f t="shared" si="89"/>
        <v>0.23851156069364163</v>
      </c>
    </row>
    <row r="1143" spans="1:23">
      <c r="A1143">
        <v>11142</v>
      </c>
      <c r="B1143" s="5">
        <v>45338</v>
      </c>
      <c r="C1143" s="5">
        <v>45343</v>
      </c>
      <c r="D1143" s="5">
        <v>45348</v>
      </c>
      <c r="E1143" t="s">
        <v>21</v>
      </c>
      <c r="F1143" t="s">
        <v>22</v>
      </c>
      <c r="G1143" t="s">
        <v>26</v>
      </c>
      <c r="H1143" t="s">
        <v>32</v>
      </c>
      <c r="I1143" t="s">
        <v>36</v>
      </c>
      <c r="J1143" t="s">
        <v>40</v>
      </c>
      <c r="K1143" t="s">
        <v>49</v>
      </c>
      <c r="L1143" t="s">
        <v>53</v>
      </c>
      <c r="M1143" s="7">
        <v>28323</v>
      </c>
      <c r="N1143">
        <v>0.22</v>
      </c>
      <c r="O1143" s="7">
        <v>240</v>
      </c>
      <c r="P1143">
        <v>18</v>
      </c>
      <c r="Q1143" t="s">
        <v>55</v>
      </c>
      <c r="R1143" t="s">
        <v>62</v>
      </c>
      <c r="S1143">
        <f t="shared" si="85"/>
        <v>2024</v>
      </c>
      <c r="T1143" t="str">
        <f t="shared" si="86"/>
        <v>Feb</v>
      </c>
      <c r="U1143">
        <f t="shared" si="87"/>
        <v>5</v>
      </c>
      <c r="V1143">
        <f t="shared" si="88"/>
        <v>10</v>
      </c>
      <c r="W1143" s="9">
        <f t="shared" si="89"/>
        <v>8.4736786357377403E-3</v>
      </c>
    </row>
    <row r="1144" spans="1:23">
      <c r="A1144">
        <v>11143</v>
      </c>
      <c r="B1144" s="5">
        <v>45339</v>
      </c>
      <c r="C1144" s="5">
        <v>45346</v>
      </c>
      <c r="D1144" s="5">
        <v>45350</v>
      </c>
      <c r="E1144" t="s">
        <v>19</v>
      </c>
      <c r="F1144" t="s">
        <v>22</v>
      </c>
      <c r="G1144" t="s">
        <v>25</v>
      </c>
      <c r="H1144" t="s">
        <v>25</v>
      </c>
      <c r="I1144" t="s">
        <v>34</v>
      </c>
      <c r="J1144" t="s">
        <v>42</v>
      </c>
      <c r="K1144" t="s">
        <v>46</v>
      </c>
      <c r="L1144" t="s">
        <v>51</v>
      </c>
      <c r="M1144" s="7">
        <v>50742</v>
      </c>
      <c r="N1144">
        <v>0.02</v>
      </c>
      <c r="O1144" s="7">
        <v>5204</v>
      </c>
      <c r="P1144">
        <v>2</v>
      </c>
      <c r="Q1144" t="s">
        <v>57</v>
      </c>
      <c r="R1144" t="s">
        <v>62</v>
      </c>
      <c r="S1144">
        <f t="shared" si="85"/>
        <v>2024</v>
      </c>
      <c r="T1144" t="str">
        <f t="shared" si="86"/>
        <v>Feb</v>
      </c>
      <c r="U1144">
        <f t="shared" si="87"/>
        <v>7</v>
      </c>
      <c r="V1144">
        <f t="shared" si="88"/>
        <v>11</v>
      </c>
      <c r="W1144" s="9">
        <f t="shared" si="89"/>
        <v>0.10255803870560877</v>
      </c>
    </row>
    <row r="1145" spans="1:23">
      <c r="A1145">
        <v>11144</v>
      </c>
      <c r="B1145" s="5">
        <v>45340</v>
      </c>
      <c r="C1145" s="5">
        <v>45347</v>
      </c>
      <c r="D1145" s="5">
        <v>45349</v>
      </c>
      <c r="E1145" t="s">
        <v>19</v>
      </c>
      <c r="F1145" t="s">
        <v>22</v>
      </c>
      <c r="G1145" t="s">
        <v>25</v>
      </c>
      <c r="H1145" t="s">
        <v>30</v>
      </c>
      <c r="I1145" t="s">
        <v>36</v>
      </c>
      <c r="J1145" t="s">
        <v>37</v>
      </c>
      <c r="K1145" t="s">
        <v>44</v>
      </c>
      <c r="L1145" t="s">
        <v>53</v>
      </c>
      <c r="M1145" s="7">
        <v>66979</v>
      </c>
      <c r="N1145">
        <v>0.28000000000000003</v>
      </c>
      <c r="O1145" s="7">
        <v>9342</v>
      </c>
      <c r="P1145">
        <v>3</v>
      </c>
      <c r="Q1145" t="s">
        <v>55</v>
      </c>
      <c r="R1145" t="s">
        <v>62</v>
      </c>
      <c r="S1145">
        <f t="shared" si="85"/>
        <v>2024</v>
      </c>
      <c r="T1145" t="str">
        <f t="shared" si="86"/>
        <v>Feb</v>
      </c>
      <c r="U1145">
        <f t="shared" si="87"/>
        <v>7</v>
      </c>
      <c r="V1145">
        <f t="shared" si="88"/>
        <v>9</v>
      </c>
      <c r="W1145" s="9">
        <f t="shared" si="89"/>
        <v>0.1394765523522298</v>
      </c>
    </row>
    <row r="1146" spans="1:23">
      <c r="A1146">
        <v>11145</v>
      </c>
      <c r="B1146" s="5">
        <v>45341</v>
      </c>
      <c r="C1146" s="5">
        <v>45348</v>
      </c>
      <c r="D1146" s="5">
        <v>45350</v>
      </c>
      <c r="E1146" t="s">
        <v>21</v>
      </c>
      <c r="F1146" t="s">
        <v>22</v>
      </c>
      <c r="G1146" t="s">
        <v>26</v>
      </c>
      <c r="H1146" t="s">
        <v>33</v>
      </c>
      <c r="I1146" t="s">
        <v>34</v>
      </c>
      <c r="J1146" t="s">
        <v>41</v>
      </c>
      <c r="K1146" t="s">
        <v>48</v>
      </c>
      <c r="L1146" t="s">
        <v>52</v>
      </c>
      <c r="M1146" s="7">
        <v>1830</v>
      </c>
      <c r="N1146">
        <v>0.23</v>
      </c>
      <c r="O1146" s="7">
        <v>12137</v>
      </c>
      <c r="P1146">
        <v>1</v>
      </c>
      <c r="Q1146" t="s">
        <v>54</v>
      </c>
      <c r="R1146" t="s">
        <v>60</v>
      </c>
      <c r="S1146">
        <f t="shared" si="85"/>
        <v>2024</v>
      </c>
      <c r="T1146" t="str">
        <f t="shared" si="86"/>
        <v>Feb</v>
      </c>
      <c r="U1146">
        <f t="shared" si="87"/>
        <v>7</v>
      </c>
      <c r="V1146">
        <f t="shared" si="88"/>
        <v>9</v>
      </c>
      <c r="W1146" s="9">
        <f t="shared" si="89"/>
        <v>6.6322404371584698</v>
      </c>
    </row>
    <row r="1147" spans="1:23">
      <c r="A1147">
        <v>11146</v>
      </c>
      <c r="B1147" s="5">
        <v>45342</v>
      </c>
      <c r="C1147" s="5">
        <v>45346</v>
      </c>
      <c r="D1147" s="5">
        <v>45349</v>
      </c>
      <c r="E1147" t="s">
        <v>18</v>
      </c>
      <c r="F1147" t="s">
        <v>22</v>
      </c>
      <c r="G1147" t="s">
        <v>28</v>
      </c>
      <c r="H1147" t="s">
        <v>31</v>
      </c>
      <c r="I1147" t="s">
        <v>34</v>
      </c>
      <c r="J1147" t="s">
        <v>41</v>
      </c>
      <c r="K1147" t="s">
        <v>47</v>
      </c>
      <c r="L1147" t="s">
        <v>51</v>
      </c>
      <c r="M1147" s="7">
        <v>69690</v>
      </c>
      <c r="N1147">
        <v>0.15</v>
      </c>
      <c r="O1147" s="7">
        <v>13770</v>
      </c>
      <c r="P1147">
        <v>4</v>
      </c>
      <c r="Q1147" t="s">
        <v>54</v>
      </c>
      <c r="R1147" t="s">
        <v>59</v>
      </c>
      <c r="S1147">
        <f t="shared" si="85"/>
        <v>2024</v>
      </c>
      <c r="T1147" t="str">
        <f t="shared" si="86"/>
        <v>Feb</v>
      </c>
      <c r="U1147">
        <f t="shared" si="87"/>
        <v>4</v>
      </c>
      <c r="V1147">
        <f t="shared" si="88"/>
        <v>7</v>
      </c>
      <c r="W1147" s="9">
        <f t="shared" si="89"/>
        <v>0.19758932414980629</v>
      </c>
    </row>
    <row r="1148" spans="1:23">
      <c r="A1148">
        <v>11147</v>
      </c>
      <c r="B1148" s="5">
        <v>45343</v>
      </c>
      <c r="C1148" s="5">
        <v>45346</v>
      </c>
      <c r="D1148" s="5">
        <v>45348</v>
      </c>
      <c r="E1148" t="s">
        <v>18</v>
      </c>
      <c r="F1148" t="s">
        <v>22</v>
      </c>
      <c r="G1148" t="s">
        <v>28</v>
      </c>
      <c r="H1148" t="s">
        <v>33</v>
      </c>
      <c r="I1148" t="s">
        <v>34</v>
      </c>
      <c r="J1148" t="s">
        <v>41</v>
      </c>
      <c r="K1148" t="s">
        <v>45</v>
      </c>
      <c r="L1148" t="s">
        <v>53</v>
      </c>
      <c r="M1148" s="7">
        <v>7892</v>
      </c>
      <c r="N1148">
        <v>0.13</v>
      </c>
      <c r="O1148" s="7">
        <v>8711</v>
      </c>
      <c r="P1148">
        <v>9</v>
      </c>
      <c r="Q1148" t="s">
        <v>55</v>
      </c>
      <c r="R1148" t="s">
        <v>59</v>
      </c>
      <c r="S1148">
        <f t="shared" si="85"/>
        <v>2024</v>
      </c>
      <c r="T1148" t="str">
        <f t="shared" si="86"/>
        <v>Feb</v>
      </c>
      <c r="U1148">
        <f t="shared" si="87"/>
        <v>3</v>
      </c>
      <c r="V1148">
        <f t="shared" si="88"/>
        <v>5</v>
      </c>
      <c r="W1148" s="9">
        <f t="shared" si="89"/>
        <v>1.1037759756715662</v>
      </c>
    </row>
    <row r="1149" spans="1:23">
      <c r="A1149">
        <v>11148</v>
      </c>
      <c r="B1149" s="5">
        <v>45344</v>
      </c>
      <c r="C1149" s="5">
        <v>45350</v>
      </c>
      <c r="D1149" s="5">
        <v>45352</v>
      </c>
      <c r="E1149" t="s">
        <v>18</v>
      </c>
      <c r="F1149" t="s">
        <v>22</v>
      </c>
      <c r="G1149" t="s">
        <v>27</v>
      </c>
      <c r="H1149" t="s">
        <v>32</v>
      </c>
      <c r="I1149" t="s">
        <v>36</v>
      </c>
      <c r="J1149" t="s">
        <v>39</v>
      </c>
      <c r="K1149" t="s">
        <v>49</v>
      </c>
      <c r="L1149" t="s">
        <v>52</v>
      </c>
      <c r="M1149" s="7">
        <v>63645</v>
      </c>
      <c r="N1149">
        <v>0.33</v>
      </c>
      <c r="O1149" s="7">
        <v>12309</v>
      </c>
      <c r="P1149">
        <v>6</v>
      </c>
      <c r="Q1149" t="s">
        <v>54</v>
      </c>
      <c r="R1149" t="s">
        <v>60</v>
      </c>
      <c r="S1149">
        <f t="shared" si="85"/>
        <v>2024</v>
      </c>
      <c r="T1149" t="str">
        <f t="shared" si="86"/>
        <v>Feb</v>
      </c>
      <c r="U1149">
        <f t="shared" si="87"/>
        <v>6</v>
      </c>
      <c r="V1149">
        <f t="shared" si="88"/>
        <v>8</v>
      </c>
      <c r="W1149" s="9">
        <f t="shared" si="89"/>
        <v>0.19340089559274098</v>
      </c>
    </row>
    <row r="1150" spans="1:23">
      <c r="A1150">
        <v>11149</v>
      </c>
      <c r="B1150" s="5">
        <v>45345</v>
      </c>
      <c r="C1150" s="5">
        <v>45348</v>
      </c>
      <c r="D1150" s="5">
        <v>45353</v>
      </c>
      <c r="E1150" t="s">
        <v>20</v>
      </c>
      <c r="F1150" t="s">
        <v>22</v>
      </c>
      <c r="G1150" t="s">
        <v>26</v>
      </c>
      <c r="H1150" t="s">
        <v>29</v>
      </c>
      <c r="I1150" t="s">
        <v>36</v>
      </c>
      <c r="J1150" t="s">
        <v>39</v>
      </c>
      <c r="K1150" t="s">
        <v>45</v>
      </c>
      <c r="L1150" t="s">
        <v>53</v>
      </c>
      <c r="M1150" s="7">
        <v>30557</v>
      </c>
      <c r="N1150">
        <v>0.27</v>
      </c>
      <c r="O1150" s="7">
        <v>-1556</v>
      </c>
      <c r="P1150">
        <v>13</v>
      </c>
      <c r="Q1150" t="s">
        <v>54</v>
      </c>
      <c r="R1150" t="s">
        <v>59</v>
      </c>
      <c r="S1150">
        <f t="shared" si="85"/>
        <v>2024</v>
      </c>
      <c r="T1150" t="str">
        <f t="shared" si="86"/>
        <v>Feb</v>
      </c>
      <c r="U1150">
        <f t="shared" si="87"/>
        <v>3</v>
      </c>
      <c r="V1150">
        <f t="shared" si="88"/>
        <v>8</v>
      </c>
      <c r="W1150" s="9">
        <f t="shared" si="89"/>
        <v>-5.0921229178257026E-2</v>
      </c>
    </row>
    <row r="1151" spans="1:23">
      <c r="A1151">
        <v>11150</v>
      </c>
      <c r="B1151" s="5">
        <v>45346</v>
      </c>
      <c r="C1151" s="5">
        <v>45352</v>
      </c>
      <c r="D1151" s="5">
        <v>45354</v>
      </c>
      <c r="E1151" t="s">
        <v>18</v>
      </c>
      <c r="F1151" t="s">
        <v>22</v>
      </c>
      <c r="G1151" t="s">
        <v>28</v>
      </c>
      <c r="H1151" t="s">
        <v>25</v>
      </c>
      <c r="I1151" t="s">
        <v>36</v>
      </c>
      <c r="J1151" t="s">
        <v>41</v>
      </c>
      <c r="K1151" t="s">
        <v>45</v>
      </c>
      <c r="L1151" t="s">
        <v>52</v>
      </c>
      <c r="M1151" s="7">
        <v>74959</v>
      </c>
      <c r="N1151">
        <v>0.13</v>
      </c>
      <c r="O1151" s="7">
        <v>10796</v>
      </c>
      <c r="P1151">
        <v>23</v>
      </c>
      <c r="Q1151" t="s">
        <v>58</v>
      </c>
      <c r="R1151" t="s">
        <v>60</v>
      </c>
      <c r="S1151">
        <f t="shared" si="85"/>
        <v>2024</v>
      </c>
      <c r="T1151" t="str">
        <f t="shared" si="86"/>
        <v>Feb</v>
      </c>
      <c r="U1151">
        <f t="shared" si="87"/>
        <v>6</v>
      </c>
      <c r="V1151">
        <f t="shared" si="88"/>
        <v>8</v>
      </c>
      <c r="W1151" s="9">
        <f t="shared" si="89"/>
        <v>0.14402540055230192</v>
      </c>
    </row>
    <row r="1152" spans="1:23">
      <c r="A1152">
        <v>11151</v>
      </c>
      <c r="B1152" s="5">
        <v>45347</v>
      </c>
      <c r="C1152" s="5">
        <v>45354</v>
      </c>
      <c r="D1152" s="5">
        <v>45356</v>
      </c>
      <c r="E1152" t="s">
        <v>20</v>
      </c>
      <c r="F1152" t="s">
        <v>22</v>
      </c>
      <c r="G1152" t="s">
        <v>23</v>
      </c>
      <c r="H1152" t="s">
        <v>30</v>
      </c>
      <c r="I1152" t="s">
        <v>34</v>
      </c>
      <c r="J1152" t="s">
        <v>41</v>
      </c>
      <c r="K1152" t="s">
        <v>50</v>
      </c>
      <c r="L1152" t="s">
        <v>51</v>
      </c>
      <c r="M1152" s="7">
        <v>1363</v>
      </c>
      <c r="N1152">
        <v>0.05</v>
      </c>
      <c r="O1152" s="7">
        <v>11394</v>
      </c>
      <c r="P1152">
        <v>4</v>
      </c>
      <c r="Q1152" t="s">
        <v>58</v>
      </c>
      <c r="R1152" t="s">
        <v>60</v>
      </c>
      <c r="S1152">
        <f t="shared" si="85"/>
        <v>2024</v>
      </c>
      <c r="T1152" t="str">
        <f t="shared" si="86"/>
        <v>Feb</v>
      </c>
      <c r="U1152">
        <f t="shared" si="87"/>
        <v>7</v>
      </c>
      <c r="V1152">
        <f t="shared" si="88"/>
        <v>9</v>
      </c>
      <c r="W1152" s="9">
        <f t="shared" si="89"/>
        <v>8.3595011005135724</v>
      </c>
    </row>
    <row r="1153" spans="1:23">
      <c r="A1153">
        <v>11152</v>
      </c>
      <c r="B1153" s="5">
        <v>45348</v>
      </c>
      <c r="C1153" s="5">
        <v>45350</v>
      </c>
      <c r="D1153" s="5">
        <v>45354</v>
      </c>
      <c r="E1153" t="s">
        <v>20</v>
      </c>
      <c r="F1153" t="s">
        <v>22</v>
      </c>
      <c r="G1153" t="s">
        <v>26</v>
      </c>
      <c r="H1153" t="s">
        <v>33</v>
      </c>
      <c r="I1153" t="s">
        <v>36</v>
      </c>
      <c r="J1153" t="s">
        <v>38</v>
      </c>
      <c r="K1153" t="s">
        <v>47</v>
      </c>
      <c r="L1153" t="s">
        <v>53</v>
      </c>
      <c r="M1153" s="7">
        <v>62782</v>
      </c>
      <c r="N1153">
        <v>0.16</v>
      </c>
      <c r="O1153" s="7">
        <v>14850</v>
      </c>
      <c r="P1153">
        <v>14</v>
      </c>
      <c r="Q1153" t="s">
        <v>57</v>
      </c>
      <c r="R1153" t="s">
        <v>60</v>
      </c>
      <c r="S1153">
        <f t="shared" si="85"/>
        <v>2024</v>
      </c>
      <c r="T1153" t="str">
        <f t="shared" si="86"/>
        <v>Feb</v>
      </c>
      <c r="U1153">
        <f t="shared" si="87"/>
        <v>2</v>
      </c>
      <c r="V1153">
        <f t="shared" si="88"/>
        <v>6</v>
      </c>
      <c r="W1153" s="9">
        <f t="shared" si="89"/>
        <v>0.23653276416807364</v>
      </c>
    </row>
    <row r="1154" spans="1:23">
      <c r="A1154">
        <v>11153</v>
      </c>
      <c r="B1154" s="5">
        <v>45349</v>
      </c>
      <c r="C1154" s="5">
        <v>45352</v>
      </c>
      <c r="D1154" s="5">
        <v>45353</v>
      </c>
      <c r="E1154" t="s">
        <v>21</v>
      </c>
      <c r="F1154" t="s">
        <v>22</v>
      </c>
      <c r="G1154" t="s">
        <v>23</v>
      </c>
      <c r="H1154" t="s">
        <v>30</v>
      </c>
      <c r="I1154" t="s">
        <v>36</v>
      </c>
      <c r="J1154" t="s">
        <v>39</v>
      </c>
      <c r="K1154" t="s">
        <v>44</v>
      </c>
      <c r="L1154" t="s">
        <v>53</v>
      </c>
      <c r="M1154" s="7">
        <v>74499</v>
      </c>
      <c r="N1154">
        <v>0.16</v>
      </c>
      <c r="O1154" s="7">
        <v>5869</v>
      </c>
      <c r="P1154">
        <v>7</v>
      </c>
      <c r="Q1154" t="s">
        <v>54</v>
      </c>
      <c r="R1154" t="s">
        <v>62</v>
      </c>
      <c r="S1154">
        <f t="shared" si="85"/>
        <v>2024</v>
      </c>
      <c r="T1154" t="str">
        <f t="shared" si="86"/>
        <v>Feb</v>
      </c>
      <c r="U1154">
        <f t="shared" si="87"/>
        <v>3</v>
      </c>
      <c r="V1154">
        <f t="shared" si="88"/>
        <v>4</v>
      </c>
      <c r="W1154" s="9">
        <f t="shared" si="89"/>
        <v>7.8779580933972262E-2</v>
      </c>
    </row>
    <row r="1155" spans="1:23">
      <c r="A1155">
        <v>11154</v>
      </c>
      <c r="B1155" s="5">
        <v>45350</v>
      </c>
      <c r="C1155" s="5">
        <v>45352</v>
      </c>
      <c r="D1155" s="5">
        <v>45353</v>
      </c>
      <c r="E1155" t="s">
        <v>20</v>
      </c>
      <c r="F1155" t="s">
        <v>22</v>
      </c>
      <c r="G1155" t="s">
        <v>23</v>
      </c>
      <c r="H1155" t="s">
        <v>30</v>
      </c>
      <c r="I1155" t="s">
        <v>35</v>
      </c>
      <c r="J1155" t="s">
        <v>42</v>
      </c>
      <c r="K1155" t="s">
        <v>44</v>
      </c>
      <c r="L1155" t="s">
        <v>52</v>
      </c>
      <c r="M1155" s="7">
        <v>22621</v>
      </c>
      <c r="N1155">
        <v>0.05</v>
      </c>
      <c r="O1155" s="7">
        <v>5893</v>
      </c>
      <c r="P1155">
        <v>10</v>
      </c>
      <c r="Q1155" t="s">
        <v>58</v>
      </c>
      <c r="R1155" t="s">
        <v>59</v>
      </c>
      <c r="S1155">
        <f t="shared" ref="S1155:S1218" si="90">YEAR(B1155)</f>
        <v>2024</v>
      </c>
      <c r="T1155" t="str">
        <f t="shared" ref="T1155:T1218" si="91">TEXT(B1155,"mmm")</f>
        <v>Feb</v>
      </c>
      <c r="U1155">
        <f t="shared" ref="U1155:U1218" si="92">C1155-B1155</f>
        <v>2</v>
      </c>
      <c r="V1155">
        <f t="shared" ref="V1155:V1218" si="93">D1155-B1155</f>
        <v>3</v>
      </c>
      <c r="W1155" s="9">
        <f t="shared" ref="W1155:W1218" si="94">IFERROR(O1155/M1155,0)</f>
        <v>0.26051014544007778</v>
      </c>
    </row>
    <row r="1156" spans="1:23">
      <c r="A1156">
        <v>11155</v>
      </c>
      <c r="B1156" s="5">
        <v>45351</v>
      </c>
      <c r="C1156" s="5">
        <v>45355</v>
      </c>
      <c r="D1156" s="5">
        <v>45358</v>
      </c>
      <c r="E1156" t="s">
        <v>19</v>
      </c>
      <c r="F1156" t="s">
        <v>22</v>
      </c>
      <c r="G1156" t="s">
        <v>28</v>
      </c>
      <c r="H1156" t="s">
        <v>25</v>
      </c>
      <c r="I1156" t="s">
        <v>36</v>
      </c>
      <c r="J1156" t="s">
        <v>40</v>
      </c>
      <c r="K1156" t="s">
        <v>46</v>
      </c>
      <c r="L1156" t="s">
        <v>52</v>
      </c>
      <c r="M1156" s="7">
        <v>49225</v>
      </c>
      <c r="N1156">
        <v>0.12</v>
      </c>
      <c r="O1156" s="7">
        <v>4439</v>
      </c>
      <c r="P1156">
        <v>11</v>
      </c>
      <c r="Q1156" t="s">
        <v>57</v>
      </c>
      <c r="R1156" t="s">
        <v>59</v>
      </c>
      <c r="S1156">
        <f t="shared" si="90"/>
        <v>2024</v>
      </c>
      <c r="T1156" t="str">
        <f t="shared" si="91"/>
        <v>Feb</v>
      </c>
      <c r="U1156">
        <f t="shared" si="92"/>
        <v>4</v>
      </c>
      <c r="V1156">
        <f t="shared" si="93"/>
        <v>7</v>
      </c>
      <c r="W1156" s="9">
        <f t="shared" si="94"/>
        <v>9.0177755205688173E-2</v>
      </c>
    </row>
    <row r="1157" spans="1:23">
      <c r="A1157">
        <v>11156</v>
      </c>
      <c r="B1157" s="5">
        <v>45352</v>
      </c>
      <c r="C1157" s="5">
        <v>45358</v>
      </c>
      <c r="D1157" s="5">
        <v>45363</v>
      </c>
      <c r="E1157" t="s">
        <v>21</v>
      </c>
      <c r="F1157" t="s">
        <v>22</v>
      </c>
      <c r="G1157" t="s">
        <v>26</v>
      </c>
      <c r="H1157" t="s">
        <v>32</v>
      </c>
      <c r="I1157" t="s">
        <v>35</v>
      </c>
      <c r="J1157" t="s">
        <v>42</v>
      </c>
      <c r="K1157" t="s">
        <v>45</v>
      </c>
      <c r="L1157" t="s">
        <v>53</v>
      </c>
      <c r="M1157" s="7">
        <v>59896</v>
      </c>
      <c r="N1157">
        <v>0.14000000000000001</v>
      </c>
      <c r="O1157" s="7">
        <v>-574</v>
      </c>
      <c r="P1157">
        <v>9</v>
      </c>
      <c r="Q1157" t="s">
        <v>54</v>
      </c>
      <c r="R1157" t="s">
        <v>62</v>
      </c>
      <c r="S1157">
        <f t="shared" si="90"/>
        <v>2024</v>
      </c>
      <c r="T1157" t="str">
        <f t="shared" si="91"/>
        <v>Mar</v>
      </c>
      <c r="U1157">
        <f t="shared" si="92"/>
        <v>6</v>
      </c>
      <c r="V1157">
        <f t="shared" si="93"/>
        <v>11</v>
      </c>
      <c r="W1157" s="9">
        <f t="shared" si="94"/>
        <v>-9.5832776813142787E-3</v>
      </c>
    </row>
    <row r="1158" spans="1:23">
      <c r="A1158">
        <v>11157</v>
      </c>
      <c r="B1158" s="5">
        <v>45353</v>
      </c>
      <c r="C1158" s="5">
        <v>45357</v>
      </c>
      <c r="D1158" s="5">
        <v>45359</v>
      </c>
      <c r="E1158" t="s">
        <v>19</v>
      </c>
      <c r="F1158" t="s">
        <v>22</v>
      </c>
      <c r="G1158" t="s">
        <v>23</v>
      </c>
      <c r="H1158" t="s">
        <v>32</v>
      </c>
      <c r="I1158" t="s">
        <v>34</v>
      </c>
      <c r="J1158" t="s">
        <v>43</v>
      </c>
      <c r="K1158" t="s">
        <v>49</v>
      </c>
      <c r="L1158" t="s">
        <v>53</v>
      </c>
      <c r="M1158" s="7">
        <v>22062</v>
      </c>
      <c r="N1158">
        <v>0.17</v>
      </c>
      <c r="O1158" s="7">
        <v>17933</v>
      </c>
      <c r="P1158">
        <v>3</v>
      </c>
      <c r="Q1158" t="s">
        <v>55</v>
      </c>
      <c r="R1158" t="s">
        <v>60</v>
      </c>
      <c r="S1158">
        <f t="shared" si="90"/>
        <v>2024</v>
      </c>
      <c r="T1158" t="str">
        <f t="shared" si="91"/>
        <v>Mar</v>
      </c>
      <c r="U1158">
        <f t="shared" si="92"/>
        <v>4</v>
      </c>
      <c r="V1158">
        <f t="shared" si="93"/>
        <v>6</v>
      </c>
      <c r="W1158" s="9">
        <f t="shared" si="94"/>
        <v>0.81284561689783341</v>
      </c>
    </row>
    <row r="1159" spans="1:23">
      <c r="A1159">
        <v>11158</v>
      </c>
      <c r="B1159" s="5">
        <v>45354</v>
      </c>
      <c r="C1159" s="5">
        <v>45361</v>
      </c>
      <c r="D1159" s="5">
        <v>45365</v>
      </c>
      <c r="E1159" t="s">
        <v>20</v>
      </c>
      <c r="F1159" t="s">
        <v>22</v>
      </c>
      <c r="G1159" t="s">
        <v>23</v>
      </c>
      <c r="H1159" t="s">
        <v>32</v>
      </c>
      <c r="I1159" t="s">
        <v>34</v>
      </c>
      <c r="J1159" t="s">
        <v>40</v>
      </c>
      <c r="K1159" t="s">
        <v>48</v>
      </c>
      <c r="L1159" t="s">
        <v>53</v>
      </c>
      <c r="M1159" s="7">
        <v>31089</v>
      </c>
      <c r="N1159">
        <v>0.28000000000000003</v>
      </c>
      <c r="O1159" s="7">
        <v>17000</v>
      </c>
      <c r="P1159">
        <v>22</v>
      </c>
      <c r="Q1159" t="s">
        <v>54</v>
      </c>
      <c r="R1159" t="s">
        <v>61</v>
      </c>
      <c r="S1159">
        <f t="shared" si="90"/>
        <v>2024</v>
      </c>
      <c r="T1159" t="str">
        <f t="shared" si="91"/>
        <v>Mar</v>
      </c>
      <c r="U1159">
        <f t="shared" si="92"/>
        <v>7</v>
      </c>
      <c r="V1159">
        <f t="shared" si="93"/>
        <v>11</v>
      </c>
      <c r="W1159" s="9">
        <f t="shared" si="94"/>
        <v>0.54681720222586772</v>
      </c>
    </row>
    <row r="1160" spans="1:23">
      <c r="A1160">
        <v>11159</v>
      </c>
      <c r="B1160" s="5">
        <v>45355</v>
      </c>
      <c r="C1160" s="5">
        <v>45358</v>
      </c>
      <c r="D1160" s="5">
        <v>45360</v>
      </c>
      <c r="E1160" t="s">
        <v>18</v>
      </c>
      <c r="F1160" t="s">
        <v>22</v>
      </c>
      <c r="G1160" t="s">
        <v>24</v>
      </c>
      <c r="H1160" t="s">
        <v>29</v>
      </c>
      <c r="I1160" t="s">
        <v>36</v>
      </c>
      <c r="J1160" t="s">
        <v>41</v>
      </c>
      <c r="K1160" t="s">
        <v>48</v>
      </c>
      <c r="L1160" t="s">
        <v>51</v>
      </c>
      <c r="M1160" s="7">
        <v>50170</v>
      </c>
      <c r="N1160">
        <v>0.18</v>
      </c>
      <c r="O1160" s="7">
        <v>7878</v>
      </c>
      <c r="P1160">
        <v>6</v>
      </c>
      <c r="Q1160" t="s">
        <v>58</v>
      </c>
      <c r="R1160" t="s">
        <v>61</v>
      </c>
      <c r="S1160">
        <f t="shared" si="90"/>
        <v>2024</v>
      </c>
      <c r="T1160" t="str">
        <f t="shared" si="91"/>
        <v>Mar</v>
      </c>
      <c r="U1160">
        <f t="shared" si="92"/>
        <v>3</v>
      </c>
      <c r="V1160">
        <f t="shared" si="93"/>
        <v>5</v>
      </c>
      <c r="W1160" s="9">
        <f t="shared" si="94"/>
        <v>0.15702611122184573</v>
      </c>
    </row>
    <row r="1161" spans="1:23">
      <c r="A1161">
        <v>11160</v>
      </c>
      <c r="B1161" s="5">
        <v>45356</v>
      </c>
      <c r="C1161" s="5">
        <v>45362</v>
      </c>
      <c r="D1161" s="5">
        <v>45366</v>
      </c>
      <c r="E1161" t="s">
        <v>18</v>
      </c>
      <c r="F1161" t="s">
        <v>22</v>
      </c>
      <c r="G1161" t="s">
        <v>24</v>
      </c>
      <c r="H1161" t="s">
        <v>30</v>
      </c>
      <c r="I1161" t="s">
        <v>36</v>
      </c>
      <c r="J1161" t="s">
        <v>39</v>
      </c>
      <c r="K1161" t="s">
        <v>44</v>
      </c>
      <c r="L1161" t="s">
        <v>52</v>
      </c>
      <c r="M1161" s="7">
        <v>67589</v>
      </c>
      <c r="N1161">
        <v>0.23</v>
      </c>
      <c r="O1161" s="7">
        <v>9519</v>
      </c>
      <c r="P1161">
        <v>13</v>
      </c>
      <c r="Q1161" t="s">
        <v>55</v>
      </c>
      <c r="R1161" t="s">
        <v>61</v>
      </c>
      <c r="S1161">
        <f t="shared" si="90"/>
        <v>2024</v>
      </c>
      <c r="T1161" t="str">
        <f t="shared" si="91"/>
        <v>Mar</v>
      </c>
      <c r="U1161">
        <f t="shared" si="92"/>
        <v>6</v>
      </c>
      <c r="V1161">
        <f t="shared" si="93"/>
        <v>10</v>
      </c>
      <c r="W1161" s="9">
        <f t="shared" si="94"/>
        <v>0.14083652665374544</v>
      </c>
    </row>
    <row r="1162" spans="1:23">
      <c r="A1162">
        <v>11161</v>
      </c>
      <c r="B1162" s="5">
        <v>45357</v>
      </c>
      <c r="C1162" s="5">
        <v>45364</v>
      </c>
      <c r="D1162" s="5">
        <v>45367</v>
      </c>
      <c r="E1162" t="s">
        <v>21</v>
      </c>
      <c r="F1162" t="s">
        <v>22</v>
      </c>
      <c r="G1162" t="s">
        <v>24</v>
      </c>
      <c r="H1162" t="s">
        <v>31</v>
      </c>
      <c r="I1162" t="s">
        <v>35</v>
      </c>
      <c r="J1162" t="s">
        <v>42</v>
      </c>
      <c r="K1162" t="s">
        <v>46</v>
      </c>
      <c r="L1162" t="s">
        <v>53</v>
      </c>
      <c r="M1162" s="7">
        <v>71835</v>
      </c>
      <c r="N1162">
        <v>0.1</v>
      </c>
      <c r="O1162" s="7">
        <v>3177</v>
      </c>
      <c r="P1162">
        <v>20</v>
      </c>
      <c r="Q1162" t="s">
        <v>55</v>
      </c>
      <c r="R1162" t="s">
        <v>60</v>
      </c>
      <c r="S1162">
        <f t="shared" si="90"/>
        <v>2024</v>
      </c>
      <c r="T1162" t="str">
        <f t="shared" si="91"/>
        <v>Mar</v>
      </c>
      <c r="U1162">
        <f t="shared" si="92"/>
        <v>7</v>
      </c>
      <c r="V1162">
        <f t="shared" si="93"/>
        <v>10</v>
      </c>
      <c r="W1162" s="9">
        <f t="shared" si="94"/>
        <v>4.4226352056796828E-2</v>
      </c>
    </row>
    <row r="1163" spans="1:23">
      <c r="A1163">
        <v>11162</v>
      </c>
      <c r="B1163" s="5">
        <v>45358</v>
      </c>
      <c r="C1163" s="5">
        <v>45365</v>
      </c>
      <c r="D1163" s="5">
        <v>45369</v>
      </c>
      <c r="E1163" t="s">
        <v>20</v>
      </c>
      <c r="F1163" t="s">
        <v>22</v>
      </c>
      <c r="G1163" t="s">
        <v>23</v>
      </c>
      <c r="H1163" t="s">
        <v>30</v>
      </c>
      <c r="I1163" t="s">
        <v>36</v>
      </c>
      <c r="J1163" t="s">
        <v>42</v>
      </c>
      <c r="K1163" t="s">
        <v>46</v>
      </c>
      <c r="L1163" t="s">
        <v>51</v>
      </c>
      <c r="M1163" s="7">
        <v>26290</v>
      </c>
      <c r="N1163">
        <v>0.32</v>
      </c>
      <c r="O1163" s="7">
        <v>13052</v>
      </c>
      <c r="P1163">
        <v>13</v>
      </c>
      <c r="Q1163" t="s">
        <v>54</v>
      </c>
      <c r="R1163" t="s">
        <v>59</v>
      </c>
      <c r="S1163">
        <f t="shared" si="90"/>
        <v>2024</v>
      </c>
      <c r="T1163" t="str">
        <f t="shared" si="91"/>
        <v>Mar</v>
      </c>
      <c r="U1163">
        <f t="shared" si="92"/>
        <v>7</v>
      </c>
      <c r="V1163">
        <f t="shared" si="93"/>
        <v>11</v>
      </c>
      <c r="W1163" s="9">
        <f t="shared" si="94"/>
        <v>0.49646253328261697</v>
      </c>
    </row>
    <row r="1164" spans="1:23">
      <c r="A1164">
        <v>11163</v>
      </c>
      <c r="B1164" s="5">
        <v>45359</v>
      </c>
      <c r="C1164" s="5">
        <v>45365</v>
      </c>
      <c r="D1164" s="5">
        <v>45367</v>
      </c>
      <c r="E1164" t="s">
        <v>18</v>
      </c>
      <c r="F1164" t="s">
        <v>22</v>
      </c>
      <c r="G1164" t="s">
        <v>26</v>
      </c>
      <c r="H1164" t="s">
        <v>30</v>
      </c>
      <c r="I1164" t="s">
        <v>35</v>
      </c>
      <c r="J1164" t="s">
        <v>37</v>
      </c>
      <c r="K1164" t="s">
        <v>49</v>
      </c>
      <c r="L1164" t="s">
        <v>51</v>
      </c>
      <c r="M1164" s="7">
        <v>3594</v>
      </c>
      <c r="N1164">
        <v>0.24</v>
      </c>
      <c r="O1164" s="7">
        <v>19696</v>
      </c>
      <c r="P1164">
        <v>15</v>
      </c>
      <c r="Q1164" t="s">
        <v>55</v>
      </c>
      <c r="R1164" t="s">
        <v>61</v>
      </c>
      <c r="S1164">
        <f t="shared" si="90"/>
        <v>2024</v>
      </c>
      <c r="T1164" t="str">
        <f t="shared" si="91"/>
        <v>Mar</v>
      </c>
      <c r="U1164">
        <f t="shared" si="92"/>
        <v>6</v>
      </c>
      <c r="V1164">
        <f t="shared" si="93"/>
        <v>8</v>
      </c>
      <c r="W1164" s="9">
        <f t="shared" si="94"/>
        <v>5.4802448525319978</v>
      </c>
    </row>
    <row r="1165" spans="1:23">
      <c r="A1165">
        <v>11164</v>
      </c>
      <c r="B1165" s="5">
        <v>45360</v>
      </c>
      <c r="C1165" s="5">
        <v>45364</v>
      </c>
      <c r="D1165" s="5">
        <v>45367</v>
      </c>
      <c r="E1165" t="s">
        <v>20</v>
      </c>
      <c r="F1165" t="s">
        <v>22</v>
      </c>
      <c r="G1165" t="s">
        <v>23</v>
      </c>
      <c r="H1165" t="s">
        <v>31</v>
      </c>
      <c r="I1165" t="s">
        <v>36</v>
      </c>
      <c r="J1165" t="s">
        <v>37</v>
      </c>
      <c r="K1165" t="s">
        <v>47</v>
      </c>
      <c r="L1165" t="s">
        <v>52</v>
      </c>
      <c r="M1165" s="7">
        <v>30928</v>
      </c>
      <c r="N1165">
        <v>0.27</v>
      </c>
      <c r="O1165" s="7">
        <v>14129</v>
      </c>
      <c r="P1165">
        <v>19</v>
      </c>
      <c r="Q1165" t="s">
        <v>58</v>
      </c>
      <c r="R1165" t="s">
        <v>62</v>
      </c>
      <c r="S1165">
        <f t="shared" si="90"/>
        <v>2024</v>
      </c>
      <c r="T1165" t="str">
        <f t="shared" si="91"/>
        <v>Mar</v>
      </c>
      <c r="U1165">
        <f t="shared" si="92"/>
        <v>4</v>
      </c>
      <c r="V1165">
        <f t="shared" si="93"/>
        <v>7</v>
      </c>
      <c r="W1165" s="9">
        <f t="shared" si="94"/>
        <v>0.45683523021210554</v>
      </c>
    </row>
    <row r="1166" spans="1:23">
      <c r="A1166">
        <v>11165</v>
      </c>
      <c r="B1166" s="5">
        <v>45361</v>
      </c>
      <c r="C1166" s="5">
        <v>45365</v>
      </c>
      <c r="D1166" s="5">
        <v>45367</v>
      </c>
      <c r="E1166" t="s">
        <v>20</v>
      </c>
      <c r="F1166" t="s">
        <v>22</v>
      </c>
      <c r="G1166" t="s">
        <v>23</v>
      </c>
      <c r="H1166" t="s">
        <v>32</v>
      </c>
      <c r="I1166" t="s">
        <v>36</v>
      </c>
      <c r="J1166" t="s">
        <v>43</v>
      </c>
      <c r="K1166" t="s">
        <v>44</v>
      </c>
      <c r="L1166" t="s">
        <v>53</v>
      </c>
      <c r="M1166" s="7">
        <v>68084</v>
      </c>
      <c r="N1166">
        <v>0.18</v>
      </c>
      <c r="O1166" s="7">
        <v>14093</v>
      </c>
      <c r="P1166">
        <v>13</v>
      </c>
      <c r="Q1166" t="s">
        <v>54</v>
      </c>
      <c r="R1166" t="s">
        <v>61</v>
      </c>
      <c r="S1166">
        <f t="shared" si="90"/>
        <v>2024</v>
      </c>
      <c r="T1166" t="str">
        <f t="shared" si="91"/>
        <v>Mar</v>
      </c>
      <c r="U1166">
        <f t="shared" si="92"/>
        <v>4</v>
      </c>
      <c r="V1166">
        <f t="shared" si="93"/>
        <v>6</v>
      </c>
      <c r="W1166" s="9">
        <f t="shared" si="94"/>
        <v>0.20699430115739381</v>
      </c>
    </row>
    <row r="1167" spans="1:23">
      <c r="A1167">
        <v>11166</v>
      </c>
      <c r="B1167" s="5">
        <v>45362</v>
      </c>
      <c r="C1167" s="5">
        <v>45367</v>
      </c>
      <c r="D1167" s="5">
        <v>45372</v>
      </c>
      <c r="E1167" t="s">
        <v>18</v>
      </c>
      <c r="F1167" t="s">
        <v>22</v>
      </c>
      <c r="G1167" t="s">
        <v>23</v>
      </c>
      <c r="H1167" t="s">
        <v>33</v>
      </c>
      <c r="I1167" t="s">
        <v>34</v>
      </c>
      <c r="J1167" t="s">
        <v>40</v>
      </c>
      <c r="K1167" t="s">
        <v>50</v>
      </c>
      <c r="L1167" t="s">
        <v>51</v>
      </c>
      <c r="M1167" s="7">
        <v>46330</v>
      </c>
      <c r="N1167">
        <v>0.03</v>
      </c>
      <c r="O1167" s="7">
        <v>18790</v>
      </c>
      <c r="P1167">
        <v>5</v>
      </c>
      <c r="Q1167" t="s">
        <v>56</v>
      </c>
      <c r="R1167" t="s">
        <v>60</v>
      </c>
      <c r="S1167">
        <f t="shared" si="90"/>
        <v>2024</v>
      </c>
      <c r="T1167" t="str">
        <f t="shared" si="91"/>
        <v>Mar</v>
      </c>
      <c r="U1167">
        <f t="shared" si="92"/>
        <v>5</v>
      </c>
      <c r="V1167">
        <f t="shared" si="93"/>
        <v>10</v>
      </c>
      <c r="W1167" s="9">
        <f t="shared" si="94"/>
        <v>0.40556874595294623</v>
      </c>
    </row>
    <row r="1168" spans="1:23">
      <c r="A1168">
        <v>11167</v>
      </c>
      <c r="B1168" s="5">
        <v>45363</v>
      </c>
      <c r="C1168" s="5">
        <v>45368</v>
      </c>
      <c r="D1168" s="5">
        <v>45371</v>
      </c>
      <c r="E1168" t="s">
        <v>21</v>
      </c>
      <c r="F1168" t="s">
        <v>22</v>
      </c>
      <c r="G1168" t="s">
        <v>23</v>
      </c>
      <c r="H1168" t="s">
        <v>31</v>
      </c>
      <c r="I1168" t="s">
        <v>36</v>
      </c>
      <c r="J1168" t="s">
        <v>42</v>
      </c>
      <c r="K1168" t="s">
        <v>44</v>
      </c>
      <c r="L1168" t="s">
        <v>51</v>
      </c>
      <c r="M1168" s="7">
        <v>66229</v>
      </c>
      <c r="N1168">
        <v>0.25</v>
      </c>
      <c r="O1168" s="7">
        <v>6940</v>
      </c>
      <c r="P1168">
        <v>1</v>
      </c>
      <c r="Q1168" t="s">
        <v>54</v>
      </c>
      <c r="R1168" t="s">
        <v>61</v>
      </c>
      <c r="S1168">
        <f t="shared" si="90"/>
        <v>2024</v>
      </c>
      <c r="T1168" t="str">
        <f t="shared" si="91"/>
        <v>Mar</v>
      </c>
      <c r="U1168">
        <f t="shared" si="92"/>
        <v>5</v>
      </c>
      <c r="V1168">
        <f t="shared" si="93"/>
        <v>8</v>
      </c>
      <c r="W1168" s="9">
        <f t="shared" si="94"/>
        <v>0.10478793277869211</v>
      </c>
    </row>
    <row r="1169" spans="1:23">
      <c r="A1169">
        <v>11168</v>
      </c>
      <c r="B1169" s="5">
        <v>45364</v>
      </c>
      <c r="C1169" s="5">
        <v>45370</v>
      </c>
      <c r="D1169" s="5">
        <v>45371</v>
      </c>
      <c r="E1169" t="s">
        <v>19</v>
      </c>
      <c r="F1169" t="s">
        <v>22</v>
      </c>
      <c r="G1169" t="s">
        <v>24</v>
      </c>
      <c r="H1169" t="s">
        <v>30</v>
      </c>
      <c r="I1169" t="s">
        <v>36</v>
      </c>
      <c r="J1169" t="s">
        <v>38</v>
      </c>
      <c r="K1169" t="s">
        <v>49</v>
      </c>
      <c r="L1169" t="s">
        <v>52</v>
      </c>
      <c r="M1169" s="7">
        <v>38454</v>
      </c>
      <c r="N1169">
        <v>0.23</v>
      </c>
      <c r="O1169" s="7">
        <v>379</v>
      </c>
      <c r="P1169">
        <v>8</v>
      </c>
      <c r="Q1169" t="s">
        <v>55</v>
      </c>
      <c r="R1169" t="s">
        <v>60</v>
      </c>
      <c r="S1169">
        <f t="shared" si="90"/>
        <v>2024</v>
      </c>
      <c r="T1169" t="str">
        <f t="shared" si="91"/>
        <v>Mar</v>
      </c>
      <c r="U1169">
        <f t="shared" si="92"/>
        <v>6</v>
      </c>
      <c r="V1169">
        <f t="shared" si="93"/>
        <v>7</v>
      </c>
      <c r="W1169" s="9">
        <f t="shared" si="94"/>
        <v>9.855931762625475E-3</v>
      </c>
    </row>
    <row r="1170" spans="1:23">
      <c r="A1170">
        <v>11169</v>
      </c>
      <c r="B1170" s="5">
        <v>45365</v>
      </c>
      <c r="C1170" s="5">
        <v>45369</v>
      </c>
      <c r="D1170" s="5">
        <v>45373</v>
      </c>
      <c r="E1170" t="s">
        <v>21</v>
      </c>
      <c r="F1170" t="s">
        <v>22</v>
      </c>
      <c r="G1170" t="s">
        <v>28</v>
      </c>
      <c r="H1170" t="s">
        <v>32</v>
      </c>
      <c r="I1170" t="s">
        <v>36</v>
      </c>
      <c r="J1170" t="s">
        <v>41</v>
      </c>
      <c r="K1170" t="s">
        <v>48</v>
      </c>
      <c r="L1170" t="s">
        <v>53</v>
      </c>
      <c r="M1170" s="7">
        <v>14413</v>
      </c>
      <c r="N1170">
        <v>0.33</v>
      </c>
      <c r="O1170" s="7">
        <v>17210</v>
      </c>
      <c r="P1170">
        <v>2</v>
      </c>
      <c r="Q1170" t="s">
        <v>56</v>
      </c>
      <c r="R1170" t="s">
        <v>60</v>
      </c>
      <c r="S1170">
        <f t="shared" si="90"/>
        <v>2024</v>
      </c>
      <c r="T1170" t="str">
        <f t="shared" si="91"/>
        <v>Mar</v>
      </c>
      <c r="U1170">
        <f t="shared" si="92"/>
        <v>4</v>
      </c>
      <c r="V1170">
        <f t="shared" si="93"/>
        <v>8</v>
      </c>
      <c r="W1170" s="9">
        <f t="shared" si="94"/>
        <v>1.194060917227503</v>
      </c>
    </row>
    <row r="1171" spans="1:23">
      <c r="A1171">
        <v>11170</v>
      </c>
      <c r="B1171" s="5">
        <v>45366</v>
      </c>
      <c r="C1171" s="5">
        <v>45368</v>
      </c>
      <c r="D1171" s="5">
        <v>45369</v>
      </c>
      <c r="E1171" t="s">
        <v>20</v>
      </c>
      <c r="F1171" t="s">
        <v>22</v>
      </c>
      <c r="G1171" t="s">
        <v>23</v>
      </c>
      <c r="H1171" t="s">
        <v>25</v>
      </c>
      <c r="I1171" t="s">
        <v>35</v>
      </c>
      <c r="J1171" t="s">
        <v>41</v>
      </c>
      <c r="K1171" t="s">
        <v>49</v>
      </c>
      <c r="L1171" t="s">
        <v>51</v>
      </c>
      <c r="M1171" s="7">
        <v>46699</v>
      </c>
      <c r="N1171">
        <v>0.23</v>
      </c>
      <c r="O1171" s="7">
        <v>8236</v>
      </c>
      <c r="P1171">
        <v>11</v>
      </c>
      <c r="Q1171" t="s">
        <v>56</v>
      </c>
      <c r="R1171" t="s">
        <v>61</v>
      </c>
      <c r="S1171">
        <f t="shared" si="90"/>
        <v>2024</v>
      </c>
      <c r="T1171" t="str">
        <f t="shared" si="91"/>
        <v>Mar</v>
      </c>
      <c r="U1171">
        <f t="shared" si="92"/>
        <v>2</v>
      </c>
      <c r="V1171">
        <f t="shared" si="93"/>
        <v>3</v>
      </c>
      <c r="W1171" s="9">
        <f t="shared" si="94"/>
        <v>0.17636351956144672</v>
      </c>
    </row>
    <row r="1172" spans="1:23">
      <c r="A1172">
        <v>11171</v>
      </c>
      <c r="B1172" s="5">
        <v>45367</v>
      </c>
      <c r="C1172" s="5">
        <v>45369</v>
      </c>
      <c r="D1172" s="5">
        <v>45370</v>
      </c>
      <c r="E1172" t="s">
        <v>21</v>
      </c>
      <c r="F1172" t="s">
        <v>22</v>
      </c>
      <c r="G1172" t="s">
        <v>26</v>
      </c>
      <c r="H1172" t="s">
        <v>33</v>
      </c>
      <c r="I1172" t="s">
        <v>36</v>
      </c>
      <c r="J1172" t="s">
        <v>42</v>
      </c>
      <c r="K1172" t="s">
        <v>49</v>
      </c>
      <c r="L1172" t="s">
        <v>52</v>
      </c>
      <c r="M1172" s="7">
        <v>54685</v>
      </c>
      <c r="N1172">
        <v>0.35</v>
      </c>
      <c r="O1172" s="7">
        <v>17576</v>
      </c>
      <c r="P1172">
        <v>9</v>
      </c>
      <c r="Q1172" t="s">
        <v>58</v>
      </c>
      <c r="R1172" t="s">
        <v>60</v>
      </c>
      <c r="S1172">
        <f t="shared" si="90"/>
        <v>2024</v>
      </c>
      <c r="T1172" t="str">
        <f t="shared" si="91"/>
        <v>Mar</v>
      </c>
      <c r="U1172">
        <f t="shared" si="92"/>
        <v>2</v>
      </c>
      <c r="V1172">
        <f t="shared" si="93"/>
        <v>3</v>
      </c>
      <c r="W1172" s="9">
        <f t="shared" si="94"/>
        <v>0.3214044070586084</v>
      </c>
    </row>
    <row r="1173" spans="1:23">
      <c r="A1173">
        <v>11172</v>
      </c>
      <c r="B1173" s="5">
        <v>45368</v>
      </c>
      <c r="C1173" s="5">
        <v>45374</v>
      </c>
      <c r="D1173" s="5">
        <v>45376</v>
      </c>
      <c r="E1173" t="s">
        <v>19</v>
      </c>
      <c r="F1173" t="s">
        <v>22</v>
      </c>
      <c r="G1173" t="s">
        <v>28</v>
      </c>
      <c r="H1173" t="s">
        <v>33</v>
      </c>
      <c r="I1173" t="s">
        <v>36</v>
      </c>
      <c r="J1173" t="s">
        <v>40</v>
      </c>
      <c r="K1173" t="s">
        <v>50</v>
      </c>
      <c r="L1173" t="s">
        <v>52</v>
      </c>
      <c r="M1173" s="7">
        <v>28552</v>
      </c>
      <c r="N1173">
        <v>0.24</v>
      </c>
      <c r="O1173" s="7">
        <v>8130</v>
      </c>
      <c r="P1173">
        <v>24</v>
      </c>
      <c r="Q1173" t="s">
        <v>56</v>
      </c>
      <c r="R1173" t="s">
        <v>59</v>
      </c>
      <c r="S1173">
        <f t="shared" si="90"/>
        <v>2024</v>
      </c>
      <c r="T1173" t="str">
        <f t="shared" si="91"/>
        <v>Mar</v>
      </c>
      <c r="U1173">
        <f t="shared" si="92"/>
        <v>6</v>
      </c>
      <c r="V1173">
        <f t="shared" si="93"/>
        <v>8</v>
      </c>
      <c r="W1173" s="9">
        <f t="shared" si="94"/>
        <v>0.28474362566545253</v>
      </c>
    </row>
    <row r="1174" spans="1:23">
      <c r="A1174">
        <v>11173</v>
      </c>
      <c r="B1174" s="5">
        <v>45369</v>
      </c>
      <c r="C1174" s="5">
        <v>45374</v>
      </c>
      <c r="D1174" s="5">
        <v>45377</v>
      </c>
      <c r="E1174" t="s">
        <v>18</v>
      </c>
      <c r="F1174" t="s">
        <v>22</v>
      </c>
      <c r="G1174" t="s">
        <v>25</v>
      </c>
      <c r="H1174" t="s">
        <v>32</v>
      </c>
      <c r="I1174" t="s">
        <v>34</v>
      </c>
      <c r="J1174" t="s">
        <v>38</v>
      </c>
      <c r="K1174" t="s">
        <v>49</v>
      </c>
      <c r="L1174" t="s">
        <v>53</v>
      </c>
      <c r="M1174" s="7">
        <v>44010</v>
      </c>
      <c r="N1174">
        <v>0.08</v>
      </c>
      <c r="O1174" s="7">
        <v>17925</v>
      </c>
      <c r="P1174">
        <v>1</v>
      </c>
      <c r="Q1174" t="s">
        <v>54</v>
      </c>
      <c r="R1174" t="s">
        <v>61</v>
      </c>
      <c r="S1174">
        <f t="shared" si="90"/>
        <v>2024</v>
      </c>
      <c r="T1174" t="str">
        <f t="shared" si="91"/>
        <v>Mar</v>
      </c>
      <c r="U1174">
        <f t="shared" si="92"/>
        <v>5</v>
      </c>
      <c r="V1174">
        <f t="shared" si="93"/>
        <v>8</v>
      </c>
      <c r="W1174" s="9">
        <f t="shared" si="94"/>
        <v>0.40729379686434902</v>
      </c>
    </row>
    <row r="1175" spans="1:23">
      <c r="A1175">
        <v>11174</v>
      </c>
      <c r="B1175" s="5">
        <v>45370</v>
      </c>
      <c r="C1175" s="5">
        <v>45375</v>
      </c>
      <c r="D1175" s="5">
        <v>45376</v>
      </c>
      <c r="E1175" t="s">
        <v>18</v>
      </c>
      <c r="F1175" t="s">
        <v>22</v>
      </c>
      <c r="G1175" t="s">
        <v>24</v>
      </c>
      <c r="H1175" t="s">
        <v>29</v>
      </c>
      <c r="I1175" t="s">
        <v>36</v>
      </c>
      <c r="J1175" t="s">
        <v>41</v>
      </c>
      <c r="K1175" t="s">
        <v>48</v>
      </c>
      <c r="L1175" t="s">
        <v>51</v>
      </c>
      <c r="M1175" s="7">
        <v>11479</v>
      </c>
      <c r="N1175">
        <v>0.39</v>
      </c>
      <c r="O1175" s="7">
        <v>6267</v>
      </c>
      <c r="P1175">
        <v>19</v>
      </c>
      <c r="Q1175" t="s">
        <v>56</v>
      </c>
      <c r="R1175" t="s">
        <v>60</v>
      </c>
      <c r="S1175">
        <f t="shared" si="90"/>
        <v>2024</v>
      </c>
      <c r="T1175" t="str">
        <f t="shared" si="91"/>
        <v>Mar</v>
      </c>
      <c r="U1175">
        <f t="shared" si="92"/>
        <v>5</v>
      </c>
      <c r="V1175">
        <f t="shared" si="93"/>
        <v>6</v>
      </c>
      <c r="W1175" s="9">
        <f t="shared" si="94"/>
        <v>0.54595348026831603</v>
      </c>
    </row>
    <row r="1176" spans="1:23">
      <c r="A1176">
        <v>11175</v>
      </c>
      <c r="B1176" s="5">
        <v>45371</v>
      </c>
      <c r="C1176" s="5">
        <v>45377</v>
      </c>
      <c r="D1176" s="5">
        <v>45380</v>
      </c>
      <c r="E1176" t="s">
        <v>19</v>
      </c>
      <c r="F1176" t="s">
        <v>22</v>
      </c>
      <c r="G1176" t="s">
        <v>23</v>
      </c>
      <c r="H1176" t="s">
        <v>25</v>
      </c>
      <c r="I1176" t="s">
        <v>36</v>
      </c>
      <c r="J1176" t="s">
        <v>43</v>
      </c>
      <c r="K1176" t="s">
        <v>46</v>
      </c>
      <c r="L1176" t="s">
        <v>51</v>
      </c>
      <c r="M1176" s="7">
        <v>56343</v>
      </c>
      <c r="N1176">
        <v>0.27</v>
      </c>
      <c r="O1176" s="7">
        <v>7669</v>
      </c>
      <c r="P1176">
        <v>20</v>
      </c>
      <c r="Q1176" t="s">
        <v>55</v>
      </c>
      <c r="R1176" t="s">
        <v>59</v>
      </c>
      <c r="S1176">
        <f t="shared" si="90"/>
        <v>2024</v>
      </c>
      <c r="T1176" t="str">
        <f t="shared" si="91"/>
        <v>Mar</v>
      </c>
      <c r="U1176">
        <f t="shared" si="92"/>
        <v>6</v>
      </c>
      <c r="V1176">
        <f t="shared" si="93"/>
        <v>9</v>
      </c>
      <c r="W1176" s="9">
        <f t="shared" si="94"/>
        <v>0.13611273805086702</v>
      </c>
    </row>
    <row r="1177" spans="1:23">
      <c r="A1177">
        <v>11176</v>
      </c>
      <c r="B1177" s="5">
        <v>45372</v>
      </c>
      <c r="C1177" s="5">
        <v>45374</v>
      </c>
      <c r="D1177" s="5">
        <v>45378</v>
      </c>
      <c r="E1177" t="s">
        <v>18</v>
      </c>
      <c r="F1177" t="s">
        <v>22</v>
      </c>
      <c r="G1177" t="s">
        <v>26</v>
      </c>
      <c r="H1177" t="s">
        <v>33</v>
      </c>
      <c r="I1177" t="s">
        <v>36</v>
      </c>
      <c r="J1177" t="s">
        <v>38</v>
      </c>
      <c r="K1177" t="s">
        <v>44</v>
      </c>
      <c r="L1177" t="s">
        <v>53</v>
      </c>
      <c r="M1177" s="7">
        <v>6291</v>
      </c>
      <c r="N1177">
        <v>0.13</v>
      </c>
      <c r="O1177" s="7">
        <v>6957</v>
      </c>
      <c r="P1177">
        <v>12</v>
      </c>
      <c r="Q1177" t="s">
        <v>56</v>
      </c>
      <c r="R1177" t="s">
        <v>61</v>
      </c>
      <c r="S1177">
        <f t="shared" si="90"/>
        <v>2024</v>
      </c>
      <c r="T1177" t="str">
        <f t="shared" si="91"/>
        <v>Mar</v>
      </c>
      <c r="U1177">
        <f t="shared" si="92"/>
        <v>2</v>
      </c>
      <c r="V1177">
        <f t="shared" si="93"/>
        <v>6</v>
      </c>
      <c r="W1177" s="9">
        <f t="shared" si="94"/>
        <v>1.105865522174535</v>
      </c>
    </row>
    <row r="1178" spans="1:23">
      <c r="A1178">
        <v>11177</v>
      </c>
      <c r="B1178" s="5">
        <v>45373</v>
      </c>
      <c r="C1178" s="5">
        <v>45375</v>
      </c>
      <c r="D1178" s="5">
        <v>45379</v>
      </c>
      <c r="E1178" t="s">
        <v>19</v>
      </c>
      <c r="F1178" t="s">
        <v>22</v>
      </c>
      <c r="G1178" t="s">
        <v>24</v>
      </c>
      <c r="H1178" t="s">
        <v>29</v>
      </c>
      <c r="I1178" t="s">
        <v>36</v>
      </c>
      <c r="J1178" t="s">
        <v>40</v>
      </c>
      <c r="K1178" t="s">
        <v>50</v>
      </c>
      <c r="L1178" t="s">
        <v>52</v>
      </c>
      <c r="M1178" s="7">
        <v>53801</v>
      </c>
      <c r="N1178">
        <v>0.11</v>
      </c>
      <c r="O1178" s="7">
        <v>14073</v>
      </c>
      <c r="P1178">
        <v>12</v>
      </c>
      <c r="Q1178" t="s">
        <v>54</v>
      </c>
      <c r="R1178" t="s">
        <v>62</v>
      </c>
      <c r="S1178">
        <f t="shared" si="90"/>
        <v>2024</v>
      </c>
      <c r="T1178" t="str">
        <f t="shared" si="91"/>
        <v>Mar</v>
      </c>
      <c r="U1178">
        <f t="shared" si="92"/>
        <v>2</v>
      </c>
      <c r="V1178">
        <f t="shared" si="93"/>
        <v>6</v>
      </c>
      <c r="W1178" s="9">
        <f t="shared" si="94"/>
        <v>0.26157506366052674</v>
      </c>
    </row>
    <row r="1179" spans="1:23">
      <c r="A1179">
        <v>11178</v>
      </c>
      <c r="B1179" s="5">
        <v>45374</v>
      </c>
      <c r="C1179" s="5">
        <v>45378</v>
      </c>
      <c r="D1179" s="5">
        <v>45379</v>
      </c>
      <c r="E1179" t="s">
        <v>18</v>
      </c>
      <c r="F1179" t="s">
        <v>22</v>
      </c>
      <c r="G1179" t="s">
        <v>24</v>
      </c>
      <c r="H1179" t="s">
        <v>32</v>
      </c>
      <c r="I1179" t="s">
        <v>36</v>
      </c>
      <c r="J1179" t="s">
        <v>43</v>
      </c>
      <c r="K1179" t="s">
        <v>50</v>
      </c>
      <c r="L1179" t="s">
        <v>51</v>
      </c>
      <c r="M1179" s="7">
        <v>73936</v>
      </c>
      <c r="N1179">
        <v>0.38</v>
      </c>
      <c r="O1179" s="7">
        <v>6624</v>
      </c>
      <c r="P1179">
        <v>11</v>
      </c>
      <c r="Q1179" t="s">
        <v>55</v>
      </c>
      <c r="R1179" t="s">
        <v>62</v>
      </c>
      <c r="S1179">
        <f t="shared" si="90"/>
        <v>2024</v>
      </c>
      <c r="T1179" t="str">
        <f t="shared" si="91"/>
        <v>Mar</v>
      </c>
      <c r="U1179">
        <f t="shared" si="92"/>
        <v>4</v>
      </c>
      <c r="V1179">
        <f t="shared" si="93"/>
        <v>5</v>
      </c>
      <c r="W1179" s="9">
        <f t="shared" si="94"/>
        <v>8.9590997619562865E-2</v>
      </c>
    </row>
    <row r="1180" spans="1:23">
      <c r="A1180">
        <v>11179</v>
      </c>
      <c r="B1180" s="5">
        <v>45375</v>
      </c>
      <c r="C1180" s="5">
        <v>45379</v>
      </c>
      <c r="D1180" s="5">
        <v>45381</v>
      </c>
      <c r="E1180" t="s">
        <v>21</v>
      </c>
      <c r="F1180" t="s">
        <v>22</v>
      </c>
      <c r="G1180" t="s">
        <v>25</v>
      </c>
      <c r="H1180" t="s">
        <v>29</v>
      </c>
      <c r="I1180" t="s">
        <v>35</v>
      </c>
      <c r="J1180" t="s">
        <v>43</v>
      </c>
      <c r="K1180" t="s">
        <v>50</v>
      </c>
      <c r="L1180" t="s">
        <v>51</v>
      </c>
      <c r="M1180" s="7">
        <v>55596</v>
      </c>
      <c r="N1180">
        <v>0.38</v>
      </c>
      <c r="O1180" s="7">
        <v>-1166</v>
      </c>
      <c r="P1180">
        <v>20</v>
      </c>
      <c r="Q1180" t="s">
        <v>54</v>
      </c>
      <c r="R1180" t="s">
        <v>59</v>
      </c>
      <c r="S1180">
        <f t="shared" si="90"/>
        <v>2024</v>
      </c>
      <c r="T1180" t="str">
        <f t="shared" si="91"/>
        <v>Mar</v>
      </c>
      <c r="U1180">
        <f t="shared" si="92"/>
        <v>4</v>
      </c>
      <c r="V1180">
        <f t="shared" si="93"/>
        <v>6</v>
      </c>
      <c r="W1180" s="9">
        <f t="shared" si="94"/>
        <v>-2.0972731851212317E-2</v>
      </c>
    </row>
    <row r="1181" spans="1:23">
      <c r="A1181">
        <v>11180</v>
      </c>
      <c r="B1181" s="5">
        <v>45376</v>
      </c>
      <c r="C1181" s="5">
        <v>45378</v>
      </c>
      <c r="D1181" s="5">
        <v>45382</v>
      </c>
      <c r="E1181" t="s">
        <v>18</v>
      </c>
      <c r="F1181" t="s">
        <v>22</v>
      </c>
      <c r="G1181" t="s">
        <v>24</v>
      </c>
      <c r="H1181" t="s">
        <v>33</v>
      </c>
      <c r="I1181" t="s">
        <v>35</v>
      </c>
      <c r="J1181" t="s">
        <v>43</v>
      </c>
      <c r="K1181" t="s">
        <v>44</v>
      </c>
      <c r="L1181" t="s">
        <v>53</v>
      </c>
      <c r="M1181" s="7">
        <v>8570</v>
      </c>
      <c r="N1181">
        <v>0.33</v>
      </c>
      <c r="O1181" s="7">
        <v>19940</v>
      </c>
      <c r="P1181">
        <v>20</v>
      </c>
      <c r="Q1181" t="s">
        <v>58</v>
      </c>
      <c r="R1181" t="s">
        <v>60</v>
      </c>
      <c r="S1181">
        <f t="shared" si="90"/>
        <v>2024</v>
      </c>
      <c r="T1181" t="str">
        <f t="shared" si="91"/>
        <v>Mar</v>
      </c>
      <c r="U1181">
        <f t="shared" si="92"/>
        <v>2</v>
      </c>
      <c r="V1181">
        <f t="shared" si="93"/>
        <v>6</v>
      </c>
      <c r="W1181" s="9">
        <f t="shared" si="94"/>
        <v>2.326721120186698</v>
      </c>
    </row>
    <row r="1182" spans="1:23">
      <c r="A1182">
        <v>11181</v>
      </c>
      <c r="B1182" s="5">
        <v>45377</v>
      </c>
      <c r="C1182" s="5">
        <v>45381</v>
      </c>
      <c r="D1182" s="5">
        <v>45385</v>
      </c>
      <c r="E1182" t="s">
        <v>18</v>
      </c>
      <c r="F1182" t="s">
        <v>22</v>
      </c>
      <c r="G1182" t="s">
        <v>28</v>
      </c>
      <c r="H1182" t="s">
        <v>33</v>
      </c>
      <c r="I1182" t="s">
        <v>34</v>
      </c>
      <c r="J1182" t="s">
        <v>41</v>
      </c>
      <c r="K1182" t="s">
        <v>46</v>
      </c>
      <c r="L1182" t="s">
        <v>51</v>
      </c>
      <c r="M1182" s="7">
        <v>25198</v>
      </c>
      <c r="N1182">
        <v>0.14000000000000001</v>
      </c>
      <c r="O1182" s="7">
        <v>19445</v>
      </c>
      <c r="P1182">
        <v>2</v>
      </c>
      <c r="Q1182" t="s">
        <v>54</v>
      </c>
      <c r="R1182" t="s">
        <v>59</v>
      </c>
      <c r="S1182">
        <f t="shared" si="90"/>
        <v>2024</v>
      </c>
      <c r="T1182" t="str">
        <f t="shared" si="91"/>
        <v>Mar</v>
      </c>
      <c r="U1182">
        <f t="shared" si="92"/>
        <v>4</v>
      </c>
      <c r="V1182">
        <f t="shared" si="93"/>
        <v>8</v>
      </c>
      <c r="W1182" s="9">
        <f t="shared" si="94"/>
        <v>0.77168822922454161</v>
      </c>
    </row>
    <row r="1183" spans="1:23">
      <c r="A1183">
        <v>11182</v>
      </c>
      <c r="B1183" s="5">
        <v>45378</v>
      </c>
      <c r="C1183" s="5">
        <v>45383</v>
      </c>
      <c r="D1183" s="5">
        <v>45388</v>
      </c>
      <c r="E1183" t="s">
        <v>21</v>
      </c>
      <c r="F1183" t="s">
        <v>22</v>
      </c>
      <c r="G1183" t="s">
        <v>24</v>
      </c>
      <c r="H1183" t="s">
        <v>29</v>
      </c>
      <c r="I1183" t="s">
        <v>36</v>
      </c>
      <c r="J1183" t="s">
        <v>40</v>
      </c>
      <c r="K1183" t="s">
        <v>47</v>
      </c>
      <c r="L1183" t="s">
        <v>51</v>
      </c>
      <c r="M1183" s="7">
        <v>67273</v>
      </c>
      <c r="N1183">
        <v>0.22</v>
      </c>
      <c r="O1183" s="7">
        <v>14961</v>
      </c>
      <c r="P1183">
        <v>8</v>
      </c>
      <c r="Q1183" t="s">
        <v>58</v>
      </c>
      <c r="R1183" t="s">
        <v>60</v>
      </c>
      <c r="S1183">
        <f t="shared" si="90"/>
        <v>2024</v>
      </c>
      <c r="T1183" t="str">
        <f t="shared" si="91"/>
        <v>Mar</v>
      </c>
      <c r="U1183">
        <f t="shared" si="92"/>
        <v>5</v>
      </c>
      <c r="V1183">
        <f t="shared" si="93"/>
        <v>10</v>
      </c>
      <c r="W1183" s="9">
        <f t="shared" si="94"/>
        <v>0.22239234165266897</v>
      </c>
    </row>
    <row r="1184" spans="1:23">
      <c r="A1184">
        <v>11183</v>
      </c>
      <c r="B1184" s="5">
        <v>45379</v>
      </c>
      <c r="C1184" s="5">
        <v>45386</v>
      </c>
      <c r="D1184" s="5">
        <v>45388</v>
      </c>
      <c r="E1184" t="s">
        <v>19</v>
      </c>
      <c r="F1184" t="s">
        <v>22</v>
      </c>
      <c r="G1184" t="s">
        <v>25</v>
      </c>
      <c r="H1184" t="s">
        <v>32</v>
      </c>
      <c r="I1184" t="s">
        <v>35</v>
      </c>
      <c r="J1184" t="s">
        <v>43</v>
      </c>
      <c r="K1184" t="s">
        <v>45</v>
      </c>
      <c r="L1184" t="s">
        <v>53</v>
      </c>
      <c r="M1184" s="7">
        <v>25120</v>
      </c>
      <c r="N1184">
        <v>0.36</v>
      </c>
      <c r="O1184" s="7">
        <v>8058</v>
      </c>
      <c r="P1184">
        <v>21</v>
      </c>
      <c r="Q1184" t="s">
        <v>57</v>
      </c>
      <c r="R1184" t="s">
        <v>59</v>
      </c>
      <c r="S1184">
        <f t="shared" si="90"/>
        <v>2024</v>
      </c>
      <c r="T1184" t="str">
        <f t="shared" si="91"/>
        <v>Mar</v>
      </c>
      <c r="U1184">
        <f t="shared" si="92"/>
        <v>7</v>
      </c>
      <c r="V1184">
        <f t="shared" si="93"/>
        <v>9</v>
      </c>
      <c r="W1184" s="9">
        <f t="shared" si="94"/>
        <v>0.32078025477707006</v>
      </c>
    </row>
    <row r="1185" spans="1:23">
      <c r="A1185">
        <v>11184</v>
      </c>
      <c r="B1185" s="5">
        <v>45380</v>
      </c>
      <c r="C1185" s="5">
        <v>45387</v>
      </c>
      <c r="D1185" s="5">
        <v>45388</v>
      </c>
      <c r="E1185" t="s">
        <v>19</v>
      </c>
      <c r="F1185" t="s">
        <v>22</v>
      </c>
      <c r="G1185" t="s">
        <v>23</v>
      </c>
      <c r="H1185" t="s">
        <v>29</v>
      </c>
      <c r="I1185" t="s">
        <v>36</v>
      </c>
      <c r="J1185" t="s">
        <v>38</v>
      </c>
      <c r="K1185" t="s">
        <v>45</v>
      </c>
      <c r="L1185" t="s">
        <v>52</v>
      </c>
      <c r="M1185" s="7">
        <v>61060</v>
      </c>
      <c r="N1185">
        <v>0.17</v>
      </c>
      <c r="O1185" s="7">
        <v>5698</v>
      </c>
      <c r="P1185">
        <v>3</v>
      </c>
      <c r="Q1185" t="s">
        <v>55</v>
      </c>
      <c r="R1185" t="s">
        <v>59</v>
      </c>
      <c r="S1185">
        <f t="shared" si="90"/>
        <v>2024</v>
      </c>
      <c r="T1185" t="str">
        <f t="shared" si="91"/>
        <v>Mar</v>
      </c>
      <c r="U1185">
        <f t="shared" si="92"/>
        <v>7</v>
      </c>
      <c r="V1185">
        <f t="shared" si="93"/>
        <v>8</v>
      </c>
      <c r="W1185" s="9">
        <f t="shared" si="94"/>
        <v>9.3318047821814604E-2</v>
      </c>
    </row>
    <row r="1186" spans="1:23">
      <c r="A1186">
        <v>11185</v>
      </c>
      <c r="B1186" s="5">
        <v>45381</v>
      </c>
      <c r="C1186" s="5">
        <v>45385</v>
      </c>
      <c r="D1186" s="5">
        <v>45388</v>
      </c>
      <c r="E1186" t="s">
        <v>19</v>
      </c>
      <c r="F1186" t="s">
        <v>22</v>
      </c>
      <c r="G1186" t="s">
        <v>25</v>
      </c>
      <c r="H1186" t="s">
        <v>33</v>
      </c>
      <c r="I1186" t="s">
        <v>36</v>
      </c>
      <c r="J1186" t="s">
        <v>42</v>
      </c>
      <c r="K1186" t="s">
        <v>46</v>
      </c>
      <c r="L1186" t="s">
        <v>51</v>
      </c>
      <c r="M1186" s="7">
        <v>63525</v>
      </c>
      <c r="N1186">
        <v>0.3</v>
      </c>
      <c r="O1186" s="7">
        <v>999</v>
      </c>
      <c r="P1186">
        <v>23</v>
      </c>
      <c r="Q1186" t="s">
        <v>55</v>
      </c>
      <c r="R1186" t="s">
        <v>62</v>
      </c>
      <c r="S1186">
        <f t="shared" si="90"/>
        <v>2024</v>
      </c>
      <c r="T1186" t="str">
        <f t="shared" si="91"/>
        <v>Mar</v>
      </c>
      <c r="U1186">
        <f t="shared" si="92"/>
        <v>4</v>
      </c>
      <c r="V1186">
        <f t="shared" si="93"/>
        <v>7</v>
      </c>
      <c r="W1186" s="9">
        <f t="shared" si="94"/>
        <v>1.5726092089728454E-2</v>
      </c>
    </row>
    <row r="1187" spans="1:23">
      <c r="A1187">
        <v>11186</v>
      </c>
      <c r="B1187" s="5">
        <v>45382</v>
      </c>
      <c r="C1187" s="5">
        <v>45388</v>
      </c>
      <c r="D1187" s="5">
        <v>45393</v>
      </c>
      <c r="E1187" t="s">
        <v>18</v>
      </c>
      <c r="F1187" t="s">
        <v>22</v>
      </c>
      <c r="G1187" t="s">
        <v>28</v>
      </c>
      <c r="H1187" t="s">
        <v>30</v>
      </c>
      <c r="I1187" t="s">
        <v>36</v>
      </c>
      <c r="J1187" t="s">
        <v>38</v>
      </c>
      <c r="K1187" t="s">
        <v>44</v>
      </c>
      <c r="L1187" t="s">
        <v>51</v>
      </c>
      <c r="M1187" s="7">
        <v>43978</v>
      </c>
      <c r="N1187">
        <v>0.12</v>
      </c>
      <c r="O1187" s="7">
        <v>5109</v>
      </c>
      <c r="P1187">
        <v>23</v>
      </c>
      <c r="Q1187" t="s">
        <v>58</v>
      </c>
      <c r="R1187" t="s">
        <v>60</v>
      </c>
      <c r="S1187">
        <f t="shared" si="90"/>
        <v>2024</v>
      </c>
      <c r="T1187" t="str">
        <f t="shared" si="91"/>
        <v>Mar</v>
      </c>
      <c r="U1187">
        <f t="shared" si="92"/>
        <v>6</v>
      </c>
      <c r="V1187">
        <f t="shared" si="93"/>
        <v>11</v>
      </c>
      <c r="W1187" s="9">
        <f t="shared" si="94"/>
        <v>0.11617172222474874</v>
      </c>
    </row>
    <row r="1188" spans="1:23">
      <c r="A1188">
        <v>11187</v>
      </c>
      <c r="B1188" s="5">
        <v>45383</v>
      </c>
      <c r="C1188" s="5">
        <v>45388</v>
      </c>
      <c r="D1188" s="5">
        <v>45391</v>
      </c>
      <c r="E1188" t="s">
        <v>19</v>
      </c>
      <c r="F1188" t="s">
        <v>22</v>
      </c>
      <c r="G1188" t="s">
        <v>26</v>
      </c>
      <c r="H1188" t="s">
        <v>29</v>
      </c>
      <c r="I1188" t="s">
        <v>35</v>
      </c>
      <c r="J1188" t="s">
        <v>43</v>
      </c>
      <c r="K1188" t="s">
        <v>48</v>
      </c>
      <c r="L1188" t="s">
        <v>52</v>
      </c>
      <c r="M1188" s="7">
        <v>48910</v>
      </c>
      <c r="N1188">
        <v>0.05</v>
      </c>
      <c r="O1188" s="7">
        <v>12294</v>
      </c>
      <c r="P1188">
        <v>23</v>
      </c>
      <c r="Q1188" t="s">
        <v>58</v>
      </c>
      <c r="R1188" t="s">
        <v>60</v>
      </c>
      <c r="S1188">
        <f t="shared" si="90"/>
        <v>2024</v>
      </c>
      <c r="T1188" t="str">
        <f t="shared" si="91"/>
        <v>Apr</v>
      </c>
      <c r="U1188">
        <f t="shared" si="92"/>
        <v>5</v>
      </c>
      <c r="V1188">
        <f t="shared" si="93"/>
        <v>8</v>
      </c>
      <c r="W1188" s="9">
        <f t="shared" si="94"/>
        <v>0.25135964015538742</v>
      </c>
    </row>
    <row r="1189" spans="1:23">
      <c r="A1189">
        <v>11188</v>
      </c>
      <c r="B1189" s="5">
        <v>45384</v>
      </c>
      <c r="C1189" s="5">
        <v>45390</v>
      </c>
      <c r="D1189" s="5">
        <v>45393</v>
      </c>
      <c r="E1189" t="s">
        <v>21</v>
      </c>
      <c r="F1189" t="s">
        <v>22</v>
      </c>
      <c r="G1189" t="s">
        <v>24</v>
      </c>
      <c r="H1189" t="s">
        <v>25</v>
      </c>
      <c r="I1189" t="s">
        <v>35</v>
      </c>
      <c r="J1189" t="s">
        <v>43</v>
      </c>
      <c r="K1189" t="s">
        <v>49</v>
      </c>
      <c r="L1189" t="s">
        <v>51</v>
      </c>
      <c r="M1189" s="7">
        <v>8046</v>
      </c>
      <c r="N1189">
        <v>0.21</v>
      </c>
      <c r="O1189" s="7">
        <v>5086</v>
      </c>
      <c r="P1189">
        <v>19</v>
      </c>
      <c r="Q1189" t="s">
        <v>55</v>
      </c>
      <c r="R1189" t="s">
        <v>62</v>
      </c>
      <c r="S1189">
        <f t="shared" si="90"/>
        <v>2024</v>
      </c>
      <c r="T1189" t="str">
        <f t="shared" si="91"/>
        <v>Apr</v>
      </c>
      <c r="U1189">
        <f t="shared" si="92"/>
        <v>6</v>
      </c>
      <c r="V1189">
        <f t="shared" si="93"/>
        <v>9</v>
      </c>
      <c r="W1189" s="9">
        <f t="shared" si="94"/>
        <v>0.63211533681332344</v>
      </c>
    </row>
    <row r="1190" spans="1:23">
      <c r="A1190">
        <v>11189</v>
      </c>
      <c r="B1190" s="5">
        <v>45385</v>
      </c>
      <c r="C1190" s="5">
        <v>45389</v>
      </c>
      <c r="D1190" s="5">
        <v>45390</v>
      </c>
      <c r="E1190" t="s">
        <v>21</v>
      </c>
      <c r="F1190" t="s">
        <v>22</v>
      </c>
      <c r="G1190" t="s">
        <v>25</v>
      </c>
      <c r="H1190" t="s">
        <v>29</v>
      </c>
      <c r="I1190" t="s">
        <v>35</v>
      </c>
      <c r="J1190" t="s">
        <v>41</v>
      </c>
      <c r="K1190" t="s">
        <v>44</v>
      </c>
      <c r="L1190" t="s">
        <v>52</v>
      </c>
      <c r="M1190" s="7">
        <v>74698</v>
      </c>
      <c r="N1190">
        <v>0.28000000000000003</v>
      </c>
      <c r="O1190" s="7">
        <v>681</v>
      </c>
      <c r="P1190">
        <v>10</v>
      </c>
      <c r="Q1190" t="s">
        <v>58</v>
      </c>
      <c r="R1190" t="s">
        <v>60</v>
      </c>
      <c r="S1190">
        <f t="shared" si="90"/>
        <v>2024</v>
      </c>
      <c r="T1190" t="str">
        <f t="shared" si="91"/>
        <v>Apr</v>
      </c>
      <c r="U1190">
        <f t="shared" si="92"/>
        <v>4</v>
      </c>
      <c r="V1190">
        <f t="shared" si="93"/>
        <v>5</v>
      </c>
      <c r="W1190" s="9">
        <f t="shared" si="94"/>
        <v>9.1167099520736827E-3</v>
      </c>
    </row>
    <row r="1191" spans="1:23">
      <c r="A1191">
        <v>11190</v>
      </c>
      <c r="B1191" s="5">
        <v>45386</v>
      </c>
      <c r="C1191" s="5">
        <v>45392</v>
      </c>
      <c r="D1191" s="5">
        <v>45395</v>
      </c>
      <c r="E1191" t="s">
        <v>21</v>
      </c>
      <c r="F1191" t="s">
        <v>22</v>
      </c>
      <c r="G1191" t="s">
        <v>26</v>
      </c>
      <c r="H1191" t="s">
        <v>29</v>
      </c>
      <c r="I1191" t="s">
        <v>34</v>
      </c>
      <c r="J1191" t="s">
        <v>41</v>
      </c>
      <c r="K1191" t="s">
        <v>50</v>
      </c>
      <c r="L1191" t="s">
        <v>52</v>
      </c>
      <c r="M1191" s="7">
        <v>12782</v>
      </c>
      <c r="N1191">
        <v>0.18</v>
      </c>
      <c r="O1191" s="7">
        <v>4884</v>
      </c>
      <c r="P1191">
        <v>9</v>
      </c>
      <c r="Q1191" t="s">
        <v>55</v>
      </c>
      <c r="R1191" t="s">
        <v>59</v>
      </c>
      <c r="S1191">
        <f t="shared" si="90"/>
        <v>2024</v>
      </c>
      <c r="T1191" t="str">
        <f t="shared" si="91"/>
        <v>Apr</v>
      </c>
      <c r="U1191">
        <f t="shared" si="92"/>
        <v>6</v>
      </c>
      <c r="V1191">
        <f t="shared" si="93"/>
        <v>9</v>
      </c>
      <c r="W1191" s="9">
        <f t="shared" si="94"/>
        <v>0.38209982788296043</v>
      </c>
    </row>
    <row r="1192" spans="1:23">
      <c r="A1192">
        <v>11191</v>
      </c>
      <c r="B1192" s="5">
        <v>45387</v>
      </c>
      <c r="C1192" s="5">
        <v>45389</v>
      </c>
      <c r="D1192" s="5">
        <v>45391</v>
      </c>
      <c r="E1192" t="s">
        <v>21</v>
      </c>
      <c r="F1192" t="s">
        <v>22</v>
      </c>
      <c r="G1192" t="s">
        <v>28</v>
      </c>
      <c r="H1192" t="s">
        <v>25</v>
      </c>
      <c r="I1192" t="s">
        <v>34</v>
      </c>
      <c r="J1192" t="s">
        <v>41</v>
      </c>
      <c r="K1192" t="s">
        <v>49</v>
      </c>
      <c r="L1192" t="s">
        <v>52</v>
      </c>
      <c r="M1192" s="7">
        <v>11112</v>
      </c>
      <c r="N1192">
        <v>0.08</v>
      </c>
      <c r="O1192" s="7">
        <v>17880</v>
      </c>
      <c r="P1192">
        <v>14</v>
      </c>
      <c r="Q1192" t="s">
        <v>57</v>
      </c>
      <c r="R1192" t="s">
        <v>60</v>
      </c>
      <c r="S1192">
        <f t="shared" si="90"/>
        <v>2024</v>
      </c>
      <c r="T1192" t="str">
        <f t="shared" si="91"/>
        <v>Apr</v>
      </c>
      <c r="U1192">
        <f t="shared" si="92"/>
        <v>2</v>
      </c>
      <c r="V1192">
        <f t="shared" si="93"/>
        <v>4</v>
      </c>
      <c r="W1192" s="9">
        <f t="shared" si="94"/>
        <v>1.6090712742980562</v>
      </c>
    </row>
    <row r="1193" spans="1:23">
      <c r="A1193">
        <v>11192</v>
      </c>
      <c r="B1193" s="5">
        <v>45388</v>
      </c>
      <c r="C1193" s="5">
        <v>45394</v>
      </c>
      <c r="D1193" s="5">
        <v>45399</v>
      </c>
      <c r="E1193" t="s">
        <v>19</v>
      </c>
      <c r="F1193" t="s">
        <v>22</v>
      </c>
      <c r="G1193" t="s">
        <v>24</v>
      </c>
      <c r="H1193" t="s">
        <v>29</v>
      </c>
      <c r="I1193" t="s">
        <v>35</v>
      </c>
      <c r="J1193" t="s">
        <v>42</v>
      </c>
      <c r="K1193" t="s">
        <v>48</v>
      </c>
      <c r="L1193" t="s">
        <v>53</v>
      </c>
      <c r="M1193" s="7">
        <v>73538</v>
      </c>
      <c r="N1193">
        <v>0.01</v>
      </c>
      <c r="O1193" s="7">
        <v>-276</v>
      </c>
      <c r="P1193">
        <v>1</v>
      </c>
      <c r="Q1193" t="s">
        <v>56</v>
      </c>
      <c r="R1193" t="s">
        <v>60</v>
      </c>
      <c r="S1193">
        <f t="shared" si="90"/>
        <v>2024</v>
      </c>
      <c r="T1193" t="str">
        <f t="shared" si="91"/>
        <v>Apr</v>
      </c>
      <c r="U1193">
        <f t="shared" si="92"/>
        <v>6</v>
      </c>
      <c r="V1193">
        <f t="shared" si="93"/>
        <v>11</v>
      </c>
      <c r="W1193" s="9">
        <f t="shared" si="94"/>
        <v>-3.7531616307215315E-3</v>
      </c>
    </row>
    <row r="1194" spans="1:23">
      <c r="A1194">
        <v>11193</v>
      </c>
      <c r="B1194" s="5">
        <v>45389</v>
      </c>
      <c r="C1194" s="5">
        <v>45396</v>
      </c>
      <c r="D1194" s="5">
        <v>45400</v>
      </c>
      <c r="E1194" t="s">
        <v>20</v>
      </c>
      <c r="F1194" t="s">
        <v>22</v>
      </c>
      <c r="G1194" t="s">
        <v>26</v>
      </c>
      <c r="H1194" t="s">
        <v>30</v>
      </c>
      <c r="I1194" t="s">
        <v>34</v>
      </c>
      <c r="J1194" t="s">
        <v>39</v>
      </c>
      <c r="K1194" t="s">
        <v>48</v>
      </c>
      <c r="L1194" t="s">
        <v>53</v>
      </c>
      <c r="M1194" s="7">
        <v>15527</v>
      </c>
      <c r="N1194">
        <v>0.38</v>
      </c>
      <c r="O1194" s="7">
        <v>8060</v>
      </c>
      <c r="P1194">
        <v>24</v>
      </c>
      <c r="Q1194" t="s">
        <v>54</v>
      </c>
      <c r="R1194" t="s">
        <v>59</v>
      </c>
      <c r="S1194">
        <f t="shared" si="90"/>
        <v>2024</v>
      </c>
      <c r="T1194" t="str">
        <f t="shared" si="91"/>
        <v>Apr</v>
      </c>
      <c r="U1194">
        <f t="shared" si="92"/>
        <v>7</v>
      </c>
      <c r="V1194">
        <f t="shared" si="93"/>
        <v>11</v>
      </c>
      <c r="W1194" s="9">
        <f t="shared" si="94"/>
        <v>0.51909576866104201</v>
      </c>
    </row>
    <row r="1195" spans="1:23">
      <c r="A1195">
        <v>11194</v>
      </c>
      <c r="B1195" s="5">
        <v>45390</v>
      </c>
      <c r="C1195" s="5">
        <v>45392</v>
      </c>
      <c r="D1195" s="5">
        <v>45395</v>
      </c>
      <c r="E1195" t="s">
        <v>20</v>
      </c>
      <c r="F1195" t="s">
        <v>22</v>
      </c>
      <c r="G1195" t="s">
        <v>28</v>
      </c>
      <c r="H1195" t="s">
        <v>25</v>
      </c>
      <c r="I1195" t="s">
        <v>34</v>
      </c>
      <c r="J1195" t="s">
        <v>39</v>
      </c>
      <c r="K1195" t="s">
        <v>50</v>
      </c>
      <c r="L1195" t="s">
        <v>53</v>
      </c>
      <c r="M1195" s="7">
        <v>29336</v>
      </c>
      <c r="N1195">
        <v>0.23</v>
      </c>
      <c r="O1195" s="7">
        <v>5768</v>
      </c>
      <c r="P1195">
        <v>9</v>
      </c>
      <c r="Q1195" t="s">
        <v>56</v>
      </c>
      <c r="R1195" t="s">
        <v>59</v>
      </c>
      <c r="S1195">
        <f t="shared" si="90"/>
        <v>2024</v>
      </c>
      <c r="T1195" t="str">
        <f t="shared" si="91"/>
        <v>Apr</v>
      </c>
      <c r="U1195">
        <f t="shared" si="92"/>
        <v>2</v>
      </c>
      <c r="V1195">
        <f t="shared" si="93"/>
        <v>5</v>
      </c>
      <c r="W1195" s="9">
        <f t="shared" si="94"/>
        <v>0.19661848922825198</v>
      </c>
    </row>
    <row r="1196" spans="1:23">
      <c r="A1196">
        <v>11195</v>
      </c>
      <c r="B1196" s="5">
        <v>45391</v>
      </c>
      <c r="C1196" s="5">
        <v>45394</v>
      </c>
      <c r="D1196" s="5">
        <v>45399</v>
      </c>
      <c r="E1196" t="s">
        <v>20</v>
      </c>
      <c r="F1196" t="s">
        <v>22</v>
      </c>
      <c r="G1196" t="s">
        <v>23</v>
      </c>
      <c r="H1196" t="s">
        <v>31</v>
      </c>
      <c r="I1196" t="s">
        <v>35</v>
      </c>
      <c r="J1196" t="s">
        <v>41</v>
      </c>
      <c r="K1196" t="s">
        <v>49</v>
      </c>
      <c r="L1196" t="s">
        <v>52</v>
      </c>
      <c r="M1196" s="7">
        <v>67138</v>
      </c>
      <c r="N1196">
        <v>0.1</v>
      </c>
      <c r="O1196" s="7">
        <v>13939</v>
      </c>
      <c r="P1196">
        <v>19</v>
      </c>
      <c r="Q1196" t="s">
        <v>58</v>
      </c>
      <c r="R1196" t="s">
        <v>59</v>
      </c>
      <c r="S1196">
        <f t="shared" si="90"/>
        <v>2024</v>
      </c>
      <c r="T1196" t="str">
        <f t="shared" si="91"/>
        <v>Apr</v>
      </c>
      <c r="U1196">
        <f t="shared" si="92"/>
        <v>3</v>
      </c>
      <c r="V1196">
        <f t="shared" si="93"/>
        <v>8</v>
      </c>
      <c r="W1196" s="9">
        <f t="shared" si="94"/>
        <v>0.20761714677231971</v>
      </c>
    </row>
    <row r="1197" spans="1:23">
      <c r="A1197">
        <v>11196</v>
      </c>
      <c r="B1197" s="5">
        <v>45392</v>
      </c>
      <c r="C1197" s="5">
        <v>45397</v>
      </c>
      <c r="D1197" s="5">
        <v>45401</v>
      </c>
      <c r="E1197" t="s">
        <v>21</v>
      </c>
      <c r="F1197" t="s">
        <v>22</v>
      </c>
      <c r="G1197" t="s">
        <v>26</v>
      </c>
      <c r="H1197" t="s">
        <v>29</v>
      </c>
      <c r="I1197" t="s">
        <v>36</v>
      </c>
      <c r="J1197" t="s">
        <v>42</v>
      </c>
      <c r="K1197" t="s">
        <v>50</v>
      </c>
      <c r="L1197" t="s">
        <v>53</v>
      </c>
      <c r="M1197" s="7">
        <v>15045</v>
      </c>
      <c r="N1197">
        <v>0.13</v>
      </c>
      <c r="O1197" s="7">
        <v>7710</v>
      </c>
      <c r="P1197">
        <v>1</v>
      </c>
      <c r="Q1197" t="s">
        <v>55</v>
      </c>
      <c r="R1197" t="s">
        <v>61</v>
      </c>
      <c r="S1197">
        <f t="shared" si="90"/>
        <v>2024</v>
      </c>
      <c r="T1197" t="str">
        <f t="shared" si="91"/>
        <v>Apr</v>
      </c>
      <c r="U1197">
        <f t="shared" si="92"/>
        <v>5</v>
      </c>
      <c r="V1197">
        <f t="shared" si="93"/>
        <v>9</v>
      </c>
      <c r="W1197" s="9">
        <f t="shared" si="94"/>
        <v>0.51246261216350952</v>
      </c>
    </row>
    <row r="1198" spans="1:23">
      <c r="A1198">
        <v>11197</v>
      </c>
      <c r="B1198" s="5">
        <v>45393</v>
      </c>
      <c r="C1198" s="5">
        <v>45395</v>
      </c>
      <c r="D1198" s="5">
        <v>45396</v>
      </c>
      <c r="E1198" t="s">
        <v>19</v>
      </c>
      <c r="F1198" t="s">
        <v>22</v>
      </c>
      <c r="G1198" t="s">
        <v>24</v>
      </c>
      <c r="H1198" t="s">
        <v>33</v>
      </c>
      <c r="I1198" t="s">
        <v>36</v>
      </c>
      <c r="J1198" t="s">
        <v>37</v>
      </c>
      <c r="K1198" t="s">
        <v>46</v>
      </c>
      <c r="L1198" t="s">
        <v>52</v>
      </c>
      <c r="M1198" s="7">
        <v>39412</v>
      </c>
      <c r="N1198">
        <v>0.34</v>
      </c>
      <c r="O1198" s="7">
        <v>16600</v>
      </c>
      <c r="P1198">
        <v>24</v>
      </c>
      <c r="Q1198" t="s">
        <v>55</v>
      </c>
      <c r="R1198" t="s">
        <v>60</v>
      </c>
      <c r="S1198">
        <f t="shared" si="90"/>
        <v>2024</v>
      </c>
      <c r="T1198" t="str">
        <f t="shared" si="91"/>
        <v>Apr</v>
      </c>
      <c r="U1198">
        <f t="shared" si="92"/>
        <v>2</v>
      </c>
      <c r="V1198">
        <f t="shared" si="93"/>
        <v>3</v>
      </c>
      <c r="W1198" s="9">
        <f t="shared" si="94"/>
        <v>0.42119151527453569</v>
      </c>
    </row>
    <row r="1199" spans="1:23">
      <c r="A1199">
        <v>11198</v>
      </c>
      <c r="B1199" s="5">
        <v>45394</v>
      </c>
      <c r="C1199" s="5">
        <v>45399</v>
      </c>
      <c r="D1199" s="5">
        <v>45403</v>
      </c>
      <c r="E1199" t="s">
        <v>19</v>
      </c>
      <c r="F1199" t="s">
        <v>22</v>
      </c>
      <c r="G1199" t="s">
        <v>24</v>
      </c>
      <c r="H1199" t="s">
        <v>25</v>
      </c>
      <c r="I1199" t="s">
        <v>34</v>
      </c>
      <c r="J1199" t="s">
        <v>43</v>
      </c>
      <c r="K1199" t="s">
        <v>48</v>
      </c>
      <c r="L1199" t="s">
        <v>52</v>
      </c>
      <c r="M1199" s="7">
        <v>20065</v>
      </c>
      <c r="N1199">
        <v>0.33</v>
      </c>
      <c r="O1199" s="7">
        <v>5078</v>
      </c>
      <c r="P1199">
        <v>22</v>
      </c>
      <c r="Q1199" t="s">
        <v>54</v>
      </c>
      <c r="R1199" t="s">
        <v>60</v>
      </c>
      <c r="S1199">
        <f t="shared" si="90"/>
        <v>2024</v>
      </c>
      <c r="T1199" t="str">
        <f t="shared" si="91"/>
        <v>Apr</v>
      </c>
      <c r="U1199">
        <f t="shared" si="92"/>
        <v>5</v>
      </c>
      <c r="V1199">
        <f t="shared" si="93"/>
        <v>9</v>
      </c>
      <c r="W1199" s="9">
        <f t="shared" si="94"/>
        <v>0.253077498131074</v>
      </c>
    </row>
    <row r="1200" spans="1:23">
      <c r="A1200">
        <v>11199</v>
      </c>
      <c r="B1200" s="5">
        <v>45395</v>
      </c>
      <c r="C1200" s="5">
        <v>45397</v>
      </c>
      <c r="D1200" s="5">
        <v>45400</v>
      </c>
      <c r="E1200" t="s">
        <v>20</v>
      </c>
      <c r="F1200" t="s">
        <v>22</v>
      </c>
      <c r="G1200" t="s">
        <v>26</v>
      </c>
      <c r="H1200" t="s">
        <v>31</v>
      </c>
      <c r="I1200" t="s">
        <v>35</v>
      </c>
      <c r="J1200" t="s">
        <v>37</v>
      </c>
      <c r="K1200" t="s">
        <v>46</v>
      </c>
      <c r="L1200" t="s">
        <v>52</v>
      </c>
      <c r="M1200" s="7">
        <v>8864</v>
      </c>
      <c r="N1200">
        <v>7.0000000000000007E-2</v>
      </c>
      <c r="O1200" s="7">
        <v>-99</v>
      </c>
      <c r="P1200">
        <v>15</v>
      </c>
      <c r="Q1200" t="s">
        <v>58</v>
      </c>
      <c r="R1200" t="s">
        <v>62</v>
      </c>
      <c r="S1200">
        <f t="shared" si="90"/>
        <v>2024</v>
      </c>
      <c r="T1200" t="str">
        <f t="shared" si="91"/>
        <v>Apr</v>
      </c>
      <c r="U1200">
        <f t="shared" si="92"/>
        <v>2</v>
      </c>
      <c r="V1200">
        <f t="shared" si="93"/>
        <v>5</v>
      </c>
      <c r="W1200" s="9">
        <f t="shared" si="94"/>
        <v>-1.1168772563176896E-2</v>
      </c>
    </row>
    <row r="1201" spans="1:23">
      <c r="A1201">
        <v>11200</v>
      </c>
      <c r="B1201" s="5">
        <v>45396</v>
      </c>
      <c r="C1201" s="5">
        <v>45398</v>
      </c>
      <c r="D1201" s="5">
        <v>45402</v>
      </c>
      <c r="E1201" t="s">
        <v>21</v>
      </c>
      <c r="F1201" t="s">
        <v>22</v>
      </c>
      <c r="G1201" t="s">
        <v>24</v>
      </c>
      <c r="H1201" t="s">
        <v>30</v>
      </c>
      <c r="I1201" t="s">
        <v>35</v>
      </c>
      <c r="J1201" t="s">
        <v>37</v>
      </c>
      <c r="K1201" t="s">
        <v>47</v>
      </c>
      <c r="L1201" t="s">
        <v>51</v>
      </c>
      <c r="M1201" s="7">
        <v>64581</v>
      </c>
      <c r="N1201">
        <v>0.27</v>
      </c>
      <c r="O1201" s="7">
        <v>18450</v>
      </c>
      <c r="P1201">
        <v>22</v>
      </c>
      <c r="Q1201" t="s">
        <v>56</v>
      </c>
      <c r="R1201" t="s">
        <v>61</v>
      </c>
      <c r="S1201">
        <f t="shared" si="90"/>
        <v>2024</v>
      </c>
      <c r="T1201" t="str">
        <f t="shared" si="91"/>
        <v>Apr</v>
      </c>
      <c r="U1201">
        <f t="shared" si="92"/>
        <v>2</v>
      </c>
      <c r="V1201">
        <f t="shared" si="93"/>
        <v>6</v>
      </c>
      <c r="W1201" s="9">
        <f t="shared" si="94"/>
        <v>0.28568774097644817</v>
      </c>
    </row>
    <row r="1202" spans="1:23">
      <c r="A1202">
        <v>11201</v>
      </c>
      <c r="B1202" s="5">
        <v>45397</v>
      </c>
      <c r="C1202" s="5">
        <v>45402</v>
      </c>
      <c r="D1202" s="5">
        <v>45406</v>
      </c>
      <c r="E1202" t="s">
        <v>18</v>
      </c>
      <c r="F1202" t="s">
        <v>22</v>
      </c>
      <c r="G1202" t="s">
        <v>27</v>
      </c>
      <c r="H1202" t="s">
        <v>25</v>
      </c>
      <c r="I1202" t="s">
        <v>35</v>
      </c>
      <c r="J1202" t="s">
        <v>40</v>
      </c>
      <c r="K1202" t="s">
        <v>46</v>
      </c>
      <c r="L1202" t="s">
        <v>52</v>
      </c>
      <c r="M1202" s="7">
        <v>74776</v>
      </c>
      <c r="N1202">
        <v>0.08</v>
      </c>
      <c r="O1202" s="7">
        <v>964</v>
      </c>
      <c r="P1202">
        <v>9</v>
      </c>
      <c r="Q1202" t="s">
        <v>57</v>
      </c>
      <c r="R1202" t="s">
        <v>61</v>
      </c>
      <c r="S1202">
        <f t="shared" si="90"/>
        <v>2024</v>
      </c>
      <c r="T1202" t="str">
        <f t="shared" si="91"/>
        <v>Apr</v>
      </c>
      <c r="U1202">
        <f t="shared" si="92"/>
        <v>5</v>
      </c>
      <c r="V1202">
        <f t="shared" si="93"/>
        <v>9</v>
      </c>
      <c r="W1202" s="9">
        <f t="shared" si="94"/>
        <v>1.2891836953033059E-2</v>
      </c>
    </row>
    <row r="1203" spans="1:23">
      <c r="A1203">
        <v>11202</v>
      </c>
      <c r="B1203" s="5">
        <v>45398</v>
      </c>
      <c r="C1203" s="5">
        <v>45400</v>
      </c>
      <c r="D1203" s="5">
        <v>45402</v>
      </c>
      <c r="E1203" t="s">
        <v>19</v>
      </c>
      <c r="F1203" t="s">
        <v>22</v>
      </c>
      <c r="G1203" t="s">
        <v>26</v>
      </c>
      <c r="H1203" t="s">
        <v>25</v>
      </c>
      <c r="I1203" t="s">
        <v>35</v>
      </c>
      <c r="J1203" t="s">
        <v>38</v>
      </c>
      <c r="K1203" t="s">
        <v>44</v>
      </c>
      <c r="L1203" t="s">
        <v>51</v>
      </c>
      <c r="M1203" s="7">
        <v>53157</v>
      </c>
      <c r="N1203">
        <v>0.17</v>
      </c>
      <c r="O1203" s="7">
        <v>165</v>
      </c>
      <c r="P1203">
        <v>24</v>
      </c>
      <c r="Q1203" t="s">
        <v>58</v>
      </c>
      <c r="R1203" t="s">
        <v>59</v>
      </c>
      <c r="S1203">
        <f t="shared" si="90"/>
        <v>2024</v>
      </c>
      <c r="T1203" t="str">
        <f t="shared" si="91"/>
        <v>Apr</v>
      </c>
      <c r="U1203">
        <f t="shared" si="92"/>
        <v>2</v>
      </c>
      <c r="V1203">
        <f t="shared" si="93"/>
        <v>4</v>
      </c>
      <c r="W1203" s="9">
        <f t="shared" si="94"/>
        <v>3.1040126417969413E-3</v>
      </c>
    </row>
    <row r="1204" spans="1:23">
      <c r="A1204">
        <v>11203</v>
      </c>
      <c r="B1204" s="5">
        <v>45399</v>
      </c>
      <c r="C1204" s="5">
        <v>45405</v>
      </c>
      <c r="D1204" s="5">
        <v>45409</v>
      </c>
      <c r="E1204" t="s">
        <v>20</v>
      </c>
      <c r="F1204" t="s">
        <v>22</v>
      </c>
      <c r="G1204" t="s">
        <v>26</v>
      </c>
      <c r="H1204" t="s">
        <v>32</v>
      </c>
      <c r="I1204" t="s">
        <v>34</v>
      </c>
      <c r="J1204" t="s">
        <v>42</v>
      </c>
      <c r="K1204" t="s">
        <v>45</v>
      </c>
      <c r="L1204" t="s">
        <v>51</v>
      </c>
      <c r="M1204" s="7">
        <v>20532</v>
      </c>
      <c r="N1204">
        <v>0.19</v>
      </c>
      <c r="O1204" s="7">
        <v>13255</v>
      </c>
      <c r="P1204">
        <v>1</v>
      </c>
      <c r="Q1204" t="s">
        <v>54</v>
      </c>
      <c r="R1204" t="s">
        <v>61</v>
      </c>
      <c r="S1204">
        <f t="shared" si="90"/>
        <v>2024</v>
      </c>
      <c r="T1204" t="str">
        <f t="shared" si="91"/>
        <v>Apr</v>
      </c>
      <c r="U1204">
        <f t="shared" si="92"/>
        <v>6</v>
      </c>
      <c r="V1204">
        <f t="shared" si="93"/>
        <v>10</v>
      </c>
      <c r="W1204" s="9">
        <f t="shared" si="94"/>
        <v>0.64557763491135789</v>
      </c>
    </row>
    <row r="1205" spans="1:23">
      <c r="A1205">
        <v>11204</v>
      </c>
      <c r="B1205" s="5">
        <v>45400</v>
      </c>
      <c r="C1205" s="5">
        <v>45405</v>
      </c>
      <c r="D1205" s="5">
        <v>45408</v>
      </c>
      <c r="E1205" t="s">
        <v>18</v>
      </c>
      <c r="F1205" t="s">
        <v>22</v>
      </c>
      <c r="G1205" t="s">
        <v>25</v>
      </c>
      <c r="H1205" t="s">
        <v>32</v>
      </c>
      <c r="I1205" t="s">
        <v>34</v>
      </c>
      <c r="J1205" t="s">
        <v>42</v>
      </c>
      <c r="K1205" t="s">
        <v>44</v>
      </c>
      <c r="L1205" t="s">
        <v>52</v>
      </c>
      <c r="M1205" s="7">
        <v>61693</v>
      </c>
      <c r="N1205">
        <v>0.18</v>
      </c>
      <c r="O1205" s="7">
        <v>7219</v>
      </c>
      <c r="P1205">
        <v>4</v>
      </c>
      <c r="Q1205" t="s">
        <v>57</v>
      </c>
      <c r="R1205" t="s">
        <v>59</v>
      </c>
      <c r="S1205">
        <f t="shared" si="90"/>
        <v>2024</v>
      </c>
      <c r="T1205" t="str">
        <f t="shared" si="91"/>
        <v>Apr</v>
      </c>
      <c r="U1205">
        <f t="shared" si="92"/>
        <v>5</v>
      </c>
      <c r="V1205">
        <f t="shared" si="93"/>
        <v>8</v>
      </c>
      <c r="W1205" s="9">
        <f t="shared" si="94"/>
        <v>0.11701489634156226</v>
      </c>
    </row>
    <row r="1206" spans="1:23">
      <c r="A1206">
        <v>11205</v>
      </c>
      <c r="B1206" s="5">
        <v>45401</v>
      </c>
      <c r="C1206" s="5">
        <v>45403</v>
      </c>
      <c r="D1206" s="5">
        <v>45405</v>
      </c>
      <c r="E1206" t="s">
        <v>21</v>
      </c>
      <c r="F1206" t="s">
        <v>22</v>
      </c>
      <c r="G1206" t="s">
        <v>28</v>
      </c>
      <c r="H1206" t="s">
        <v>29</v>
      </c>
      <c r="I1206" t="s">
        <v>35</v>
      </c>
      <c r="J1206" t="s">
        <v>38</v>
      </c>
      <c r="K1206" t="s">
        <v>50</v>
      </c>
      <c r="L1206" t="s">
        <v>51</v>
      </c>
      <c r="M1206" s="7">
        <v>23240</v>
      </c>
      <c r="N1206">
        <v>0.17</v>
      </c>
      <c r="O1206" s="7">
        <v>11794</v>
      </c>
      <c r="P1206">
        <v>4</v>
      </c>
      <c r="Q1206" t="s">
        <v>55</v>
      </c>
      <c r="R1206" t="s">
        <v>59</v>
      </c>
      <c r="S1206">
        <f t="shared" si="90"/>
        <v>2024</v>
      </c>
      <c r="T1206" t="str">
        <f t="shared" si="91"/>
        <v>Apr</v>
      </c>
      <c r="U1206">
        <f t="shared" si="92"/>
        <v>2</v>
      </c>
      <c r="V1206">
        <f t="shared" si="93"/>
        <v>4</v>
      </c>
      <c r="W1206" s="9">
        <f t="shared" si="94"/>
        <v>0.50748709122203095</v>
      </c>
    </row>
    <row r="1207" spans="1:23">
      <c r="A1207">
        <v>11206</v>
      </c>
      <c r="B1207" s="5">
        <v>45402</v>
      </c>
      <c r="C1207" s="5">
        <v>45407</v>
      </c>
      <c r="D1207" s="5">
        <v>45409</v>
      </c>
      <c r="E1207" t="s">
        <v>21</v>
      </c>
      <c r="F1207" t="s">
        <v>22</v>
      </c>
      <c r="G1207" t="s">
        <v>25</v>
      </c>
      <c r="H1207" t="s">
        <v>33</v>
      </c>
      <c r="I1207" t="s">
        <v>35</v>
      </c>
      <c r="J1207" t="s">
        <v>37</v>
      </c>
      <c r="K1207" t="s">
        <v>44</v>
      </c>
      <c r="L1207" t="s">
        <v>52</v>
      </c>
      <c r="M1207" s="7">
        <v>51122</v>
      </c>
      <c r="N1207">
        <v>0.37</v>
      </c>
      <c r="O1207" s="7">
        <v>17618</v>
      </c>
      <c r="P1207">
        <v>20</v>
      </c>
      <c r="Q1207" t="s">
        <v>55</v>
      </c>
      <c r="R1207" t="s">
        <v>62</v>
      </c>
      <c r="S1207">
        <f t="shared" si="90"/>
        <v>2024</v>
      </c>
      <c r="T1207" t="str">
        <f t="shared" si="91"/>
        <v>Apr</v>
      </c>
      <c r="U1207">
        <f t="shared" si="92"/>
        <v>5</v>
      </c>
      <c r="V1207">
        <f t="shared" si="93"/>
        <v>7</v>
      </c>
      <c r="W1207" s="9">
        <f t="shared" si="94"/>
        <v>0.34462657955479048</v>
      </c>
    </row>
    <row r="1208" spans="1:23">
      <c r="A1208">
        <v>11207</v>
      </c>
      <c r="B1208" s="5">
        <v>45403</v>
      </c>
      <c r="C1208" s="5">
        <v>45406</v>
      </c>
      <c r="D1208" s="5">
        <v>45408</v>
      </c>
      <c r="E1208" t="s">
        <v>18</v>
      </c>
      <c r="F1208" t="s">
        <v>22</v>
      </c>
      <c r="G1208" t="s">
        <v>23</v>
      </c>
      <c r="H1208" t="s">
        <v>30</v>
      </c>
      <c r="I1208" t="s">
        <v>34</v>
      </c>
      <c r="J1208" t="s">
        <v>43</v>
      </c>
      <c r="K1208" t="s">
        <v>46</v>
      </c>
      <c r="L1208" t="s">
        <v>53</v>
      </c>
      <c r="M1208" s="7">
        <v>65504</v>
      </c>
      <c r="N1208">
        <v>0.17</v>
      </c>
      <c r="O1208" s="7">
        <v>967</v>
      </c>
      <c r="P1208">
        <v>19</v>
      </c>
      <c r="Q1208" t="s">
        <v>58</v>
      </c>
      <c r="R1208" t="s">
        <v>61</v>
      </c>
      <c r="S1208">
        <f t="shared" si="90"/>
        <v>2024</v>
      </c>
      <c r="T1208" t="str">
        <f t="shared" si="91"/>
        <v>Apr</v>
      </c>
      <c r="U1208">
        <f t="shared" si="92"/>
        <v>3</v>
      </c>
      <c r="V1208">
        <f t="shared" si="93"/>
        <v>5</v>
      </c>
      <c r="W1208" s="9">
        <f t="shared" si="94"/>
        <v>1.4762457254518808E-2</v>
      </c>
    </row>
    <row r="1209" spans="1:23">
      <c r="A1209">
        <v>11208</v>
      </c>
      <c r="B1209" s="5">
        <v>45404</v>
      </c>
      <c r="C1209" s="5">
        <v>45407</v>
      </c>
      <c r="D1209" s="5">
        <v>45408</v>
      </c>
      <c r="E1209" t="s">
        <v>18</v>
      </c>
      <c r="F1209" t="s">
        <v>22</v>
      </c>
      <c r="G1209" t="s">
        <v>28</v>
      </c>
      <c r="H1209" t="s">
        <v>25</v>
      </c>
      <c r="I1209" t="s">
        <v>34</v>
      </c>
      <c r="J1209" t="s">
        <v>41</v>
      </c>
      <c r="K1209" t="s">
        <v>47</v>
      </c>
      <c r="L1209" t="s">
        <v>53</v>
      </c>
      <c r="M1209" s="7">
        <v>23104</v>
      </c>
      <c r="N1209">
        <v>0.21</v>
      </c>
      <c r="O1209" s="7">
        <v>1244</v>
      </c>
      <c r="P1209">
        <v>14</v>
      </c>
      <c r="Q1209" t="s">
        <v>57</v>
      </c>
      <c r="R1209" t="s">
        <v>60</v>
      </c>
      <c r="S1209">
        <f t="shared" si="90"/>
        <v>2024</v>
      </c>
      <c r="T1209" t="str">
        <f t="shared" si="91"/>
        <v>Apr</v>
      </c>
      <c r="U1209">
        <f t="shared" si="92"/>
        <v>3</v>
      </c>
      <c r="V1209">
        <f t="shared" si="93"/>
        <v>4</v>
      </c>
      <c r="W1209" s="9">
        <f t="shared" si="94"/>
        <v>5.3843490304709141E-2</v>
      </c>
    </row>
    <row r="1210" spans="1:23">
      <c r="A1210">
        <v>11209</v>
      </c>
      <c r="B1210" s="5">
        <v>45405</v>
      </c>
      <c r="C1210" s="5">
        <v>45409</v>
      </c>
      <c r="D1210" s="5">
        <v>45414</v>
      </c>
      <c r="E1210" t="s">
        <v>21</v>
      </c>
      <c r="F1210" t="s">
        <v>22</v>
      </c>
      <c r="G1210" t="s">
        <v>25</v>
      </c>
      <c r="H1210" t="s">
        <v>30</v>
      </c>
      <c r="I1210" t="s">
        <v>34</v>
      </c>
      <c r="J1210" t="s">
        <v>39</v>
      </c>
      <c r="K1210" t="s">
        <v>48</v>
      </c>
      <c r="L1210" t="s">
        <v>51</v>
      </c>
      <c r="M1210" s="7">
        <v>54972</v>
      </c>
      <c r="N1210">
        <v>0.21</v>
      </c>
      <c r="O1210" s="7">
        <v>2273</v>
      </c>
      <c r="P1210">
        <v>20</v>
      </c>
      <c r="Q1210" t="s">
        <v>54</v>
      </c>
      <c r="R1210" t="s">
        <v>62</v>
      </c>
      <c r="S1210">
        <f t="shared" si="90"/>
        <v>2024</v>
      </c>
      <c r="T1210" t="str">
        <f t="shared" si="91"/>
        <v>Apr</v>
      </c>
      <c r="U1210">
        <f t="shared" si="92"/>
        <v>4</v>
      </c>
      <c r="V1210">
        <f t="shared" si="93"/>
        <v>9</v>
      </c>
      <c r="W1210" s="9">
        <f t="shared" si="94"/>
        <v>4.1348322782507461E-2</v>
      </c>
    </row>
    <row r="1211" spans="1:23">
      <c r="A1211">
        <v>11210</v>
      </c>
      <c r="B1211" s="5">
        <v>45406</v>
      </c>
      <c r="C1211" s="5">
        <v>45409</v>
      </c>
      <c r="D1211" s="5">
        <v>45410</v>
      </c>
      <c r="E1211" t="s">
        <v>19</v>
      </c>
      <c r="F1211" t="s">
        <v>22</v>
      </c>
      <c r="G1211" t="s">
        <v>26</v>
      </c>
      <c r="H1211" t="s">
        <v>29</v>
      </c>
      <c r="I1211" t="s">
        <v>35</v>
      </c>
      <c r="J1211" t="s">
        <v>37</v>
      </c>
      <c r="K1211" t="s">
        <v>44</v>
      </c>
      <c r="L1211" t="s">
        <v>52</v>
      </c>
      <c r="M1211" s="7">
        <v>26884</v>
      </c>
      <c r="N1211">
        <v>0.28000000000000003</v>
      </c>
      <c r="O1211" s="7">
        <v>4694</v>
      </c>
      <c r="P1211">
        <v>10</v>
      </c>
      <c r="Q1211" t="s">
        <v>56</v>
      </c>
      <c r="R1211" t="s">
        <v>59</v>
      </c>
      <c r="S1211">
        <f t="shared" si="90"/>
        <v>2024</v>
      </c>
      <c r="T1211" t="str">
        <f t="shared" si="91"/>
        <v>Apr</v>
      </c>
      <c r="U1211">
        <f t="shared" si="92"/>
        <v>3</v>
      </c>
      <c r="V1211">
        <f t="shared" si="93"/>
        <v>4</v>
      </c>
      <c r="W1211" s="9">
        <f t="shared" si="94"/>
        <v>0.17460199375092991</v>
      </c>
    </row>
    <row r="1212" spans="1:23">
      <c r="A1212">
        <v>11211</v>
      </c>
      <c r="B1212" s="5">
        <v>45407</v>
      </c>
      <c r="C1212" s="5">
        <v>45413</v>
      </c>
      <c r="D1212" s="5">
        <v>45416</v>
      </c>
      <c r="E1212" t="s">
        <v>20</v>
      </c>
      <c r="F1212" t="s">
        <v>22</v>
      </c>
      <c r="G1212" t="s">
        <v>25</v>
      </c>
      <c r="H1212" t="s">
        <v>25</v>
      </c>
      <c r="I1212" t="s">
        <v>36</v>
      </c>
      <c r="J1212" t="s">
        <v>41</v>
      </c>
      <c r="K1212" t="s">
        <v>47</v>
      </c>
      <c r="L1212" t="s">
        <v>53</v>
      </c>
      <c r="M1212" s="7">
        <v>38143</v>
      </c>
      <c r="N1212">
        <v>0.31</v>
      </c>
      <c r="O1212" s="7">
        <v>12744</v>
      </c>
      <c r="P1212">
        <v>10</v>
      </c>
      <c r="Q1212" t="s">
        <v>57</v>
      </c>
      <c r="R1212" t="s">
        <v>60</v>
      </c>
      <c r="S1212">
        <f t="shared" si="90"/>
        <v>2024</v>
      </c>
      <c r="T1212" t="str">
        <f t="shared" si="91"/>
        <v>Apr</v>
      </c>
      <c r="U1212">
        <f t="shared" si="92"/>
        <v>6</v>
      </c>
      <c r="V1212">
        <f t="shared" si="93"/>
        <v>9</v>
      </c>
      <c r="W1212" s="9">
        <f t="shared" si="94"/>
        <v>0.33411110819809664</v>
      </c>
    </row>
    <row r="1213" spans="1:23">
      <c r="A1213">
        <v>11212</v>
      </c>
      <c r="B1213" s="5">
        <v>45408</v>
      </c>
      <c r="C1213" s="5">
        <v>45415</v>
      </c>
      <c r="D1213" s="5">
        <v>45416</v>
      </c>
      <c r="E1213" t="s">
        <v>18</v>
      </c>
      <c r="F1213" t="s">
        <v>22</v>
      </c>
      <c r="G1213" t="s">
        <v>24</v>
      </c>
      <c r="H1213" t="s">
        <v>33</v>
      </c>
      <c r="I1213" t="s">
        <v>35</v>
      </c>
      <c r="J1213" t="s">
        <v>39</v>
      </c>
      <c r="K1213" t="s">
        <v>45</v>
      </c>
      <c r="L1213" t="s">
        <v>52</v>
      </c>
      <c r="M1213" s="7">
        <v>50385</v>
      </c>
      <c r="N1213">
        <v>0.3</v>
      </c>
      <c r="O1213" s="7">
        <v>15123</v>
      </c>
      <c r="P1213">
        <v>11</v>
      </c>
      <c r="Q1213" t="s">
        <v>55</v>
      </c>
      <c r="R1213" t="s">
        <v>61</v>
      </c>
      <c r="S1213">
        <f t="shared" si="90"/>
        <v>2024</v>
      </c>
      <c r="T1213" t="str">
        <f t="shared" si="91"/>
        <v>Apr</v>
      </c>
      <c r="U1213">
        <f t="shared" si="92"/>
        <v>7</v>
      </c>
      <c r="V1213">
        <f t="shared" si="93"/>
        <v>8</v>
      </c>
      <c r="W1213" s="9">
        <f t="shared" si="94"/>
        <v>0.30014885382554329</v>
      </c>
    </row>
    <row r="1214" spans="1:23">
      <c r="A1214">
        <v>11213</v>
      </c>
      <c r="B1214" s="5">
        <v>45409</v>
      </c>
      <c r="C1214" s="5">
        <v>45416</v>
      </c>
      <c r="D1214" s="5">
        <v>45417</v>
      </c>
      <c r="E1214" t="s">
        <v>20</v>
      </c>
      <c r="F1214" t="s">
        <v>22</v>
      </c>
      <c r="G1214" t="s">
        <v>24</v>
      </c>
      <c r="H1214" t="s">
        <v>30</v>
      </c>
      <c r="I1214" t="s">
        <v>36</v>
      </c>
      <c r="J1214" t="s">
        <v>38</v>
      </c>
      <c r="K1214" t="s">
        <v>45</v>
      </c>
      <c r="L1214" t="s">
        <v>53</v>
      </c>
      <c r="M1214" s="7">
        <v>43776</v>
      </c>
      <c r="N1214">
        <v>0.16</v>
      </c>
      <c r="O1214" s="7">
        <v>19826</v>
      </c>
      <c r="P1214">
        <v>10</v>
      </c>
      <c r="Q1214" t="s">
        <v>57</v>
      </c>
      <c r="R1214" t="s">
        <v>62</v>
      </c>
      <c r="S1214">
        <f t="shared" si="90"/>
        <v>2024</v>
      </c>
      <c r="T1214" t="str">
        <f t="shared" si="91"/>
        <v>Apr</v>
      </c>
      <c r="U1214">
        <f t="shared" si="92"/>
        <v>7</v>
      </c>
      <c r="V1214">
        <f t="shared" si="93"/>
        <v>8</v>
      </c>
      <c r="W1214" s="9">
        <f t="shared" si="94"/>
        <v>0.45289656432748537</v>
      </c>
    </row>
    <row r="1215" spans="1:23">
      <c r="A1215">
        <v>11214</v>
      </c>
      <c r="B1215" s="5">
        <v>45410</v>
      </c>
      <c r="C1215" s="5">
        <v>45414</v>
      </c>
      <c r="D1215" s="5">
        <v>45415</v>
      </c>
      <c r="E1215" t="s">
        <v>18</v>
      </c>
      <c r="F1215" t="s">
        <v>22</v>
      </c>
      <c r="G1215" t="s">
        <v>25</v>
      </c>
      <c r="H1215" t="s">
        <v>32</v>
      </c>
      <c r="I1215" t="s">
        <v>35</v>
      </c>
      <c r="J1215" t="s">
        <v>40</v>
      </c>
      <c r="K1215" t="s">
        <v>47</v>
      </c>
      <c r="L1215" t="s">
        <v>53</v>
      </c>
      <c r="M1215" s="7">
        <v>52405</v>
      </c>
      <c r="N1215">
        <v>0.18</v>
      </c>
      <c r="O1215" s="7">
        <v>-1175</v>
      </c>
      <c r="P1215">
        <v>10</v>
      </c>
      <c r="Q1215" t="s">
        <v>55</v>
      </c>
      <c r="R1215" t="s">
        <v>60</v>
      </c>
      <c r="S1215">
        <f t="shared" si="90"/>
        <v>2024</v>
      </c>
      <c r="T1215" t="str">
        <f t="shared" si="91"/>
        <v>Apr</v>
      </c>
      <c r="U1215">
        <f t="shared" si="92"/>
        <v>4</v>
      </c>
      <c r="V1215">
        <f t="shared" si="93"/>
        <v>5</v>
      </c>
      <c r="W1215" s="9">
        <f t="shared" si="94"/>
        <v>-2.2421524663677129E-2</v>
      </c>
    </row>
    <row r="1216" spans="1:23">
      <c r="A1216">
        <v>11215</v>
      </c>
      <c r="B1216" s="5">
        <v>45411</v>
      </c>
      <c r="C1216" s="5">
        <v>45413</v>
      </c>
      <c r="D1216" s="5">
        <v>45414</v>
      </c>
      <c r="E1216" t="s">
        <v>21</v>
      </c>
      <c r="F1216" t="s">
        <v>22</v>
      </c>
      <c r="G1216" t="s">
        <v>25</v>
      </c>
      <c r="H1216" t="s">
        <v>25</v>
      </c>
      <c r="I1216" t="s">
        <v>36</v>
      </c>
      <c r="J1216" t="s">
        <v>40</v>
      </c>
      <c r="K1216" t="s">
        <v>44</v>
      </c>
      <c r="L1216" t="s">
        <v>52</v>
      </c>
      <c r="M1216" s="7">
        <v>8835</v>
      </c>
      <c r="N1216">
        <v>0.03</v>
      </c>
      <c r="O1216" s="7">
        <v>-525</v>
      </c>
      <c r="P1216">
        <v>18</v>
      </c>
      <c r="Q1216" t="s">
        <v>58</v>
      </c>
      <c r="R1216" t="s">
        <v>61</v>
      </c>
      <c r="S1216">
        <f t="shared" si="90"/>
        <v>2024</v>
      </c>
      <c r="T1216" t="str">
        <f t="shared" si="91"/>
        <v>Apr</v>
      </c>
      <c r="U1216">
        <f t="shared" si="92"/>
        <v>2</v>
      </c>
      <c r="V1216">
        <f t="shared" si="93"/>
        <v>3</v>
      </c>
      <c r="W1216" s="9">
        <f t="shared" si="94"/>
        <v>-5.9422750424448216E-2</v>
      </c>
    </row>
    <row r="1217" spans="1:23">
      <c r="A1217">
        <v>11216</v>
      </c>
      <c r="B1217" s="5">
        <v>45412</v>
      </c>
      <c r="C1217" s="5">
        <v>45416</v>
      </c>
      <c r="D1217" s="5">
        <v>45418</v>
      </c>
      <c r="E1217" t="s">
        <v>18</v>
      </c>
      <c r="F1217" t="s">
        <v>22</v>
      </c>
      <c r="G1217" t="s">
        <v>25</v>
      </c>
      <c r="H1217" t="s">
        <v>29</v>
      </c>
      <c r="I1217" t="s">
        <v>34</v>
      </c>
      <c r="J1217" t="s">
        <v>38</v>
      </c>
      <c r="K1217" t="s">
        <v>49</v>
      </c>
      <c r="L1217" t="s">
        <v>51</v>
      </c>
      <c r="M1217" s="7">
        <v>10925</v>
      </c>
      <c r="N1217">
        <v>0.28999999999999998</v>
      </c>
      <c r="O1217" s="7">
        <v>-1027</v>
      </c>
      <c r="P1217">
        <v>14</v>
      </c>
      <c r="Q1217" t="s">
        <v>54</v>
      </c>
      <c r="R1217" t="s">
        <v>60</v>
      </c>
      <c r="S1217">
        <f t="shared" si="90"/>
        <v>2024</v>
      </c>
      <c r="T1217" t="str">
        <f t="shared" si="91"/>
        <v>Apr</v>
      </c>
      <c r="U1217">
        <f t="shared" si="92"/>
        <v>4</v>
      </c>
      <c r="V1217">
        <f t="shared" si="93"/>
        <v>6</v>
      </c>
      <c r="W1217" s="9">
        <f t="shared" si="94"/>
        <v>-9.4004576659038899E-2</v>
      </c>
    </row>
    <row r="1218" spans="1:23">
      <c r="A1218">
        <v>11217</v>
      </c>
      <c r="B1218" s="5">
        <v>45413</v>
      </c>
      <c r="C1218" s="5">
        <v>45416</v>
      </c>
      <c r="D1218" s="5">
        <v>45418</v>
      </c>
      <c r="E1218" t="s">
        <v>19</v>
      </c>
      <c r="F1218" t="s">
        <v>22</v>
      </c>
      <c r="G1218" t="s">
        <v>28</v>
      </c>
      <c r="H1218" t="s">
        <v>30</v>
      </c>
      <c r="I1218" t="s">
        <v>35</v>
      </c>
      <c r="J1218" t="s">
        <v>37</v>
      </c>
      <c r="K1218" t="s">
        <v>47</v>
      </c>
      <c r="L1218" t="s">
        <v>53</v>
      </c>
      <c r="M1218" s="7">
        <v>51575</v>
      </c>
      <c r="N1218">
        <v>7.0000000000000007E-2</v>
      </c>
      <c r="O1218" s="7">
        <v>1405</v>
      </c>
      <c r="P1218">
        <v>19</v>
      </c>
      <c r="Q1218" t="s">
        <v>54</v>
      </c>
      <c r="R1218" t="s">
        <v>61</v>
      </c>
      <c r="S1218">
        <f t="shared" si="90"/>
        <v>2024</v>
      </c>
      <c r="T1218" t="str">
        <f t="shared" si="91"/>
        <v>May</v>
      </c>
      <c r="U1218">
        <f t="shared" si="92"/>
        <v>3</v>
      </c>
      <c r="V1218">
        <f t="shared" si="93"/>
        <v>5</v>
      </c>
      <c r="W1218" s="9">
        <f t="shared" si="94"/>
        <v>2.7241880756180319E-2</v>
      </c>
    </row>
    <row r="1219" spans="1:23">
      <c r="A1219">
        <v>11218</v>
      </c>
      <c r="B1219" s="5">
        <v>45414</v>
      </c>
      <c r="C1219" s="5">
        <v>45419</v>
      </c>
      <c r="D1219" s="5">
        <v>45423</v>
      </c>
      <c r="E1219" t="s">
        <v>19</v>
      </c>
      <c r="F1219" t="s">
        <v>22</v>
      </c>
      <c r="G1219" t="s">
        <v>27</v>
      </c>
      <c r="H1219" t="s">
        <v>30</v>
      </c>
      <c r="I1219" t="s">
        <v>36</v>
      </c>
      <c r="J1219" t="s">
        <v>39</v>
      </c>
      <c r="K1219" t="s">
        <v>44</v>
      </c>
      <c r="L1219" t="s">
        <v>52</v>
      </c>
      <c r="M1219" s="7">
        <v>33885</v>
      </c>
      <c r="N1219">
        <v>0.12</v>
      </c>
      <c r="O1219" s="7">
        <v>2739</v>
      </c>
      <c r="P1219">
        <v>13</v>
      </c>
      <c r="Q1219" t="s">
        <v>55</v>
      </c>
      <c r="R1219" t="s">
        <v>62</v>
      </c>
      <c r="S1219">
        <f t="shared" ref="S1219:S1282" si="95">YEAR(B1219)</f>
        <v>2024</v>
      </c>
      <c r="T1219" t="str">
        <f t="shared" ref="T1219:T1282" si="96">TEXT(B1219,"mmm")</f>
        <v>May</v>
      </c>
      <c r="U1219">
        <f t="shared" ref="U1219:U1282" si="97">C1219-B1219</f>
        <v>5</v>
      </c>
      <c r="V1219">
        <f t="shared" ref="V1219:V1282" si="98">D1219-B1219</f>
        <v>9</v>
      </c>
      <c r="W1219" s="9">
        <f t="shared" ref="W1219:W1282" si="99">IFERROR(O1219/M1219,0)</f>
        <v>8.0832226648959712E-2</v>
      </c>
    </row>
    <row r="1220" spans="1:23">
      <c r="A1220">
        <v>11219</v>
      </c>
      <c r="B1220" s="5">
        <v>45415</v>
      </c>
      <c r="C1220" s="5">
        <v>45418</v>
      </c>
      <c r="D1220" s="5">
        <v>45419</v>
      </c>
      <c r="E1220" t="s">
        <v>20</v>
      </c>
      <c r="F1220" t="s">
        <v>22</v>
      </c>
      <c r="G1220" t="s">
        <v>28</v>
      </c>
      <c r="H1220" t="s">
        <v>32</v>
      </c>
      <c r="I1220" t="s">
        <v>35</v>
      </c>
      <c r="J1220" t="s">
        <v>38</v>
      </c>
      <c r="K1220" t="s">
        <v>50</v>
      </c>
      <c r="L1220" t="s">
        <v>53</v>
      </c>
      <c r="M1220" s="7">
        <v>17409</v>
      </c>
      <c r="N1220">
        <v>0.01</v>
      </c>
      <c r="O1220" s="7">
        <v>7111</v>
      </c>
      <c r="P1220">
        <v>23</v>
      </c>
      <c r="Q1220" t="s">
        <v>55</v>
      </c>
      <c r="R1220" t="s">
        <v>61</v>
      </c>
      <c r="S1220">
        <f t="shared" si="95"/>
        <v>2024</v>
      </c>
      <c r="T1220" t="str">
        <f t="shared" si="96"/>
        <v>May</v>
      </c>
      <c r="U1220">
        <f t="shared" si="97"/>
        <v>3</v>
      </c>
      <c r="V1220">
        <f t="shared" si="98"/>
        <v>4</v>
      </c>
      <c r="W1220" s="9">
        <f t="shared" si="99"/>
        <v>0.4084668849445689</v>
      </c>
    </row>
    <row r="1221" spans="1:23">
      <c r="A1221">
        <v>11220</v>
      </c>
      <c r="B1221" s="5">
        <v>45416</v>
      </c>
      <c r="C1221" s="5">
        <v>45421</v>
      </c>
      <c r="D1221" s="5">
        <v>45426</v>
      </c>
      <c r="E1221" t="s">
        <v>20</v>
      </c>
      <c r="F1221" t="s">
        <v>22</v>
      </c>
      <c r="G1221" t="s">
        <v>23</v>
      </c>
      <c r="H1221" t="s">
        <v>25</v>
      </c>
      <c r="I1221" t="s">
        <v>36</v>
      </c>
      <c r="J1221" t="s">
        <v>38</v>
      </c>
      <c r="K1221" t="s">
        <v>48</v>
      </c>
      <c r="L1221" t="s">
        <v>51</v>
      </c>
      <c r="M1221" s="7">
        <v>59416</v>
      </c>
      <c r="N1221">
        <v>0.33</v>
      </c>
      <c r="O1221" s="7">
        <v>1366</v>
      </c>
      <c r="P1221">
        <v>12</v>
      </c>
      <c r="Q1221" t="s">
        <v>56</v>
      </c>
      <c r="R1221" t="s">
        <v>62</v>
      </c>
      <c r="S1221">
        <f t="shared" si="95"/>
        <v>2024</v>
      </c>
      <c r="T1221" t="str">
        <f t="shared" si="96"/>
        <v>May</v>
      </c>
      <c r="U1221">
        <f t="shared" si="97"/>
        <v>5</v>
      </c>
      <c r="V1221">
        <f t="shared" si="98"/>
        <v>10</v>
      </c>
      <c r="W1221" s="9">
        <f t="shared" si="99"/>
        <v>2.2990440285444998E-2</v>
      </c>
    </row>
    <row r="1222" spans="1:23">
      <c r="A1222">
        <v>11221</v>
      </c>
      <c r="B1222" s="5">
        <v>45417</v>
      </c>
      <c r="C1222" s="5">
        <v>45422</v>
      </c>
      <c r="D1222" s="5">
        <v>45424</v>
      </c>
      <c r="E1222" t="s">
        <v>21</v>
      </c>
      <c r="F1222" t="s">
        <v>22</v>
      </c>
      <c r="G1222" t="s">
        <v>26</v>
      </c>
      <c r="H1222" t="s">
        <v>30</v>
      </c>
      <c r="I1222" t="s">
        <v>36</v>
      </c>
      <c r="J1222" t="s">
        <v>38</v>
      </c>
      <c r="K1222" t="s">
        <v>50</v>
      </c>
      <c r="L1222" t="s">
        <v>52</v>
      </c>
      <c r="M1222" s="7">
        <v>46972</v>
      </c>
      <c r="N1222">
        <v>0.01</v>
      </c>
      <c r="O1222" s="7">
        <v>14312</v>
      </c>
      <c r="P1222">
        <v>10</v>
      </c>
      <c r="Q1222" t="s">
        <v>55</v>
      </c>
      <c r="R1222" t="s">
        <v>59</v>
      </c>
      <c r="S1222">
        <f t="shared" si="95"/>
        <v>2024</v>
      </c>
      <c r="T1222" t="str">
        <f t="shared" si="96"/>
        <v>May</v>
      </c>
      <c r="U1222">
        <f t="shared" si="97"/>
        <v>5</v>
      </c>
      <c r="V1222">
        <f t="shared" si="98"/>
        <v>7</v>
      </c>
      <c r="W1222" s="9">
        <f t="shared" si="99"/>
        <v>0.30469215702971986</v>
      </c>
    </row>
    <row r="1223" spans="1:23">
      <c r="A1223">
        <v>11222</v>
      </c>
      <c r="B1223" s="5">
        <v>45418</v>
      </c>
      <c r="C1223" s="5">
        <v>45423</v>
      </c>
      <c r="D1223" s="5">
        <v>45426</v>
      </c>
      <c r="E1223" t="s">
        <v>20</v>
      </c>
      <c r="F1223" t="s">
        <v>22</v>
      </c>
      <c r="G1223" t="s">
        <v>27</v>
      </c>
      <c r="H1223" t="s">
        <v>25</v>
      </c>
      <c r="I1223" t="s">
        <v>36</v>
      </c>
      <c r="J1223" t="s">
        <v>41</v>
      </c>
      <c r="K1223" t="s">
        <v>49</v>
      </c>
      <c r="L1223" t="s">
        <v>51</v>
      </c>
      <c r="M1223" s="7">
        <v>70425</v>
      </c>
      <c r="N1223">
        <v>0.28999999999999998</v>
      </c>
      <c r="O1223" s="7">
        <v>19417</v>
      </c>
      <c r="P1223">
        <v>20</v>
      </c>
      <c r="Q1223" t="s">
        <v>58</v>
      </c>
      <c r="R1223" t="s">
        <v>62</v>
      </c>
      <c r="S1223">
        <f t="shared" si="95"/>
        <v>2024</v>
      </c>
      <c r="T1223" t="str">
        <f t="shared" si="96"/>
        <v>May</v>
      </c>
      <c r="U1223">
        <f t="shared" si="97"/>
        <v>5</v>
      </c>
      <c r="V1223">
        <f t="shared" si="98"/>
        <v>8</v>
      </c>
      <c r="W1223" s="9">
        <f t="shared" si="99"/>
        <v>0.27571175008874688</v>
      </c>
    </row>
    <row r="1224" spans="1:23">
      <c r="A1224">
        <v>11223</v>
      </c>
      <c r="B1224" s="5">
        <v>45419</v>
      </c>
      <c r="C1224" s="5">
        <v>45426</v>
      </c>
      <c r="D1224" s="5">
        <v>45430</v>
      </c>
      <c r="E1224" t="s">
        <v>20</v>
      </c>
      <c r="F1224" t="s">
        <v>22</v>
      </c>
      <c r="G1224" t="s">
        <v>25</v>
      </c>
      <c r="H1224" t="s">
        <v>32</v>
      </c>
      <c r="I1224" t="s">
        <v>36</v>
      </c>
      <c r="J1224" t="s">
        <v>37</v>
      </c>
      <c r="K1224" t="s">
        <v>44</v>
      </c>
      <c r="L1224" t="s">
        <v>52</v>
      </c>
      <c r="M1224" s="7">
        <v>41913</v>
      </c>
      <c r="N1224">
        <v>0.12</v>
      </c>
      <c r="O1224" s="7">
        <v>-157</v>
      </c>
      <c r="P1224">
        <v>23</v>
      </c>
      <c r="Q1224" t="s">
        <v>55</v>
      </c>
      <c r="R1224" t="s">
        <v>59</v>
      </c>
      <c r="S1224">
        <f t="shared" si="95"/>
        <v>2024</v>
      </c>
      <c r="T1224" t="str">
        <f t="shared" si="96"/>
        <v>May</v>
      </c>
      <c r="U1224">
        <f t="shared" si="97"/>
        <v>7</v>
      </c>
      <c r="V1224">
        <f t="shared" si="98"/>
        <v>11</v>
      </c>
      <c r="W1224" s="9">
        <f t="shared" si="99"/>
        <v>-3.7458545081478301E-3</v>
      </c>
    </row>
    <row r="1225" spans="1:23">
      <c r="A1225">
        <v>11224</v>
      </c>
      <c r="B1225" s="5">
        <v>45420</v>
      </c>
      <c r="C1225" s="5">
        <v>45425</v>
      </c>
      <c r="D1225" s="5">
        <v>45429</v>
      </c>
      <c r="E1225" t="s">
        <v>20</v>
      </c>
      <c r="F1225" t="s">
        <v>22</v>
      </c>
      <c r="G1225" t="s">
        <v>27</v>
      </c>
      <c r="H1225" t="s">
        <v>25</v>
      </c>
      <c r="I1225" t="s">
        <v>36</v>
      </c>
      <c r="J1225" t="s">
        <v>40</v>
      </c>
      <c r="K1225" t="s">
        <v>46</v>
      </c>
      <c r="L1225" t="s">
        <v>53</v>
      </c>
      <c r="M1225" s="7">
        <v>14019</v>
      </c>
      <c r="N1225">
        <v>0.38</v>
      </c>
      <c r="O1225" s="7">
        <v>13015</v>
      </c>
      <c r="P1225">
        <v>14</v>
      </c>
      <c r="Q1225" t="s">
        <v>57</v>
      </c>
      <c r="R1225" t="s">
        <v>61</v>
      </c>
      <c r="S1225">
        <f t="shared" si="95"/>
        <v>2024</v>
      </c>
      <c r="T1225" t="str">
        <f t="shared" si="96"/>
        <v>May</v>
      </c>
      <c r="U1225">
        <f t="shared" si="97"/>
        <v>5</v>
      </c>
      <c r="V1225">
        <f t="shared" si="98"/>
        <v>9</v>
      </c>
      <c r="W1225" s="9">
        <f t="shared" si="99"/>
        <v>0.92838290890933728</v>
      </c>
    </row>
    <row r="1226" spans="1:23">
      <c r="A1226">
        <v>11225</v>
      </c>
      <c r="B1226" s="5">
        <v>45421</v>
      </c>
      <c r="C1226" s="5">
        <v>45428</v>
      </c>
      <c r="D1226" s="5">
        <v>45430</v>
      </c>
      <c r="E1226" t="s">
        <v>19</v>
      </c>
      <c r="F1226" t="s">
        <v>22</v>
      </c>
      <c r="G1226" t="s">
        <v>24</v>
      </c>
      <c r="H1226" t="s">
        <v>31</v>
      </c>
      <c r="I1226" t="s">
        <v>36</v>
      </c>
      <c r="J1226" t="s">
        <v>43</v>
      </c>
      <c r="K1226" t="s">
        <v>49</v>
      </c>
      <c r="L1226" t="s">
        <v>53</v>
      </c>
      <c r="M1226" s="7">
        <v>10008</v>
      </c>
      <c r="N1226">
        <v>0.31</v>
      </c>
      <c r="O1226" s="7">
        <v>14831</v>
      </c>
      <c r="P1226">
        <v>8</v>
      </c>
      <c r="Q1226" t="s">
        <v>58</v>
      </c>
      <c r="R1226" t="s">
        <v>62</v>
      </c>
      <c r="S1226">
        <f t="shared" si="95"/>
        <v>2024</v>
      </c>
      <c r="T1226" t="str">
        <f t="shared" si="96"/>
        <v>May</v>
      </c>
      <c r="U1226">
        <f t="shared" si="97"/>
        <v>7</v>
      </c>
      <c r="V1226">
        <f t="shared" si="98"/>
        <v>9</v>
      </c>
      <c r="W1226" s="9">
        <f t="shared" si="99"/>
        <v>1.4819144684252599</v>
      </c>
    </row>
    <row r="1227" spans="1:23">
      <c r="A1227">
        <v>11226</v>
      </c>
      <c r="B1227" s="5">
        <v>45422</v>
      </c>
      <c r="C1227" s="5">
        <v>45427</v>
      </c>
      <c r="D1227" s="5">
        <v>45428</v>
      </c>
      <c r="E1227" t="s">
        <v>19</v>
      </c>
      <c r="F1227" t="s">
        <v>22</v>
      </c>
      <c r="G1227" t="s">
        <v>24</v>
      </c>
      <c r="H1227" t="s">
        <v>31</v>
      </c>
      <c r="I1227" t="s">
        <v>36</v>
      </c>
      <c r="J1227" t="s">
        <v>38</v>
      </c>
      <c r="K1227" t="s">
        <v>44</v>
      </c>
      <c r="L1227" t="s">
        <v>53</v>
      </c>
      <c r="M1227" s="7">
        <v>53992</v>
      </c>
      <c r="N1227">
        <v>0.06</v>
      </c>
      <c r="O1227" s="7">
        <v>4666</v>
      </c>
      <c r="P1227">
        <v>10</v>
      </c>
      <c r="Q1227" t="s">
        <v>54</v>
      </c>
      <c r="R1227" t="s">
        <v>62</v>
      </c>
      <c r="S1227">
        <f t="shared" si="95"/>
        <v>2024</v>
      </c>
      <c r="T1227" t="str">
        <f t="shared" si="96"/>
        <v>May</v>
      </c>
      <c r="U1227">
        <f t="shared" si="97"/>
        <v>5</v>
      </c>
      <c r="V1227">
        <f t="shared" si="98"/>
        <v>6</v>
      </c>
      <c r="W1227" s="9">
        <f t="shared" si="99"/>
        <v>8.6420210401540964E-2</v>
      </c>
    </row>
    <row r="1228" spans="1:23">
      <c r="A1228">
        <v>11227</v>
      </c>
      <c r="B1228" s="5">
        <v>45423</v>
      </c>
      <c r="C1228" s="5">
        <v>45425</v>
      </c>
      <c r="D1228" s="5">
        <v>45428</v>
      </c>
      <c r="E1228" t="s">
        <v>20</v>
      </c>
      <c r="F1228" t="s">
        <v>22</v>
      </c>
      <c r="G1228" t="s">
        <v>27</v>
      </c>
      <c r="H1228" t="s">
        <v>31</v>
      </c>
      <c r="I1228" t="s">
        <v>34</v>
      </c>
      <c r="J1228" t="s">
        <v>40</v>
      </c>
      <c r="K1228" t="s">
        <v>50</v>
      </c>
      <c r="L1228" t="s">
        <v>52</v>
      </c>
      <c r="M1228" s="7">
        <v>63559</v>
      </c>
      <c r="N1228">
        <v>0.28999999999999998</v>
      </c>
      <c r="O1228" s="7">
        <v>3228</v>
      </c>
      <c r="P1228">
        <v>22</v>
      </c>
      <c r="Q1228" t="s">
        <v>54</v>
      </c>
      <c r="R1228" t="s">
        <v>60</v>
      </c>
      <c r="S1228">
        <f t="shared" si="95"/>
        <v>2024</v>
      </c>
      <c r="T1228" t="str">
        <f t="shared" si="96"/>
        <v>May</v>
      </c>
      <c r="U1228">
        <f t="shared" si="97"/>
        <v>2</v>
      </c>
      <c r="V1228">
        <f t="shared" si="98"/>
        <v>5</v>
      </c>
      <c r="W1228" s="9">
        <f t="shared" si="99"/>
        <v>5.0787457323117104E-2</v>
      </c>
    </row>
    <row r="1229" spans="1:23">
      <c r="A1229">
        <v>11228</v>
      </c>
      <c r="B1229" s="5">
        <v>45424</v>
      </c>
      <c r="C1229" s="5">
        <v>45430</v>
      </c>
      <c r="D1229" s="5">
        <v>45434</v>
      </c>
      <c r="E1229" t="s">
        <v>20</v>
      </c>
      <c r="F1229" t="s">
        <v>22</v>
      </c>
      <c r="G1229" t="s">
        <v>23</v>
      </c>
      <c r="H1229" t="s">
        <v>32</v>
      </c>
      <c r="I1229" t="s">
        <v>36</v>
      </c>
      <c r="J1229" t="s">
        <v>39</v>
      </c>
      <c r="K1229" t="s">
        <v>46</v>
      </c>
      <c r="L1229" t="s">
        <v>53</v>
      </c>
      <c r="M1229" s="7">
        <v>12204</v>
      </c>
      <c r="N1229">
        <v>0.18</v>
      </c>
      <c r="O1229" s="7">
        <v>16098</v>
      </c>
      <c r="P1229">
        <v>4</v>
      </c>
      <c r="Q1229" t="s">
        <v>58</v>
      </c>
      <c r="R1229" t="s">
        <v>62</v>
      </c>
      <c r="S1229">
        <f t="shared" si="95"/>
        <v>2024</v>
      </c>
      <c r="T1229" t="str">
        <f t="shared" si="96"/>
        <v>May</v>
      </c>
      <c r="U1229">
        <f t="shared" si="97"/>
        <v>6</v>
      </c>
      <c r="V1229">
        <f t="shared" si="98"/>
        <v>10</v>
      </c>
      <c r="W1229" s="9">
        <f t="shared" si="99"/>
        <v>1.3190757128810227</v>
      </c>
    </row>
    <row r="1230" spans="1:23">
      <c r="A1230">
        <v>11229</v>
      </c>
      <c r="B1230" s="5">
        <v>45425</v>
      </c>
      <c r="C1230" s="5">
        <v>45427</v>
      </c>
      <c r="D1230" s="5">
        <v>45432</v>
      </c>
      <c r="E1230" t="s">
        <v>19</v>
      </c>
      <c r="F1230" t="s">
        <v>22</v>
      </c>
      <c r="G1230" t="s">
        <v>27</v>
      </c>
      <c r="H1230" t="s">
        <v>31</v>
      </c>
      <c r="I1230" t="s">
        <v>34</v>
      </c>
      <c r="J1230" t="s">
        <v>40</v>
      </c>
      <c r="K1230" t="s">
        <v>44</v>
      </c>
      <c r="L1230" t="s">
        <v>51</v>
      </c>
      <c r="M1230" s="7">
        <v>29143</v>
      </c>
      <c r="N1230">
        <v>0.26</v>
      </c>
      <c r="O1230" s="7">
        <v>17814</v>
      </c>
      <c r="P1230">
        <v>10</v>
      </c>
      <c r="Q1230" t="s">
        <v>56</v>
      </c>
      <c r="R1230" t="s">
        <v>60</v>
      </c>
      <c r="S1230">
        <f t="shared" si="95"/>
        <v>2024</v>
      </c>
      <c r="T1230" t="str">
        <f t="shared" si="96"/>
        <v>May</v>
      </c>
      <c r="U1230">
        <f t="shared" si="97"/>
        <v>2</v>
      </c>
      <c r="V1230">
        <f t="shared" si="98"/>
        <v>7</v>
      </c>
      <c r="W1230" s="9">
        <f t="shared" si="99"/>
        <v>0.611261709501424</v>
      </c>
    </row>
    <row r="1231" spans="1:23">
      <c r="A1231">
        <v>11230</v>
      </c>
      <c r="B1231" s="5">
        <v>45426</v>
      </c>
      <c r="C1231" s="5">
        <v>45433</v>
      </c>
      <c r="D1231" s="5">
        <v>45436</v>
      </c>
      <c r="E1231" t="s">
        <v>19</v>
      </c>
      <c r="F1231" t="s">
        <v>22</v>
      </c>
      <c r="G1231" t="s">
        <v>28</v>
      </c>
      <c r="H1231" t="s">
        <v>25</v>
      </c>
      <c r="I1231" t="s">
        <v>34</v>
      </c>
      <c r="J1231" t="s">
        <v>40</v>
      </c>
      <c r="K1231" t="s">
        <v>47</v>
      </c>
      <c r="L1231" t="s">
        <v>52</v>
      </c>
      <c r="M1231" s="7">
        <v>10838</v>
      </c>
      <c r="N1231">
        <v>0.16</v>
      </c>
      <c r="O1231" s="7">
        <v>-40</v>
      </c>
      <c r="P1231">
        <v>7</v>
      </c>
      <c r="Q1231" t="s">
        <v>57</v>
      </c>
      <c r="R1231" t="s">
        <v>61</v>
      </c>
      <c r="S1231">
        <f t="shared" si="95"/>
        <v>2024</v>
      </c>
      <c r="T1231" t="str">
        <f t="shared" si="96"/>
        <v>May</v>
      </c>
      <c r="U1231">
        <f t="shared" si="97"/>
        <v>7</v>
      </c>
      <c r="V1231">
        <f t="shared" si="98"/>
        <v>10</v>
      </c>
      <c r="W1231" s="9">
        <f t="shared" si="99"/>
        <v>-3.6907178446207787E-3</v>
      </c>
    </row>
    <row r="1232" spans="1:23">
      <c r="A1232">
        <v>11231</v>
      </c>
      <c r="B1232" s="5">
        <v>45427</v>
      </c>
      <c r="C1232" s="5">
        <v>45429</v>
      </c>
      <c r="D1232" s="5">
        <v>45431</v>
      </c>
      <c r="E1232" t="s">
        <v>18</v>
      </c>
      <c r="F1232" t="s">
        <v>22</v>
      </c>
      <c r="G1232" t="s">
        <v>25</v>
      </c>
      <c r="H1232" t="s">
        <v>25</v>
      </c>
      <c r="I1232" t="s">
        <v>35</v>
      </c>
      <c r="J1232" t="s">
        <v>41</v>
      </c>
      <c r="K1232" t="s">
        <v>47</v>
      </c>
      <c r="L1232" t="s">
        <v>53</v>
      </c>
      <c r="M1232" s="7">
        <v>38407</v>
      </c>
      <c r="N1232">
        <v>0.13</v>
      </c>
      <c r="O1232" s="7">
        <v>5942</v>
      </c>
      <c r="P1232">
        <v>11</v>
      </c>
      <c r="Q1232" t="s">
        <v>58</v>
      </c>
      <c r="R1232" t="s">
        <v>59</v>
      </c>
      <c r="S1232">
        <f t="shared" si="95"/>
        <v>2024</v>
      </c>
      <c r="T1232" t="str">
        <f t="shared" si="96"/>
        <v>May</v>
      </c>
      <c r="U1232">
        <f t="shared" si="97"/>
        <v>2</v>
      </c>
      <c r="V1232">
        <f t="shared" si="98"/>
        <v>4</v>
      </c>
      <c r="W1232" s="9">
        <f t="shared" si="99"/>
        <v>0.15471138073788632</v>
      </c>
    </row>
    <row r="1233" spans="1:23">
      <c r="A1233">
        <v>11232</v>
      </c>
      <c r="B1233" s="5">
        <v>45428</v>
      </c>
      <c r="C1233" s="5">
        <v>45433</v>
      </c>
      <c r="D1233" s="5">
        <v>45437</v>
      </c>
      <c r="E1233" t="s">
        <v>21</v>
      </c>
      <c r="F1233" t="s">
        <v>22</v>
      </c>
      <c r="G1233" t="s">
        <v>26</v>
      </c>
      <c r="H1233" t="s">
        <v>25</v>
      </c>
      <c r="I1233" t="s">
        <v>34</v>
      </c>
      <c r="J1233" t="s">
        <v>39</v>
      </c>
      <c r="K1233" t="s">
        <v>46</v>
      </c>
      <c r="L1233" t="s">
        <v>53</v>
      </c>
      <c r="M1233" s="7">
        <v>15095</v>
      </c>
      <c r="N1233">
        <v>0.37</v>
      </c>
      <c r="O1233" s="7">
        <v>5662</v>
      </c>
      <c r="P1233">
        <v>10</v>
      </c>
      <c r="Q1233" t="s">
        <v>56</v>
      </c>
      <c r="R1233" t="s">
        <v>59</v>
      </c>
      <c r="S1233">
        <f t="shared" si="95"/>
        <v>2024</v>
      </c>
      <c r="T1233" t="str">
        <f t="shared" si="96"/>
        <v>May</v>
      </c>
      <c r="U1233">
        <f t="shared" si="97"/>
        <v>5</v>
      </c>
      <c r="V1233">
        <f t="shared" si="98"/>
        <v>9</v>
      </c>
      <c r="W1233" s="9">
        <f t="shared" si="99"/>
        <v>0.3750910897648228</v>
      </c>
    </row>
    <row r="1234" spans="1:23">
      <c r="A1234">
        <v>11233</v>
      </c>
      <c r="B1234" s="5">
        <v>45429</v>
      </c>
      <c r="C1234" s="5">
        <v>45431</v>
      </c>
      <c r="D1234" s="5">
        <v>45435</v>
      </c>
      <c r="E1234" t="s">
        <v>21</v>
      </c>
      <c r="F1234" t="s">
        <v>22</v>
      </c>
      <c r="G1234" t="s">
        <v>27</v>
      </c>
      <c r="H1234" t="s">
        <v>31</v>
      </c>
      <c r="I1234" t="s">
        <v>34</v>
      </c>
      <c r="J1234" t="s">
        <v>37</v>
      </c>
      <c r="K1234" t="s">
        <v>49</v>
      </c>
      <c r="L1234" t="s">
        <v>51</v>
      </c>
      <c r="M1234" s="7">
        <v>52689</v>
      </c>
      <c r="N1234">
        <v>0.18</v>
      </c>
      <c r="O1234" s="7">
        <v>3748</v>
      </c>
      <c r="P1234">
        <v>3</v>
      </c>
      <c r="Q1234" t="s">
        <v>55</v>
      </c>
      <c r="R1234" t="s">
        <v>59</v>
      </c>
      <c r="S1234">
        <f t="shared" si="95"/>
        <v>2024</v>
      </c>
      <c r="T1234" t="str">
        <f t="shared" si="96"/>
        <v>May</v>
      </c>
      <c r="U1234">
        <f t="shared" si="97"/>
        <v>2</v>
      </c>
      <c r="V1234">
        <f t="shared" si="98"/>
        <v>6</v>
      </c>
      <c r="W1234" s="9">
        <f t="shared" si="99"/>
        <v>7.1134392377915689E-2</v>
      </c>
    </row>
    <row r="1235" spans="1:23">
      <c r="A1235">
        <v>11234</v>
      </c>
      <c r="B1235" s="5">
        <v>45430</v>
      </c>
      <c r="C1235" s="5">
        <v>45432</v>
      </c>
      <c r="D1235" s="5">
        <v>45435</v>
      </c>
      <c r="E1235" t="s">
        <v>21</v>
      </c>
      <c r="F1235" t="s">
        <v>22</v>
      </c>
      <c r="G1235" t="s">
        <v>26</v>
      </c>
      <c r="H1235" t="s">
        <v>30</v>
      </c>
      <c r="I1235" t="s">
        <v>35</v>
      </c>
      <c r="J1235" t="s">
        <v>38</v>
      </c>
      <c r="K1235" t="s">
        <v>45</v>
      </c>
      <c r="L1235" t="s">
        <v>53</v>
      </c>
      <c r="M1235" s="7">
        <v>1125</v>
      </c>
      <c r="N1235">
        <v>0.12</v>
      </c>
      <c r="O1235" s="7">
        <v>17836</v>
      </c>
      <c r="P1235">
        <v>23</v>
      </c>
      <c r="Q1235" t="s">
        <v>55</v>
      </c>
      <c r="R1235" t="s">
        <v>60</v>
      </c>
      <c r="S1235">
        <f t="shared" si="95"/>
        <v>2024</v>
      </c>
      <c r="T1235" t="str">
        <f t="shared" si="96"/>
        <v>May</v>
      </c>
      <c r="U1235">
        <f t="shared" si="97"/>
        <v>2</v>
      </c>
      <c r="V1235">
        <f t="shared" si="98"/>
        <v>5</v>
      </c>
      <c r="W1235" s="9">
        <f t="shared" si="99"/>
        <v>15.854222222222223</v>
      </c>
    </row>
    <row r="1236" spans="1:23">
      <c r="A1236">
        <v>11235</v>
      </c>
      <c r="B1236" s="5">
        <v>45431</v>
      </c>
      <c r="C1236" s="5">
        <v>45438</v>
      </c>
      <c r="D1236" s="5">
        <v>45439</v>
      </c>
      <c r="E1236" t="s">
        <v>20</v>
      </c>
      <c r="F1236" t="s">
        <v>22</v>
      </c>
      <c r="G1236" t="s">
        <v>24</v>
      </c>
      <c r="H1236" t="s">
        <v>25</v>
      </c>
      <c r="I1236" t="s">
        <v>35</v>
      </c>
      <c r="J1236" t="s">
        <v>43</v>
      </c>
      <c r="K1236" t="s">
        <v>45</v>
      </c>
      <c r="L1236" t="s">
        <v>53</v>
      </c>
      <c r="M1236" s="7">
        <v>57279</v>
      </c>
      <c r="N1236">
        <v>0.02</v>
      </c>
      <c r="O1236" s="7">
        <v>14305</v>
      </c>
      <c r="P1236">
        <v>17</v>
      </c>
      <c r="Q1236" t="s">
        <v>55</v>
      </c>
      <c r="R1236" t="s">
        <v>59</v>
      </c>
      <c r="S1236">
        <f t="shared" si="95"/>
        <v>2024</v>
      </c>
      <c r="T1236" t="str">
        <f t="shared" si="96"/>
        <v>May</v>
      </c>
      <c r="U1236">
        <f t="shared" si="97"/>
        <v>7</v>
      </c>
      <c r="V1236">
        <f t="shared" si="98"/>
        <v>8</v>
      </c>
      <c r="W1236" s="9">
        <f t="shared" si="99"/>
        <v>0.24974248852109848</v>
      </c>
    </row>
    <row r="1237" spans="1:23">
      <c r="A1237">
        <v>11236</v>
      </c>
      <c r="B1237" s="5">
        <v>45432</v>
      </c>
      <c r="C1237" s="5">
        <v>45437</v>
      </c>
      <c r="D1237" s="5">
        <v>45441</v>
      </c>
      <c r="E1237" t="s">
        <v>18</v>
      </c>
      <c r="F1237" t="s">
        <v>22</v>
      </c>
      <c r="G1237" t="s">
        <v>27</v>
      </c>
      <c r="H1237" t="s">
        <v>31</v>
      </c>
      <c r="I1237" t="s">
        <v>34</v>
      </c>
      <c r="J1237" t="s">
        <v>40</v>
      </c>
      <c r="K1237" t="s">
        <v>47</v>
      </c>
      <c r="L1237" t="s">
        <v>51</v>
      </c>
      <c r="M1237" s="7">
        <v>20206</v>
      </c>
      <c r="N1237">
        <v>7.0000000000000007E-2</v>
      </c>
      <c r="O1237" s="7">
        <v>13523</v>
      </c>
      <c r="P1237">
        <v>1</v>
      </c>
      <c r="Q1237" t="s">
        <v>56</v>
      </c>
      <c r="R1237" t="s">
        <v>59</v>
      </c>
      <c r="S1237">
        <f t="shared" si="95"/>
        <v>2024</v>
      </c>
      <c r="T1237" t="str">
        <f t="shared" si="96"/>
        <v>May</v>
      </c>
      <c r="U1237">
        <f t="shared" si="97"/>
        <v>5</v>
      </c>
      <c r="V1237">
        <f t="shared" si="98"/>
        <v>9</v>
      </c>
      <c r="W1237" s="9">
        <f t="shared" si="99"/>
        <v>0.6692566564386816</v>
      </c>
    </row>
    <row r="1238" spans="1:23">
      <c r="A1238">
        <v>11237</v>
      </c>
      <c r="B1238" s="5">
        <v>45433</v>
      </c>
      <c r="C1238" s="5">
        <v>45436</v>
      </c>
      <c r="D1238" s="5">
        <v>45440</v>
      </c>
      <c r="E1238" t="s">
        <v>21</v>
      </c>
      <c r="F1238" t="s">
        <v>22</v>
      </c>
      <c r="G1238" t="s">
        <v>24</v>
      </c>
      <c r="H1238" t="s">
        <v>25</v>
      </c>
      <c r="I1238" t="s">
        <v>35</v>
      </c>
      <c r="J1238" t="s">
        <v>40</v>
      </c>
      <c r="K1238" t="s">
        <v>46</v>
      </c>
      <c r="L1238" t="s">
        <v>51</v>
      </c>
      <c r="M1238" s="7">
        <v>61064</v>
      </c>
      <c r="N1238">
        <v>0.26</v>
      </c>
      <c r="O1238" s="7">
        <v>3140</v>
      </c>
      <c r="P1238">
        <v>24</v>
      </c>
      <c r="Q1238" t="s">
        <v>57</v>
      </c>
      <c r="R1238" t="s">
        <v>59</v>
      </c>
      <c r="S1238">
        <f t="shared" si="95"/>
        <v>2024</v>
      </c>
      <c r="T1238" t="str">
        <f t="shared" si="96"/>
        <v>May</v>
      </c>
      <c r="U1238">
        <f t="shared" si="97"/>
        <v>3</v>
      </c>
      <c r="V1238">
        <f t="shared" si="98"/>
        <v>7</v>
      </c>
      <c r="W1238" s="9">
        <f t="shared" si="99"/>
        <v>5.1421459452377832E-2</v>
      </c>
    </row>
    <row r="1239" spans="1:23">
      <c r="A1239">
        <v>11238</v>
      </c>
      <c r="B1239" s="5">
        <v>45434</v>
      </c>
      <c r="C1239" s="5">
        <v>45436</v>
      </c>
      <c r="D1239" s="5">
        <v>45438</v>
      </c>
      <c r="E1239" t="s">
        <v>18</v>
      </c>
      <c r="F1239" t="s">
        <v>22</v>
      </c>
      <c r="G1239" t="s">
        <v>24</v>
      </c>
      <c r="H1239" t="s">
        <v>29</v>
      </c>
      <c r="I1239" t="s">
        <v>34</v>
      </c>
      <c r="J1239" t="s">
        <v>42</v>
      </c>
      <c r="K1239" t="s">
        <v>46</v>
      </c>
      <c r="L1239" t="s">
        <v>53</v>
      </c>
      <c r="M1239" s="7">
        <v>34633</v>
      </c>
      <c r="N1239">
        <v>0.17</v>
      </c>
      <c r="O1239" s="7">
        <v>13469</v>
      </c>
      <c r="P1239">
        <v>10</v>
      </c>
      <c r="Q1239" t="s">
        <v>56</v>
      </c>
      <c r="R1239" t="s">
        <v>61</v>
      </c>
      <c r="S1239">
        <f t="shared" si="95"/>
        <v>2024</v>
      </c>
      <c r="T1239" t="str">
        <f t="shared" si="96"/>
        <v>May</v>
      </c>
      <c r="U1239">
        <f t="shared" si="97"/>
        <v>2</v>
      </c>
      <c r="V1239">
        <f t="shared" si="98"/>
        <v>4</v>
      </c>
      <c r="W1239" s="9">
        <f t="shared" si="99"/>
        <v>0.38890653423035831</v>
      </c>
    </row>
    <row r="1240" spans="1:23">
      <c r="A1240">
        <v>11239</v>
      </c>
      <c r="B1240" s="5">
        <v>45435</v>
      </c>
      <c r="C1240" s="5">
        <v>45440</v>
      </c>
      <c r="D1240" s="5">
        <v>45445</v>
      </c>
      <c r="E1240" t="s">
        <v>20</v>
      </c>
      <c r="F1240" t="s">
        <v>22</v>
      </c>
      <c r="G1240" t="s">
        <v>27</v>
      </c>
      <c r="H1240" t="s">
        <v>33</v>
      </c>
      <c r="I1240" t="s">
        <v>35</v>
      </c>
      <c r="J1240" t="s">
        <v>43</v>
      </c>
      <c r="K1240" t="s">
        <v>45</v>
      </c>
      <c r="L1240" t="s">
        <v>53</v>
      </c>
      <c r="M1240" s="7">
        <v>34307</v>
      </c>
      <c r="N1240">
        <v>0.21</v>
      </c>
      <c r="O1240" s="7">
        <v>16016</v>
      </c>
      <c r="P1240">
        <v>10</v>
      </c>
      <c r="Q1240" t="s">
        <v>58</v>
      </c>
      <c r="R1240" t="s">
        <v>62</v>
      </c>
      <c r="S1240">
        <f t="shared" si="95"/>
        <v>2024</v>
      </c>
      <c r="T1240" t="str">
        <f t="shared" si="96"/>
        <v>May</v>
      </c>
      <c r="U1240">
        <f t="shared" si="97"/>
        <v>5</v>
      </c>
      <c r="V1240">
        <f t="shared" si="98"/>
        <v>10</v>
      </c>
      <c r="W1240" s="9">
        <f t="shared" si="99"/>
        <v>0.46684350132625996</v>
      </c>
    </row>
    <row r="1241" spans="1:23">
      <c r="A1241">
        <v>11240</v>
      </c>
      <c r="B1241" s="5">
        <v>45436</v>
      </c>
      <c r="C1241" s="5">
        <v>45443</v>
      </c>
      <c r="D1241" s="5">
        <v>45444</v>
      </c>
      <c r="E1241" t="s">
        <v>20</v>
      </c>
      <c r="F1241" t="s">
        <v>22</v>
      </c>
      <c r="G1241" t="s">
        <v>26</v>
      </c>
      <c r="H1241" t="s">
        <v>30</v>
      </c>
      <c r="I1241" t="s">
        <v>36</v>
      </c>
      <c r="J1241" t="s">
        <v>41</v>
      </c>
      <c r="K1241" t="s">
        <v>44</v>
      </c>
      <c r="L1241" t="s">
        <v>51</v>
      </c>
      <c r="M1241" s="7">
        <v>8510</v>
      </c>
      <c r="N1241">
        <v>0.23</v>
      </c>
      <c r="O1241" s="7">
        <v>5653</v>
      </c>
      <c r="P1241">
        <v>10</v>
      </c>
      <c r="Q1241" t="s">
        <v>54</v>
      </c>
      <c r="R1241" t="s">
        <v>61</v>
      </c>
      <c r="S1241">
        <f t="shared" si="95"/>
        <v>2024</v>
      </c>
      <c r="T1241" t="str">
        <f t="shared" si="96"/>
        <v>May</v>
      </c>
      <c r="U1241">
        <f t="shared" si="97"/>
        <v>7</v>
      </c>
      <c r="V1241">
        <f t="shared" si="98"/>
        <v>8</v>
      </c>
      <c r="W1241" s="9">
        <f t="shared" si="99"/>
        <v>0.66427732079905988</v>
      </c>
    </row>
    <row r="1242" spans="1:23">
      <c r="A1242">
        <v>11241</v>
      </c>
      <c r="B1242" s="5">
        <v>45437</v>
      </c>
      <c r="C1242" s="5">
        <v>45441</v>
      </c>
      <c r="D1242" s="5">
        <v>45442</v>
      </c>
      <c r="E1242" t="s">
        <v>21</v>
      </c>
      <c r="F1242" t="s">
        <v>22</v>
      </c>
      <c r="G1242" t="s">
        <v>28</v>
      </c>
      <c r="H1242" t="s">
        <v>25</v>
      </c>
      <c r="I1242" t="s">
        <v>36</v>
      </c>
      <c r="J1242" t="s">
        <v>38</v>
      </c>
      <c r="K1242" t="s">
        <v>48</v>
      </c>
      <c r="L1242" t="s">
        <v>52</v>
      </c>
      <c r="M1242" s="7">
        <v>67889</v>
      </c>
      <c r="N1242">
        <v>0.04</v>
      </c>
      <c r="O1242" s="7">
        <v>14731</v>
      </c>
      <c r="P1242">
        <v>4</v>
      </c>
      <c r="Q1242" t="s">
        <v>57</v>
      </c>
      <c r="R1242" t="s">
        <v>59</v>
      </c>
      <c r="S1242">
        <f t="shared" si="95"/>
        <v>2024</v>
      </c>
      <c r="T1242" t="str">
        <f t="shared" si="96"/>
        <v>May</v>
      </c>
      <c r="U1242">
        <f t="shared" si="97"/>
        <v>4</v>
      </c>
      <c r="V1242">
        <f t="shared" si="98"/>
        <v>5</v>
      </c>
      <c r="W1242" s="9">
        <f t="shared" si="99"/>
        <v>0.21698655157683866</v>
      </c>
    </row>
    <row r="1243" spans="1:23">
      <c r="A1243">
        <v>11242</v>
      </c>
      <c r="B1243" s="5">
        <v>45438</v>
      </c>
      <c r="C1243" s="5">
        <v>45442</v>
      </c>
      <c r="D1243" s="5">
        <v>45446</v>
      </c>
      <c r="E1243" t="s">
        <v>19</v>
      </c>
      <c r="F1243" t="s">
        <v>22</v>
      </c>
      <c r="G1243" t="s">
        <v>26</v>
      </c>
      <c r="H1243" t="s">
        <v>32</v>
      </c>
      <c r="I1243" t="s">
        <v>35</v>
      </c>
      <c r="J1243" t="s">
        <v>39</v>
      </c>
      <c r="K1243" t="s">
        <v>44</v>
      </c>
      <c r="L1243" t="s">
        <v>53</v>
      </c>
      <c r="M1243" s="7">
        <v>64850</v>
      </c>
      <c r="N1243">
        <v>0.23</v>
      </c>
      <c r="O1243" s="7">
        <v>6557</v>
      </c>
      <c r="P1243">
        <v>1</v>
      </c>
      <c r="Q1243" t="s">
        <v>54</v>
      </c>
      <c r="R1243" t="s">
        <v>61</v>
      </c>
      <c r="S1243">
        <f t="shared" si="95"/>
        <v>2024</v>
      </c>
      <c r="T1243" t="str">
        <f t="shared" si="96"/>
        <v>May</v>
      </c>
      <c r="U1243">
        <f t="shared" si="97"/>
        <v>4</v>
      </c>
      <c r="V1243">
        <f t="shared" si="98"/>
        <v>8</v>
      </c>
      <c r="W1243" s="9">
        <f t="shared" si="99"/>
        <v>0.10111025443330764</v>
      </c>
    </row>
    <row r="1244" spans="1:23">
      <c r="A1244">
        <v>11243</v>
      </c>
      <c r="B1244" s="5">
        <v>45439</v>
      </c>
      <c r="C1244" s="5">
        <v>45445</v>
      </c>
      <c r="D1244" s="5">
        <v>45447</v>
      </c>
      <c r="E1244" t="s">
        <v>19</v>
      </c>
      <c r="F1244" t="s">
        <v>22</v>
      </c>
      <c r="G1244" t="s">
        <v>24</v>
      </c>
      <c r="H1244" t="s">
        <v>30</v>
      </c>
      <c r="I1244" t="s">
        <v>35</v>
      </c>
      <c r="J1244" t="s">
        <v>38</v>
      </c>
      <c r="K1244" t="s">
        <v>50</v>
      </c>
      <c r="L1244" t="s">
        <v>52</v>
      </c>
      <c r="M1244" s="7">
        <v>45947</v>
      </c>
      <c r="N1244">
        <v>0.06</v>
      </c>
      <c r="O1244" s="7">
        <v>17816</v>
      </c>
      <c r="P1244">
        <v>8</v>
      </c>
      <c r="Q1244" t="s">
        <v>58</v>
      </c>
      <c r="R1244" t="s">
        <v>60</v>
      </c>
      <c r="S1244">
        <f t="shared" si="95"/>
        <v>2024</v>
      </c>
      <c r="T1244" t="str">
        <f t="shared" si="96"/>
        <v>May</v>
      </c>
      <c r="U1244">
        <f t="shared" si="97"/>
        <v>6</v>
      </c>
      <c r="V1244">
        <f t="shared" si="98"/>
        <v>8</v>
      </c>
      <c r="W1244" s="9">
        <f t="shared" si="99"/>
        <v>0.38775110453348421</v>
      </c>
    </row>
    <row r="1245" spans="1:23">
      <c r="A1245">
        <v>11244</v>
      </c>
      <c r="B1245" s="5">
        <v>45440</v>
      </c>
      <c r="C1245" s="5">
        <v>45443</v>
      </c>
      <c r="D1245" s="5">
        <v>45446</v>
      </c>
      <c r="E1245" t="s">
        <v>21</v>
      </c>
      <c r="F1245" t="s">
        <v>22</v>
      </c>
      <c r="G1245" t="s">
        <v>27</v>
      </c>
      <c r="H1245" t="s">
        <v>32</v>
      </c>
      <c r="I1245" t="s">
        <v>34</v>
      </c>
      <c r="J1245" t="s">
        <v>42</v>
      </c>
      <c r="K1245" t="s">
        <v>50</v>
      </c>
      <c r="L1245" t="s">
        <v>52</v>
      </c>
      <c r="M1245" s="7">
        <v>66074</v>
      </c>
      <c r="N1245">
        <v>0.28999999999999998</v>
      </c>
      <c r="O1245" s="7">
        <v>16847</v>
      </c>
      <c r="P1245">
        <v>20</v>
      </c>
      <c r="Q1245" t="s">
        <v>54</v>
      </c>
      <c r="R1245" t="s">
        <v>61</v>
      </c>
      <c r="S1245">
        <f t="shared" si="95"/>
        <v>2024</v>
      </c>
      <c r="T1245" t="str">
        <f t="shared" si="96"/>
        <v>May</v>
      </c>
      <c r="U1245">
        <f t="shared" si="97"/>
        <v>3</v>
      </c>
      <c r="V1245">
        <f t="shared" si="98"/>
        <v>6</v>
      </c>
      <c r="W1245" s="9">
        <f t="shared" si="99"/>
        <v>0.25497169839876505</v>
      </c>
    </row>
    <row r="1246" spans="1:23">
      <c r="A1246">
        <v>11245</v>
      </c>
      <c r="B1246" s="5">
        <v>45441</v>
      </c>
      <c r="C1246" s="5">
        <v>45448</v>
      </c>
      <c r="D1246" s="5">
        <v>45453</v>
      </c>
      <c r="E1246" t="s">
        <v>18</v>
      </c>
      <c r="F1246" t="s">
        <v>22</v>
      </c>
      <c r="G1246" t="s">
        <v>25</v>
      </c>
      <c r="H1246" t="s">
        <v>32</v>
      </c>
      <c r="I1246" t="s">
        <v>36</v>
      </c>
      <c r="J1246" t="s">
        <v>38</v>
      </c>
      <c r="K1246" t="s">
        <v>49</v>
      </c>
      <c r="L1246" t="s">
        <v>52</v>
      </c>
      <c r="M1246" s="7">
        <v>43599</v>
      </c>
      <c r="N1246">
        <v>0.2</v>
      </c>
      <c r="O1246" s="7">
        <v>16249</v>
      </c>
      <c r="P1246">
        <v>9</v>
      </c>
      <c r="Q1246" t="s">
        <v>55</v>
      </c>
      <c r="R1246" t="s">
        <v>61</v>
      </c>
      <c r="S1246">
        <f t="shared" si="95"/>
        <v>2024</v>
      </c>
      <c r="T1246" t="str">
        <f t="shared" si="96"/>
        <v>May</v>
      </c>
      <c r="U1246">
        <f t="shared" si="97"/>
        <v>7</v>
      </c>
      <c r="V1246">
        <f t="shared" si="98"/>
        <v>12</v>
      </c>
      <c r="W1246" s="9">
        <f t="shared" si="99"/>
        <v>0.37269203422096836</v>
      </c>
    </row>
    <row r="1247" spans="1:23">
      <c r="A1247">
        <v>11246</v>
      </c>
      <c r="B1247" s="5">
        <v>45442</v>
      </c>
      <c r="C1247" s="5">
        <v>45447</v>
      </c>
      <c r="D1247" s="5">
        <v>45451</v>
      </c>
      <c r="E1247" t="s">
        <v>18</v>
      </c>
      <c r="F1247" t="s">
        <v>22</v>
      </c>
      <c r="G1247" t="s">
        <v>23</v>
      </c>
      <c r="H1247" t="s">
        <v>33</v>
      </c>
      <c r="I1247" t="s">
        <v>34</v>
      </c>
      <c r="J1247" t="s">
        <v>40</v>
      </c>
      <c r="K1247" t="s">
        <v>46</v>
      </c>
      <c r="L1247" t="s">
        <v>51</v>
      </c>
      <c r="M1247" s="7">
        <v>21914</v>
      </c>
      <c r="N1247">
        <v>0.32</v>
      </c>
      <c r="O1247" s="7">
        <v>3450</v>
      </c>
      <c r="P1247">
        <v>5</v>
      </c>
      <c r="Q1247" t="s">
        <v>56</v>
      </c>
      <c r="R1247" t="s">
        <v>59</v>
      </c>
      <c r="S1247">
        <f t="shared" si="95"/>
        <v>2024</v>
      </c>
      <c r="T1247" t="str">
        <f t="shared" si="96"/>
        <v>May</v>
      </c>
      <c r="U1247">
        <f t="shared" si="97"/>
        <v>5</v>
      </c>
      <c r="V1247">
        <f t="shared" si="98"/>
        <v>9</v>
      </c>
      <c r="W1247" s="9">
        <f t="shared" si="99"/>
        <v>0.1574336040887104</v>
      </c>
    </row>
    <row r="1248" spans="1:23">
      <c r="A1248">
        <v>11247</v>
      </c>
      <c r="B1248" s="5">
        <v>45443</v>
      </c>
      <c r="C1248" s="5">
        <v>45447</v>
      </c>
      <c r="D1248" s="5">
        <v>45450</v>
      </c>
      <c r="E1248" t="s">
        <v>21</v>
      </c>
      <c r="F1248" t="s">
        <v>22</v>
      </c>
      <c r="G1248" t="s">
        <v>25</v>
      </c>
      <c r="H1248" t="s">
        <v>32</v>
      </c>
      <c r="I1248" t="s">
        <v>36</v>
      </c>
      <c r="J1248" t="s">
        <v>42</v>
      </c>
      <c r="K1248" t="s">
        <v>46</v>
      </c>
      <c r="L1248" t="s">
        <v>53</v>
      </c>
      <c r="M1248" s="7">
        <v>69146</v>
      </c>
      <c r="N1248">
        <v>0.06</v>
      </c>
      <c r="O1248" s="7">
        <v>8417</v>
      </c>
      <c r="P1248">
        <v>10</v>
      </c>
      <c r="Q1248" t="s">
        <v>56</v>
      </c>
      <c r="R1248" t="s">
        <v>59</v>
      </c>
      <c r="S1248">
        <f t="shared" si="95"/>
        <v>2024</v>
      </c>
      <c r="T1248" t="str">
        <f t="shared" si="96"/>
        <v>May</v>
      </c>
      <c r="U1248">
        <f t="shared" si="97"/>
        <v>4</v>
      </c>
      <c r="V1248">
        <f t="shared" si="98"/>
        <v>7</v>
      </c>
      <c r="W1248" s="9">
        <f t="shared" si="99"/>
        <v>0.12172793798628988</v>
      </c>
    </row>
    <row r="1249" spans="1:23">
      <c r="A1249">
        <v>11248</v>
      </c>
      <c r="B1249" s="5">
        <v>45444</v>
      </c>
      <c r="C1249" s="5">
        <v>45446</v>
      </c>
      <c r="D1249" s="5">
        <v>45448</v>
      </c>
      <c r="E1249" t="s">
        <v>18</v>
      </c>
      <c r="F1249" t="s">
        <v>22</v>
      </c>
      <c r="G1249" t="s">
        <v>26</v>
      </c>
      <c r="H1249" t="s">
        <v>33</v>
      </c>
      <c r="I1249" t="s">
        <v>35</v>
      </c>
      <c r="J1249" t="s">
        <v>39</v>
      </c>
      <c r="K1249" t="s">
        <v>50</v>
      </c>
      <c r="L1249" t="s">
        <v>51</v>
      </c>
      <c r="M1249" s="7">
        <v>20057</v>
      </c>
      <c r="N1249">
        <v>0.18</v>
      </c>
      <c r="O1249" s="7">
        <v>8418</v>
      </c>
      <c r="P1249">
        <v>2</v>
      </c>
      <c r="Q1249" t="s">
        <v>57</v>
      </c>
      <c r="R1249" t="s">
        <v>61</v>
      </c>
      <c r="S1249">
        <f t="shared" si="95"/>
        <v>2024</v>
      </c>
      <c r="T1249" t="str">
        <f t="shared" si="96"/>
        <v>Jun</v>
      </c>
      <c r="U1249">
        <f t="shared" si="97"/>
        <v>2</v>
      </c>
      <c r="V1249">
        <f t="shared" si="98"/>
        <v>4</v>
      </c>
      <c r="W1249" s="9">
        <f t="shared" si="99"/>
        <v>0.41970384404447325</v>
      </c>
    </row>
    <row r="1250" spans="1:23">
      <c r="A1250">
        <v>11249</v>
      </c>
      <c r="B1250" s="5">
        <v>45445</v>
      </c>
      <c r="C1250" s="5">
        <v>45449</v>
      </c>
      <c r="D1250" s="5">
        <v>45450</v>
      </c>
      <c r="E1250" t="s">
        <v>19</v>
      </c>
      <c r="F1250" t="s">
        <v>22</v>
      </c>
      <c r="G1250" t="s">
        <v>26</v>
      </c>
      <c r="H1250" t="s">
        <v>29</v>
      </c>
      <c r="I1250" t="s">
        <v>36</v>
      </c>
      <c r="J1250" t="s">
        <v>40</v>
      </c>
      <c r="K1250" t="s">
        <v>48</v>
      </c>
      <c r="L1250" t="s">
        <v>53</v>
      </c>
      <c r="M1250" s="7">
        <v>72629</v>
      </c>
      <c r="N1250">
        <v>7.0000000000000007E-2</v>
      </c>
      <c r="O1250" s="7">
        <v>888</v>
      </c>
      <c r="P1250">
        <v>5</v>
      </c>
      <c r="Q1250" t="s">
        <v>54</v>
      </c>
      <c r="R1250" t="s">
        <v>62</v>
      </c>
      <c r="S1250">
        <f t="shared" si="95"/>
        <v>2024</v>
      </c>
      <c r="T1250" t="str">
        <f t="shared" si="96"/>
        <v>Jun</v>
      </c>
      <c r="U1250">
        <f t="shared" si="97"/>
        <v>4</v>
      </c>
      <c r="V1250">
        <f t="shared" si="98"/>
        <v>5</v>
      </c>
      <c r="W1250" s="9">
        <f t="shared" si="99"/>
        <v>1.2226521086618293E-2</v>
      </c>
    </row>
    <row r="1251" spans="1:23">
      <c r="A1251">
        <v>11250</v>
      </c>
      <c r="B1251" s="5">
        <v>45446</v>
      </c>
      <c r="C1251" s="5">
        <v>45448</v>
      </c>
      <c r="D1251" s="5">
        <v>45453</v>
      </c>
      <c r="E1251" t="s">
        <v>20</v>
      </c>
      <c r="F1251" t="s">
        <v>22</v>
      </c>
      <c r="G1251" t="s">
        <v>28</v>
      </c>
      <c r="H1251" t="s">
        <v>25</v>
      </c>
      <c r="I1251" t="s">
        <v>34</v>
      </c>
      <c r="J1251" t="s">
        <v>41</v>
      </c>
      <c r="K1251" t="s">
        <v>48</v>
      </c>
      <c r="L1251" t="s">
        <v>51</v>
      </c>
      <c r="M1251" s="7">
        <v>50415</v>
      </c>
      <c r="N1251">
        <v>0.24</v>
      </c>
      <c r="O1251" s="7">
        <v>13130</v>
      </c>
      <c r="P1251">
        <v>14</v>
      </c>
      <c r="Q1251" t="s">
        <v>56</v>
      </c>
      <c r="R1251" t="s">
        <v>61</v>
      </c>
      <c r="S1251">
        <f t="shared" si="95"/>
        <v>2024</v>
      </c>
      <c r="T1251" t="str">
        <f t="shared" si="96"/>
        <v>Jun</v>
      </c>
      <c r="U1251">
        <f t="shared" si="97"/>
        <v>2</v>
      </c>
      <c r="V1251">
        <f t="shared" si="98"/>
        <v>7</v>
      </c>
      <c r="W1251" s="9">
        <f t="shared" si="99"/>
        <v>0.26043836159873052</v>
      </c>
    </row>
    <row r="1252" spans="1:23">
      <c r="A1252">
        <v>11251</v>
      </c>
      <c r="B1252" s="5">
        <v>45447</v>
      </c>
      <c r="C1252" s="5">
        <v>45450</v>
      </c>
      <c r="D1252" s="5">
        <v>45452</v>
      </c>
      <c r="E1252" t="s">
        <v>18</v>
      </c>
      <c r="F1252" t="s">
        <v>22</v>
      </c>
      <c r="G1252" t="s">
        <v>24</v>
      </c>
      <c r="H1252" t="s">
        <v>29</v>
      </c>
      <c r="I1252" t="s">
        <v>35</v>
      </c>
      <c r="J1252" t="s">
        <v>37</v>
      </c>
      <c r="K1252" t="s">
        <v>45</v>
      </c>
      <c r="L1252" t="s">
        <v>51</v>
      </c>
      <c r="M1252" s="7">
        <v>18684</v>
      </c>
      <c r="N1252">
        <v>0.03</v>
      </c>
      <c r="O1252" s="7">
        <v>3107</v>
      </c>
      <c r="P1252">
        <v>15</v>
      </c>
      <c r="Q1252" t="s">
        <v>56</v>
      </c>
      <c r="R1252" t="s">
        <v>59</v>
      </c>
      <c r="S1252">
        <f t="shared" si="95"/>
        <v>2024</v>
      </c>
      <c r="T1252" t="str">
        <f t="shared" si="96"/>
        <v>Jun</v>
      </c>
      <c r="U1252">
        <f t="shared" si="97"/>
        <v>3</v>
      </c>
      <c r="V1252">
        <f t="shared" si="98"/>
        <v>5</v>
      </c>
      <c r="W1252" s="9">
        <f t="shared" si="99"/>
        <v>0.16629201455791051</v>
      </c>
    </row>
    <row r="1253" spans="1:23">
      <c r="A1253">
        <v>11252</v>
      </c>
      <c r="B1253" s="5">
        <v>45448</v>
      </c>
      <c r="C1253" s="5">
        <v>45451</v>
      </c>
      <c r="D1253" s="5">
        <v>45453</v>
      </c>
      <c r="E1253" t="s">
        <v>18</v>
      </c>
      <c r="F1253" t="s">
        <v>22</v>
      </c>
      <c r="G1253" t="s">
        <v>28</v>
      </c>
      <c r="H1253" t="s">
        <v>32</v>
      </c>
      <c r="I1253" t="s">
        <v>35</v>
      </c>
      <c r="J1253" t="s">
        <v>37</v>
      </c>
      <c r="K1253" t="s">
        <v>49</v>
      </c>
      <c r="L1253" t="s">
        <v>52</v>
      </c>
      <c r="M1253" s="7">
        <v>56668</v>
      </c>
      <c r="N1253">
        <v>0.16</v>
      </c>
      <c r="O1253" s="7">
        <v>11962</v>
      </c>
      <c r="P1253">
        <v>24</v>
      </c>
      <c r="Q1253" t="s">
        <v>56</v>
      </c>
      <c r="R1253" t="s">
        <v>59</v>
      </c>
      <c r="S1253">
        <f t="shared" si="95"/>
        <v>2024</v>
      </c>
      <c r="T1253" t="str">
        <f t="shared" si="96"/>
        <v>Jun</v>
      </c>
      <c r="U1253">
        <f t="shared" si="97"/>
        <v>3</v>
      </c>
      <c r="V1253">
        <f t="shared" si="98"/>
        <v>5</v>
      </c>
      <c r="W1253" s="9">
        <f t="shared" si="99"/>
        <v>0.21108915084350957</v>
      </c>
    </row>
    <row r="1254" spans="1:23">
      <c r="A1254">
        <v>11253</v>
      </c>
      <c r="B1254" s="5">
        <v>45449</v>
      </c>
      <c r="C1254" s="5">
        <v>45456</v>
      </c>
      <c r="D1254" s="5">
        <v>45461</v>
      </c>
      <c r="E1254" t="s">
        <v>20</v>
      </c>
      <c r="F1254" t="s">
        <v>22</v>
      </c>
      <c r="G1254" t="s">
        <v>25</v>
      </c>
      <c r="H1254" t="s">
        <v>30</v>
      </c>
      <c r="I1254" t="s">
        <v>34</v>
      </c>
      <c r="J1254" t="s">
        <v>43</v>
      </c>
      <c r="K1254" t="s">
        <v>48</v>
      </c>
      <c r="L1254" t="s">
        <v>52</v>
      </c>
      <c r="M1254" s="7">
        <v>47284</v>
      </c>
      <c r="N1254">
        <v>0.21</v>
      </c>
      <c r="O1254" s="7">
        <v>10499</v>
      </c>
      <c r="P1254">
        <v>19</v>
      </c>
      <c r="Q1254" t="s">
        <v>57</v>
      </c>
      <c r="R1254" t="s">
        <v>61</v>
      </c>
      <c r="S1254">
        <f t="shared" si="95"/>
        <v>2024</v>
      </c>
      <c r="T1254" t="str">
        <f t="shared" si="96"/>
        <v>Jun</v>
      </c>
      <c r="U1254">
        <f t="shared" si="97"/>
        <v>7</v>
      </c>
      <c r="V1254">
        <f t="shared" si="98"/>
        <v>12</v>
      </c>
      <c r="W1254" s="9">
        <f t="shared" si="99"/>
        <v>0.22204128246341256</v>
      </c>
    </row>
    <row r="1255" spans="1:23">
      <c r="A1255">
        <v>11254</v>
      </c>
      <c r="B1255" s="5">
        <v>45450</v>
      </c>
      <c r="C1255" s="5">
        <v>45456</v>
      </c>
      <c r="D1255" s="5">
        <v>45458</v>
      </c>
      <c r="E1255" t="s">
        <v>21</v>
      </c>
      <c r="F1255" t="s">
        <v>22</v>
      </c>
      <c r="G1255" t="s">
        <v>25</v>
      </c>
      <c r="H1255" t="s">
        <v>31</v>
      </c>
      <c r="I1255" t="s">
        <v>34</v>
      </c>
      <c r="J1255" t="s">
        <v>37</v>
      </c>
      <c r="K1255" t="s">
        <v>47</v>
      </c>
      <c r="L1255" t="s">
        <v>52</v>
      </c>
      <c r="M1255" s="7">
        <v>64457</v>
      </c>
      <c r="N1255">
        <v>0.4</v>
      </c>
      <c r="O1255" s="7">
        <v>5788</v>
      </c>
      <c r="P1255">
        <v>15</v>
      </c>
      <c r="Q1255" t="s">
        <v>55</v>
      </c>
      <c r="R1255" t="s">
        <v>61</v>
      </c>
      <c r="S1255">
        <f t="shared" si="95"/>
        <v>2024</v>
      </c>
      <c r="T1255" t="str">
        <f t="shared" si="96"/>
        <v>Jun</v>
      </c>
      <c r="U1255">
        <f t="shared" si="97"/>
        <v>6</v>
      </c>
      <c r="V1255">
        <f t="shared" si="98"/>
        <v>8</v>
      </c>
      <c r="W1255" s="9">
        <f t="shared" si="99"/>
        <v>8.9796298307398728E-2</v>
      </c>
    </row>
    <row r="1256" spans="1:23">
      <c r="A1256">
        <v>11255</v>
      </c>
      <c r="B1256" s="5">
        <v>45451</v>
      </c>
      <c r="C1256" s="5">
        <v>45455</v>
      </c>
      <c r="D1256" s="5">
        <v>45456</v>
      </c>
      <c r="E1256" t="s">
        <v>21</v>
      </c>
      <c r="F1256" t="s">
        <v>22</v>
      </c>
      <c r="G1256" t="s">
        <v>25</v>
      </c>
      <c r="H1256" t="s">
        <v>31</v>
      </c>
      <c r="I1256" t="s">
        <v>35</v>
      </c>
      <c r="J1256" t="s">
        <v>41</v>
      </c>
      <c r="K1256" t="s">
        <v>48</v>
      </c>
      <c r="L1256" t="s">
        <v>53</v>
      </c>
      <c r="M1256" s="7">
        <v>14345</v>
      </c>
      <c r="N1256">
        <v>0.15</v>
      </c>
      <c r="O1256" s="7">
        <v>5078</v>
      </c>
      <c r="P1256">
        <v>21</v>
      </c>
      <c r="Q1256" t="s">
        <v>56</v>
      </c>
      <c r="R1256" t="s">
        <v>59</v>
      </c>
      <c r="S1256">
        <f t="shared" si="95"/>
        <v>2024</v>
      </c>
      <c r="T1256" t="str">
        <f t="shared" si="96"/>
        <v>Jun</v>
      </c>
      <c r="U1256">
        <f t="shared" si="97"/>
        <v>4</v>
      </c>
      <c r="V1256">
        <f t="shared" si="98"/>
        <v>5</v>
      </c>
      <c r="W1256" s="9">
        <f t="shared" si="99"/>
        <v>0.35399093760892297</v>
      </c>
    </row>
    <row r="1257" spans="1:23">
      <c r="A1257">
        <v>11256</v>
      </c>
      <c r="B1257" s="5">
        <v>45452</v>
      </c>
      <c r="C1257" s="5">
        <v>45455</v>
      </c>
      <c r="D1257" s="5">
        <v>45457</v>
      </c>
      <c r="E1257" t="s">
        <v>18</v>
      </c>
      <c r="F1257" t="s">
        <v>22</v>
      </c>
      <c r="G1257" t="s">
        <v>24</v>
      </c>
      <c r="H1257" t="s">
        <v>30</v>
      </c>
      <c r="I1257" t="s">
        <v>35</v>
      </c>
      <c r="J1257" t="s">
        <v>38</v>
      </c>
      <c r="K1257" t="s">
        <v>49</v>
      </c>
      <c r="L1257" t="s">
        <v>53</v>
      </c>
      <c r="M1257" s="7">
        <v>12176</v>
      </c>
      <c r="N1257">
        <v>0.21</v>
      </c>
      <c r="O1257" s="7">
        <v>7240</v>
      </c>
      <c r="P1257">
        <v>16</v>
      </c>
      <c r="Q1257" t="s">
        <v>55</v>
      </c>
      <c r="R1257" t="s">
        <v>62</v>
      </c>
      <c r="S1257">
        <f t="shared" si="95"/>
        <v>2024</v>
      </c>
      <c r="T1257" t="str">
        <f t="shared" si="96"/>
        <v>Jun</v>
      </c>
      <c r="U1257">
        <f t="shared" si="97"/>
        <v>3</v>
      </c>
      <c r="V1257">
        <f t="shared" si="98"/>
        <v>5</v>
      </c>
      <c r="W1257" s="9">
        <f t="shared" si="99"/>
        <v>0.59461235216819974</v>
      </c>
    </row>
    <row r="1258" spans="1:23">
      <c r="A1258">
        <v>11257</v>
      </c>
      <c r="B1258" s="5">
        <v>45453</v>
      </c>
      <c r="C1258" s="5">
        <v>45456</v>
      </c>
      <c r="D1258" s="5">
        <v>45457</v>
      </c>
      <c r="E1258" t="s">
        <v>18</v>
      </c>
      <c r="F1258" t="s">
        <v>22</v>
      </c>
      <c r="G1258" t="s">
        <v>27</v>
      </c>
      <c r="H1258" t="s">
        <v>33</v>
      </c>
      <c r="I1258" t="s">
        <v>35</v>
      </c>
      <c r="J1258" t="s">
        <v>40</v>
      </c>
      <c r="K1258" t="s">
        <v>44</v>
      </c>
      <c r="L1258" t="s">
        <v>53</v>
      </c>
      <c r="M1258" s="7">
        <v>30496</v>
      </c>
      <c r="N1258">
        <v>0.06</v>
      </c>
      <c r="O1258" s="7">
        <v>-1672</v>
      </c>
      <c r="P1258">
        <v>17</v>
      </c>
      <c r="Q1258" t="s">
        <v>55</v>
      </c>
      <c r="R1258" t="s">
        <v>61</v>
      </c>
      <c r="S1258">
        <f t="shared" si="95"/>
        <v>2024</v>
      </c>
      <c r="T1258" t="str">
        <f t="shared" si="96"/>
        <v>Jun</v>
      </c>
      <c r="U1258">
        <f t="shared" si="97"/>
        <v>3</v>
      </c>
      <c r="V1258">
        <f t="shared" si="98"/>
        <v>4</v>
      </c>
      <c r="W1258" s="9">
        <f t="shared" si="99"/>
        <v>-5.4826862539349423E-2</v>
      </c>
    </row>
    <row r="1259" spans="1:23">
      <c r="A1259">
        <v>11258</v>
      </c>
      <c r="B1259" s="5">
        <v>45454</v>
      </c>
      <c r="C1259" s="5">
        <v>45461</v>
      </c>
      <c r="D1259" s="5">
        <v>45463</v>
      </c>
      <c r="E1259" t="s">
        <v>21</v>
      </c>
      <c r="F1259" t="s">
        <v>22</v>
      </c>
      <c r="G1259" t="s">
        <v>25</v>
      </c>
      <c r="H1259" t="s">
        <v>31</v>
      </c>
      <c r="I1259" t="s">
        <v>35</v>
      </c>
      <c r="J1259" t="s">
        <v>40</v>
      </c>
      <c r="K1259" t="s">
        <v>44</v>
      </c>
      <c r="L1259" t="s">
        <v>53</v>
      </c>
      <c r="M1259" s="7">
        <v>12696</v>
      </c>
      <c r="N1259">
        <v>0.08</v>
      </c>
      <c r="O1259" s="7">
        <v>15488</v>
      </c>
      <c r="P1259">
        <v>14</v>
      </c>
      <c r="Q1259" t="s">
        <v>54</v>
      </c>
      <c r="R1259" t="s">
        <v>62</v>
      </c>
      <c r="S1259">
        <f t="shared" si="95"/>
        <v>2024</v>
      </c>
      <c r="T1259" t="str">
        <f t="shared" si="96"/>
        <v>Jun</v>
      </c>
      <c r="U1259">
        <f t="shared" si="97"/>
        <v>7</v>
      </c>
      <c r="V1259">
        <f t="shared" si="98"/>
        <v>9</v>
      </c>
      <c r="W1259" s="9">
        <f t="shared" si="99"/>
        <v>1.2199117832388153</v>
      </c>
    </row>
    <row r="1260" spans="1:23">
      <c r="A1260">
        <v>11259</v>
      </c>
      <c r="B1260" s="5">
        <v>45455</v>
      </c>
      <c r="C1260" s="5">
        <v>45458</v>
      </c>
      <c r="D1260" s="5">
        <v>45461</v>
      </c>
      <c r="E1260" t="s">
        <v>21</v>
      </c>
      <c r="F1260" t="s">
        <v>22</v>
      </c>
      <c r="G1260" t="s">
        <v>28</v>
      </c>
      <c r="H1260" t="s">
        <v>30</v>
      </c>
      <c r="I1260" t="s">
        <v>35</v>
      </c>
      <c r="J1260" t="s">
        <v>37</v>
      </c>
      <c r="K1260" t="s">
        <v>44</v>
      </c>
      <c r="L1260" t="s">
        <v>51</v>
      </c>
      <c r="M1260" s="7">
        <v>8972</v>
      </c>
      <c r="N1260">
        <v>0.1</v>
      </c>
      <c r="O1260" s="7">
        <v>1601</v>
      </c>
      <c r="P1260">
        <v>1</v>
      </c>
      <c r="Q1260" t="s">
        <v>54</v>
      </c>
      <c r="R1260" t="s">
        <v>61</v>
      </c>
      <c r="S1260">
        <f t="shared" si="95"/>
        <v>2024</v>
      </c>
      <c r="T1260" t="str">
        <f t="shared" si="96"/>
        <v>Jun</v>
      </c>
      <c r="U1260">
        <f t="shared" si="97"/>
        <v>3</v>
      </c>
      <c r="V1260">
        <f t="shared" si="98"/>
        <v>6</v>
      </c>
      <c r="W1260" s="9">
        <f t="shared" si="99"/>
        <v>0.17844404814979939</v>
      </c>
    </row>
    <row r="1261" spans="1:23">
      <c r="A1261">
        <v>11260</v>
      </c>
      <c r="B1261" s="5">
        <v>45456</v>
      </c>
      <c r="C1261" s="5">
        <v>45460</v>
      </c>
      <c r="D1261" s="5">
        <v>45462</v>
      </c>
      <c r="E1261" t="s">
        <v>21</v>
      </c>
      <c r="F1261" t="s">
        <v>22</v>
      </c>
      <c r="G1261" t="s">
        <v>24</v>
      </c>
      <c r="H1261" t="s">
        <v>25</v>
      </c>
      <c r="I1261" t="s">
        <v>36</v>
      </c>
      <c r="J1261" t="s">
        <v>38</v>
      </c>
      <c r="K1261" t="s">
        <v>50</v>
      </c>
      <c r="L1261" t="s">
        <v>52</v>
      </c>
      <c r="M1261" s="7">
        <v>24929</v>
      </c>
      <c r="N1261">
        <v>0.37</v>
      </c>
      <c r="O1261" s="7">
        <v>13726</v>
      </c>
      <c r="P1261">
        <v>21</v>
      </c>
      <c r="Q1261" t="s">
        <v>55</v>
      </c>
      <c r="R1261" t="s">
        <v>61</v>
      </c>
      <c r="S1261">
        <f t="shared" si="95"/>
        <v>2024</v>
      </c>
      <c r="T1261" t="str">
        <f t="shared" si="96"/>
        <v>Jun</v>
      </c>
      <c r="U1261">
        <f t="shared" si="97"/>
        <v>4</v>
      </c>
      <c r="V1261">
        <f t="shared" si="98"/>
        <v>6</v>
      </c>
      <c r="W1261" s="9">
        <f t="shared" si="99"/>
        <v>0.55060371454932011</v>
      </c>
    </row>
    <row r="1262" spans="1:23">
      <c r="A1262">
        <v>11261</v>
      </c>
      <c r="B1262" s="5">
        <v>45457</v>
      </c>
      <c r="C1262" s="5">
        <v>45463</v>
      </c>
      <c r="D1262" s="5">
        <v>45464</v>
      </c>
      <c r="E1262" t="s">
        <v>20</v>
      </c>
      <c r="F1262" t="s">
        <v>22</v>
      </c>
      <c r="G1262" t="s">
        <v>24</v>
      </c>
      <c r="H1262" t="s">
        <v>25</v>
      </c>
      <c r="I1262" t="s">
        <v>35</v>
      </c>
      <c r="J1262" t="s">
        <v>37</v>
      </c>
      <c r="K1262" t="s">
        <v>47</v>
      </c>
      <c r="L1262" t="s">
        <v>51</v>
      </c>
      <c r="M1262" s="7">
        <v>60043</v>
      </c>
      <c r="N1262">
        <v>0.38</v>
      </c>
      <c r="O1262" s="7">
        <v>13137</v>
      </c>
      <c r="P1262">
        <v>11</v>
      </c>
      <c r="Q1262" t="s">
        <v>54</v>
      </c>
      <c r="R1262" t="s">
        <v>62</v>
      </c>
      <c r="S1262">
        <f t="shared" si="95"/>
        <v>2024</v>
      </c>
      <c r="T1262" t="str">
        <f t="shared" si="96"/>
        <v>Jun</v>
      </c>
      <c r="U1262">
        <f t="shared" si="97"/>
        <v>6</v>
      </c>
      <c r="V1262">
        <f t="shared" si="98"/>
        <v>7</v>
      </c>
      <c r="W1262" s="9">
        <f t="shared" si="99"/>
        <v>0.21879319820795096</v>
      </c>
    </row>
    <row r="1263" spans="1:23">
      <c r="A1263">
        <v>11262</v>
      </c>
      <c r="B1263" s="5">
        <v>45458</v>
      </c>
      <c r="C1263" s="5">
        <v>45460</v>
      </c>
      <c r="D1263" s="5">
        <v>45461</v>
      </c>
      <c r="E1263" t="s">
        <v>21</v>
      </c>
      <c r="F1263" t="s">
        <v>22</v>
      </c>
      <c r="G1263" t="s">
        <v>27</v>
      </c>
      <c r="H1263" t="s">
        <v>29</v>
      </c>
      <c r="I1263" t="s">
        <v>36</v>
      </c>
      <c r="J1263" t="s">
        <v>40</v>
      </c>
      <c r="K1263" t="s">
        <v>45</v>
      </c>
      <c r="L1263" t="s">
        <v>52</v>
      </c>
      <c r="M1263" s="7">
        <v>53826</v>
      </c>
      <c r="N1263">
        <v>0.28999999999999998</v>
      </c>
      <c r="O1263" s="7">
        <v>5939</v>
      </c>
      <c r="P1263">
        <v>8</v>
      </c>
      <c r="Q1263" t="s">
        <v>57</v>
      </c>
      <c r="R1263" t="s">
        <v>62</v>
      </c>
      <c r="S1263">
        <f t="shared" si="95"/>
        <v>2024</v>
      </c>
      <c r="T1263" t="str">
        <f t="shared" si="96"/>
        <v>Jun</v>
      </c>
      <c r="U1263">
        <f t="shared" si="97"/>
        <v>2</v>
      </c>
      <c r="V1263">
        <f t="shared" si="98"/>
        <v>3</v>
      </c>
      <c r="W1263" s="9">
        <f t="shared" si="99"/>
        <v>0.11033701185300784</v>
      </c>
    </row>
    <row r="1264" spans="1:23">
      <c r="A1264">
        <v>11263</v>
      </c>
      <c r="B1264" s="5">
        <v>45459</v>
      </c>
      <c r="C1264" s="5">
        <v>45464</v>
      </c>
      <c r="D1264" s="5">
        <v>45465</v>
      </c>
      <c r="E1264" t="s">
        <v>21</v>
      </c>
      <c r="F1264" t="s">
        <v>22</v>
      </c>
      <c r="G1264" t="s">
        <v>28</v>
      </c>
      <c r="H1264" t="s">
        <v>25</v>
      </c>
      <c r="I1264" t="s">
        <v>34</v>
      </c>
      <c r="J1264" t="s">
        <v>40</v>
      </c>
      <c r="K1264" t="s">
        <v>49</v>
      </c>
      <c r="L1264" t="s">
        <v>52</v>
      </c>
      <c r="M1264" s="7">
        <v>24174</v>
      </c>
      <c r="N1264">
        <v>0.38</v>
      </c>
      <c r="O1264" s="7">
        <v>-1567</v>
      </c>
      <c r="P1264">
        <v>23</v>
      </c>
      <c r="Q1264" t="s">
        <v>54</v>
      </c>
      <c r="R1264" t="s">
        <v>61</v>
      </c>
      <c r="S1264">
        <f t="shared" si="95"/>
        <v>2024</v>
      </c>
      <c r="T1264" t="str">
        <f t="shared" si="96"/>
        <v>Jun</v>
      </c>
      <c r="U1264">
        <f t="shared" si="97"/>
        <v>5</v>
      </c>
      <c r="V1264">
        <f t="shared" si="98"/>
        <v>6</v>
      </c>
      <c r="W1264" s="9">
        <f t="shared" si="99"/>
        <v>-6.482170927442707E-2</v>
      </c>
    </row>
    <row r="1265" spans="1:23">
      <c r="A1265">
        <v>11264</v>
      </c>
      <c r="B1265" s="5">
        <v>45460</v>
      </c>
      <c r="C1265" s="5">
        <v>45462</v>
      </c>
      <c r="D1265" s="5">
        <v>45467</v>
      </c>
      <c r="E1265" t="s">
        <v>21</v>
      </c>
      <c r="F1265" t="s">
        <v>22</v>
      </c>
      <c r="G1265" t="s">
        <v>24</v>
      </c>
      <c r="H1265" t="s">
        <v>30</v>
      </c>
      <c r="I1265" t="s">
        <v>36</v>
      </c>
      <c r="J1265" t="s">
        <v>39</v>
      </c>
      <c r="K1265" t="s">
        <v>48</v>
      </c>
      <c r="L1265" t="s">
        <v>52</v>
      </c>
      <c r="M1265" s="7">
        <v>68086</v>
      </c>
      <c r="N1265">
        <v>0.35</v>
      </c>
      <c r="O1265" s="7">
        <v>19510</v>
      </c>
      <c r="P1265">
        <v>18</v>
      </c>
      <c r="Q1265" t="s">
        <v>55</v>
      </c>
      <c r="R1265" t="s">
        <v>59</v>
      </c>
      <c r="S1265">
        <f t="shared" si="95"/>
        <v>2024</v>
      </c>
      <c r="T1265" t="str">
        <f t="shared" si="96"/>
        <v>Jun</v>
      </c>
      <c r="U1265">
        <f t="shared" si="97"/>
        <v>2</v>
      </c>
      <c r="V1265">
        <f t="shared" si="98"/>
        <v>7</v>
      </c>
      <c r="W1265" s="9">
        <f t="shared" si="99"/>
        <v>0.28654936403959697</v>
      </c>
    </row>
    <row r="1266" spans="1:23">
      <c r="A1266">
        <v>11265</v>
      </c>
      <c r="B1266" s="5">
        <v>45461</v>
      </c>
      <c r="C1266" s="5">
        <v>45467</v>
      </c>
      <c r="D1266" s="5">
        <v>45469</v>
      </c>
      <c r="E1266" t="s">
        <v>20</v>
      </c>
      <c r="F1266" t="s">
        <v>22</v>
      </c>
      <c r="G1266" t="s">
        <v>26</v>
      </c>
      <c r="H1266" t="s">
        <v>33</v>
      </c>
      <c r="I1266" t="s">
        <v>35</v>
      </c>
      <c r="J1266" t="s">
        <v>39</v>
      </c>
      <c r="K1266" t="s">
        <v>46</v>
      </c>
      <c r="L1266" t="s">
        <v>51</v>
      </c>
      <c r="M1266" s="7">
        <v>15624</v>
      </c>
      <c r="N1266">
        <v>0.35</v>
      </c>
      <c r="O1266" s="7">
        <v>17401</v>
      </c>
      <c r="P1266">
        <v>19</v>
      </c>
      <c r="Q1266" t="s">
        <v>57</v>
      </c>
      <c r="R1266" t="s">
        <v>60</v>
      </c>
      <c r="S1266">
        <f t="shared" si="95"/>
        <v>2024</v>
      </c>
      <c r="T1266" t="str">
        <f t="shared" si="96"/>
        <v>Jun</v>
      </c>
      <c r="U1266">
        <f t="shared" si="97"/>
        <v>6</v>
      </c>
      <c r="V1266">
        <f t="shared" si="98"/>
        <v>8</v>
      </c>
      <c r="W1266" s="9">
        <f t="shared" si="99"/>
        <v>1.1137352790578596</v>
      </c>
    </row>
    <row r="1267" spans="1:23">
      <c r="A1267">
        <v>11266</v>
      </c>
      <c r="B1267" s="5">
        <v>45462</v>
      </c>
      <c r="C1267" s="5">
        <v>45469</v>
      </c>
      <c r="D1267" s="5">
        <v>45474</v>
      </c>
      <c r="E1267" t="s">
        <v>21</v>
      </c>
      <c r="F1267" t="s">
        <v>22</v>
      </c>
      <c r="G1267" t="s">
        <v>24</v>
      </c>
      <c r="H1267" t="s">
        <v>29</v>
      </c>
      <c r="I1267" t="s">
        <v>36</v>
      </c>
      <c r="J1267" t="s">
        <v>40</v>
      </c>
      <c r="K1267" t="s">
        <v>48</v>
      </c>
      <c r="L1267" t="s">
        <v>53</v>
      </c>
      <c r="M1267" s="7">
        <v>59230</v>
      </c>
      <c r="N1267">
        <v>0.02</v>
      </c>
      <c r="O1267" s="7">
        <v>17128</v>
      </c>
      <c r="P1267">
        <v>16</v>
      </c>
      <c r="Q1267" t="s">
        <v>58</v>
      </c>
      <c r="R1267" t="s">
        <v>62</v>
      </c>
      <c r="S1267">
        <f t="shared" si="95"/>
        <v>2024</v>
      </c>
      <c r="T1267" t="str">
        <f t="shared" si="96"/>
        <v>Jun</v>
      </c>
      <c r="U1267">
        <f t="shared" si="97"/>
        <v>7</v>
      </c>
      <c r="V1267">
        <f t="shared" si="98"/>
        <v>12</v>
      </c>
      <c r="W1267" s="9">
        <f t="shared" si="99"/>
        <v>0.28917778152963025</v>
      </c>
    </row>
    <row r="1268" spans="1:23">
      <c r="A1268">
        <v>11267</v>
      </c>
      <c r="B1268" s="5">
        <v>45463</v>
      </c>
      <c r="C1268" s="5">
        <v>45470</v>
      </c>
      <c r="D1268" s="5">
        <v>45472</v>
      </c>
      <c r="E1268" t="s">
        <v>20</v>
      </c>
      <c r="F1268" t="s">
        <v>22</v>
      </c>
      <c r="G1268" t="s">
        <v>28</v>
      </c>
      <c r="H1268" t="s">
        <v>29</v>
      </c>
      <c r="I1268" t="s">
        <v>36</v>
      </c>
      <c r="J1268" t="s">
        <v>40</v>
      </c>
      <c r="K1268" t="s">
        <v>44</v>
      </c>
      <c r="L1268" t="s">
        <v>52</v>
      </c>
      <c r="M1268" s="7">
        <v>29740</v>
      </c>
      <c r="N1268">
        <v>0.17</v>
      </c>
      <c r="O1268" s="7">
        <v>16992</v>
      </c>
      <c r="P1268">
        <v>18</v>
      </c>
      <c r="Q1268" t="s">
        <v>56</v>
      </c>
      <c r="R1268" t="s">
        <v>59</v>
      </c>
      <c r="S1268">
        <f t="shared" si="95"/>
        <v>2024</v>
      </c>
      <c r="T1268" t="str">
        <f t="shared" si="96"/>
        <v>Jun</v>
      </c>
      <c r="U1268">
        <f t="shared" si="97"/>
        <v>7</v>
      </c>
      <c r="V1268">
        <f t="shared" si="98"/>
        <v>9</v>
      </c>
      <c r="W1268" s="9">
        <f t="shared" si="99"/>
        <v>0.57135171486213854</v>
      </c>
    </row>
    <row r="1269" spans="1:23">
      <c r="A1269">
        <v>11268</v>
      </c>
      <c r="B1269" s="5">
        <v>45464</v>
      </c>
      <c r="C1269" s="5">
        <v>45468</v>
      </c>
      <c r="D1269" s="5">
        <v>45469</v>
      </c>
      <c r="E1269" t="s">
        <v>21</v>
      </c>
      <c r="F1269" t="s">
        <v>22</v>
      </c>
      <c r="G1269" t="s">
        <v>23</v>
      </c>
      <c r="H1269" t="s">
        <v>31</v>
      </c>
      <c r="I1269" t="s">
        <v>34</v>
      </c>
      <c r="J1269" t="s">
        <v>42</v>
      </c>
      <c r="K1269" t="s">
        <v>48</v>
      </c>
      <c r="L1269" t="s">
        <v>53</v>
      </c>
      <c r="M1269" s="7">
        <v>62510</v>
      </c>
      <c r="N1269">
        <v>0.16</v>
      </c>
      <c r="O1269" s="7">
        <v>1978</v>
      </c>
      <c r="P1269">
        <v>8</v>
      </c>
      <c r="Q1269" t="s">
        <v>57</v>
      </c>
      <c r="R1269" t="s">
        <v>62</v>
      </c>
      <c r="S1269">
        <f t="shared" si="95"/>
        <v>2024</v>
      </c>
      <c r="T1269" t="str">
        <f t="shared" si="96"/>
        <v>Jun</v>
      </c>
      <c r="U1269">
        <f t="shared" si="97"/>
        <v>4</v>
      </c>
      <c r="V1269">
        <f t="shared" si="98"/>
        <v>5</v>
      </c>
      <c r="W1269" s="9">
        <f t="shared" si="99"/>
        <v>3.1642937130059189E-2</v>
      </c>
    </row>
    <row r="1270" spans="1:23">
      <c r="A1270">
        <v>11269</v>
      </c>
      <c r="B1270" s="5">
        <v>45465</v>
      </c>
      <c r="C1270" s="5">
        <v>45468</v>
      </c>
      <c r="D1270" s="5">
        <v>45473</v>
      </c>
      <c r="E1270" t="s">
        <v>21</v>
      </c>
      <c r="F1270" t="s">
        <v>22</v>
      </c>
      <c r="G1270" t="s">
        <v>24</v>
      </c>
      <c r="H1270" t="s">
        <v>33</v>
      </c>
      <c r="I1270" t="s">
        <v>35</v>
      </c>
      <c r="J1270" t="s">
        <v>42</v>
      </c>
      <c r="K1270" t="s">
        <v>50</v>
      </c>
      <c r="L1270" t="s">
        <v>53</v>
      </c>
      <c r="M1270" s="7">
        <v>30395</v>
      </c>
      <c r="N1270">
        <v>0.35</v>
      </c>
      <c r="O1270" s="7">
        <v>11028</v>
      </c>
      <c r="P1270">
        <v>22</v>
      </c>
      <c r="Q1270" t="s">
        <v>54</v>
      </c>
      <c r="R1270" t="s">
        <v>62</v>
      </c>
      <c r="S1270">
        <f t="shared" si="95"/>
        <v>2024</v>
      </c>
      <c r="T1270" t="str">
        <f t="shared" si="96"/>
        <v>Jun</v>
      </c>
      <c r="U1270">
        <f t="shared" si="97"/>
        <v>3</v>
      </c>
      <c r="V1270">
        <f t="shared" si="98"/>
        <v>8</v>
      </c>
      <c r="W1270" s="9">
        <f t="shared" si="99"/>
        <v>0.36282283270274718</v>
      </c>
    </row>
    <row r="1271" spans="1:23">
      <c r="A1271">
        <v>11270</v>
      </c>
      <c r="B1271" s="5">
        <v>45466</v>
      </c>
      <c r="C1271" s="5">
        <v>45468</v>
      </c>
      <c r="D1271" s="5">
        <v>45469</v>
      </c>
      <c r="E1271" t="s">
        <v>18</v>
      </c>
      <c r="F1271" t="s">
        <v>22</v>
      </c>
      <c r="G1271" t="s">
        <v>27</v>
      </c>
      <c r="H1271" t="s">
        <v>33</v>
      </c>
      <c r="I1271" t="s">
        <v>34</v>
      </c>
      <c r="J1271" t="s">
        <v>41</v>
      </c>
      <c r="K1271" t="s">
        <v>49</v>
      </c>
      <c r="L1271" t="s">
        <v>52</v>
      </c>
      <c r="M1271" s="7">
        <v>58088</v>
      </c>
      <c r="N1271">
        <v>0.18</v>
      </c>
      <c r="O1271" s="7">
        <v>17874</v>
      </c>
      <c r="P1271">
        <v>18</v>
      </c>
      <c r="Q1271" t="s">
        <v>56</v>
      </c>
      <c r="R1271" t="s">
        <v>60</v>
      </c>
      <c r="S1271">
        <f t="shared" si="95"/>
        <v>2024</v>
      </c>
      <c r="T1271" t="str">
        <f t="shared" si="96"/>
        <v>Jun</v>
      </c>
      <c r="U1271">
        <f t="shared" si="97"/>
        <v>2</v>
      </c>
      <c r="V1271">
        <f t="shared" si="98"/>
        <v>3</v>
      </c>
      <c r="W1271" s="9">
        <f t="shared" si="99"/>
        <v>0.30770555019969703</v>
      </c>
    </row>
    <row r="1272" spans="1:23">
      <c r="A1272">
        <v>11271</v>
      </c>
      <c r="B1272" s="5">
        <v>45467</v>
      </c>
      <c r="C1272" s="5">
        <v>45471</v>
      </c>
      <c r="D1272" s="5">
        <v>45473</v>
      </c>
      <c r="E1272" t="s">
        <v>18</v>
      </c>
      <c r="F1272" t="s">
        <v>22</v>
      </c>
      <c r="G1272" t="s">
        <v>27</v>
      </c>
      <c r="H1272" t="s">
        <v>33</v>
      </c>
      <c r="I1272" t="s">
        <v>36</v>
      </c>
      <c r="J1272" t="s">
        <v>41</v>
      </c>
      <c r="K1272" t="s">
        <v>47</v>
      </c>
      <c r="L1272" t="s">
        <v>52</v>
      </c>
      <c r="M1272" s="7">
        <v>48812</v>
      </c>
      <c r="N1272">
        <v>0.38</v>
      </c>
      <c r="O1272" s="7">
        <v>10405</v>
      </c>
      <c r="P1272">
        <v>12</v>
      </c>
      <c r="Q1272" t="s">
        <v>56</v>
      </c>
      <c r="R1272" t="s">
        <v>62</v>
      </c>
      <c r="S1272">
        <f t="shared" si="95"/>
        <v>2024</v>
      </c>
      <c r="T1272" t="str">
        <f t="shared" si="96"/>
        <v>Jun</v>
      </c>
      <c r="U1272">
        <f t="shared" si="97"/>
        <v>4</v>
      </c>
      <c r="V1272">
        <f t="shared" si="98"/>
        <v>6</v>
      </c>
      <c r="W1272" s="9">
        <f t="shared" si="99"/>
        <v>0.21316479554207982</v>
      </c>
    </row>
    <row r="1273" spans="1:23">
      <c r="A1273">
        <v>11272</v>
      </c>
      <c r="B1273" s="5">
        <v>45468</v>
      </c>
      <c r="C1273" s="5">
        <v>45473</v>
      </c>
      <c r="D1273" s="5">
        <v>45477</v>
      </c>
      <c r="E1273" t="s">
        <v>20</v>
      </c>
      <c r="F1273" t="s">
        <v>22</v>
      </c>
      <c r="G1273" t="s">
        <v>25</v>
      </c>
      <c r="H1273" t="s">
        <v>29</v>
      </c>
      <c r="I1273" t="s">
        <v>35</v>
      </c>
      <c r="J1273" t="s">
        <v>43</v>
      </c>
      <c r="K1273" t="s">
        <v>46</v>
      </c>
      <c r="L1273" t="s">
        <v>53</v>
      </c>
      <c r="M1273" s="7">
        <v>72246</v>
      </c>
      <c r="N1273">
        <v>0.12</v>
      </c>
      <c r="O1273" s="7">
        <v>11644</v>
      </c>
      <c r="P1273">
        <v>5</v>
      </c>
      <c r="Q1273" t="s">
        <v>58</v>
      </c>
      <c r="R1273" t="s">
        <v>61</v>
      </c>
      <c r="S1273">
        <f t="shared" si="95"/>
        <v>2024</v>
      </c>
      <c r="T1273" t="str">
        <f t="shared" si="96"/>
        <v>Jun</v>
      </c>
      <c r="U1273">
        <f t="shared" si="97"/>
        <v>5</v>
      </c>
      <c r="V1273">
        <f t="shared" si="98"/>
        <v>9</v>
      </c>
      <c r="W1273" s="9">
        <f t="shared" si="99"/>
        <v>0.16117155275032527</v>
      </c>
    </row>
    <row r="1274" spans="1:23">
      <c r="A1274">
        <v>11273</v>
      </c>
      <c r="B1274" s="5">
        <v>45469</v>
      </c>
      <c r="C1274" s="5">
        <v>45476</v>
      </c>
      <c r="D1274" s="5">
        <v>45480</v>
      </c>
      <c r="E1274" t="s">
        <v>21</v>
      </c>
      <c r="F1274" t="s">
        <v>22</v>
      </c>
      <c r="G1274" t="s">
        <v>28</v>
      </c>
      <c r="H1274" t="s">
        <v>29</v>
      </c>
      <c r="I1274" t="s">
        <v>36</v>
      </c>
      <c r="J1274" t="s">
        <v>41</v>
      </c>
      <c r="K1274" t="s">
        <v>47</v>
      </c>
      <c r="L1274" t="s">
        <v>51</v>
      </c>
      <c r="M1274" s="7">
        <v>3180</v>
      </c>
      <c r="N1274">
        <v>0.22</v>
      </c>
      <c r="O1274" s="7">
        <v>11583</v>
      </c>
      <c r="P1274">
        <v>13</v>
      </c>
      <c r="Q1274" t="s">
        <v>58</v>
      </c>
      <c r="R1274" t="s">
        <v>61</v>
      </c>
      <c r="S1274">
        <f t="shared" si="95"/>
        <v>2024</v>
      </c>
      <c r="T1274" t="str">
        <f t="shared" si="96"/>
        <v>Jun</v>
      </c>
      <c r="U1274">
        <f t="shared" si="97"/>
        <v>7</v>
      </c>
      <c r="V1274">
        <f t="shared" si="98"/>
        <v>11</v>
      </c>
      <c r="W1274" s="9">
        <f t="shared" si="99"/>
        <v>3.6424528301886792</v>
      </c>
    </row>
    <row r="1275" spans="1:23">
      <c r="A1275">
        <v>11274</v>
      </c>
      <c r="B1275" s="5">
        <v>45470</v>
      </c>
      <c r="C1275" s="5">
        <v>45477</v>
      </c>
      <c r="D1275" s="5">
        <v>45481</v>
      </c>
      <c r="E1275" t="s">
        <v>21</v>
      </c>
      <c r="F1275" t="s">
        <v>22</v>
      </c>
      <c r="G1275" t="s">
        <v>27</v>
      </c>
      <c r="H1275" t="s">
        <v>32</v>
      </c>
      <c r="I1275" t="s">
        <v>35</v>
      </c>
      <c r="J1275" t="s">
        <v>40</v>
      </c>
      <c r="K1275" t="s">
        <v>45</v>
      </c>
      <c r="L1275" t="s">
        <v>51</v>
      </c>
      <c r="M1275" s="7">
        <v>28319</v>
      </c>
      <c r="N1275">
        <v>0.25</v>
      </c>
      <c r="O1275" s="7">
        <v>17700</v>
      </c>
      <c r="P1275">
        <v>23</v>
      </c>
      <c r="Q1275" t="s">
        <v>55</v>
      </c>
      <c r="R1275" t="s">
        <v>61</v>
      </c>
      <c r="S1275">
        <f t="shared" si="95"/>
        <v>2024</v>
      </c>
      <c r="T1275" t="str">
        <f t="shared" si="96"/>
        <v>Jun</v>
      </c>
      <c r="U1275">
        <f t="shared" si="97"/>
        <v>7</v>
      </c>
      <c r="V1275">
        <f t="shared" si="98"/>
        <v>11</v>
      </c>
      <c r="W1275" s="9">
        <f t="shared" si="99"/>
        <v>0.62502206998834708</v>
      </c>
    </row>
    <row r="1276" spans="1:23">
      <c r="A1276">
        <v>11275</v>
      </c>
      <c r="B1276" s="5">
        <v>45471</v>
      </c>
      <c r="C1276" s="5">
        <v>45477</v>
      </c>
      <c r="D1276" s="5">
        <v>45481</v>
      </c>
      <c r="E1276" t="s">
        <v>20</v>
      </c>
      <c r="F1276" t="s">
        <v>22</v>
      </c>
      <c r="G1276" t="s">
        <v>24</v>
      </c>
      <c r="H1276" t="s">
        <v>29</v>
      </c>
      <c r="I1276" t="s">
        <v>36</v>
      </c>
      <c r="J1276" t="s">
        <v>38</v>
      </c>
      <c r="K1276" t="s">
        <v>44</v>
      </c>
      <c r="L1276" t="s">
        <v>51</v>
      </c>
      <c r="M1276" s="7">
        <v>39941</v>
      </c>
      <c r="N1276">
        <v>0.22</v>
      </c>
      <c r="O1276" s="7">
        <v>-324</v>
      </c>
      <c r="P1276">
        <v>13</v>
      </c>
      <c r="Q1276" t="s">
        <v>57</v>
      </c>
      <c r="R1276" t="s">
        <v>61</v>
      </c>
      <c r="S1276">
        <f t="shared" si="95"/>
        <v>2024</v>
      </c>
      <c r="T1276" t="str">
        <f t="shared" si="96"/>
        <v>Jun</v>
      </c>
      <c r="U1276">
        <f t="shared" si="97"/>
        <v>6</v>
      </c>
      <c r="V1276">
        <f t="shared" si="98"/>
        <v>10</v>
      </c>
      <c r="W1276" s="9">
        <f t="shared" si="99"/>
        <v>-8.1119651485941757E-3</v>
      </c>
    </row>
    <row r="1277" spans="1:23">
      <c r="A1277">
        <v>11276</v>
      </c>
      <c r="B1277" s="5">
        <v>45472</v>
      </c>
      <c r="C1277" s="5">
        <v>45477</v>
      </c>
      <c r="D1277" s="5">
        <v>45479</v>
      </c>
      <c r="E1277" t="s">
        <v>19</v>
      </c>
      <c r="F1277" t="s">
        <v>22</v>
      </c>
      <c r="G1277" t="s">
        <v>27</v>
      </c>
      <c r="H1277" t="s">
        <v>25</v>
      </c>
      <c r="I1277" t="s">
        <v>35</v>
      </c>
      <c r="J1277" t="s">
        <v>38</v>
      </c>
      <c r="K1277" t="s">
        <v>48</v>
      </c>
      <c r="L1277" t="s">
        <v>52</v>
      </c>
      <c r="M1277" s="7">
        <v>29601</v>
      </c>
      <c r="N1277">
        <v>0.13</v>
      </c>
      <c r="O1277" s="7">
        <v>8946</v>
      </c>
      <c r="P1277">
        <v>13</v>
      </c>
      <c r="Q1277" t="s">
        <v>57</v>
      </c>
      <c r="R1277" t="s">
        <v>60</v>
      </c>
      <c r="S1277">
        <f t="shared" si="95"/>
        <v>2024</v>
      </c>
      <c r="T1277" t="str">
        <f t="shared" si="96"/>
        <v>Jun</v>
      </c>
      <c r="U1277">
        <f t="shared" si="97"/>
        <v>5</v>
      </c>
      <c r="V1277">
        <f t="shared" si="98"/>
        <v>7</v>
      </c>
      <c r="W1277" s="9">
        <f t="shared" si="99"/>
        <v>0.30221951961082394</v>
      </c>
    </row>
    <row r="1278" spans="1:23">
      <c r="A1278">
        <v>11277</v>
      </c>
      <c r="B1278" s="5">
        <v>45473</v>
      </c>
      <c r="C1278" s="5">
        <v>45478</v>
      </c>
      <c r="D1278" s="5">
        <v>45483</v>
      </c>
      <c r="E1278" t="s">
        <v>19</v>
      </c>
      <c r="F1278" t="s">
        <v>22</v>
      </c>
      <c r="G1278" t="s">
        <v>27</v>
      </c>
      <c r="H1278" t="s">
        <v>29</v>
      </c>
      <c r="I1278" t="s">
        <v>34</v>
      </c>
      <c r="J1278" t="s">
        <v>39</v>
      </c>
      <c r="K1278" t="s">
        <v>49</v>
      </c>
      <c r="L1278" t="s">
        <v>51</v>
      </c>
      <c r="M1278" s="7">
        <v>69490</v>
      </c>
      <c r="N1278">
        <v>0.01</v>
      </c>
      <c r="O1278" s="7">
        <v>10206</v>
      </c>
      <c r="P1278">
        <v>21</v>
      </c>
      <c r="Q1278" t="s">
        <v>56</v>
      </c>
      <c r="R1278" t="s">
        <v>60</v>
      </c>
      <c r="S1278">
        <f t="shared" si="95"/>
        <v>2024</v>
      </c>
      <c r="T1278" t="str">
        <f t="shared" si="96"/>
        <v>Jun</v>
      </c>
      <c r="U1278">
        <f t="shared" si="97"/>
        <v>5</v>
      </c>
      <c r="V1278">
        <f t="shared" si="98"/>
        <v>10</v>
      </c>
      <c r="W1278" s="9">
        <f t="shared" si="99"/>
        <v>0.14687005324507124</v>
      </c>
    </row>
    <row r="1279" spans="1:23">
      <c r="A1279">
        <v>11278</v>
      </c>
      <c r="B1279" s="5">
        <v>45474</v>
      </c>
      <c r="C1279" s="5">
        <v>45479</v>
      </c>
      <c r="D1279" s="5">
        <v>45483</v>
      </c>
      <c r="E1279" t="s">
        <v>19</v>
      </c>
      <c r="F1279" t="s">
        <v>22</v>
      </c>
      <c r="G1279" t="s">
        <v>24</v>
      </c>
      <c r="H1279" t="s">
        <v>25</v>
      </c>
      <c r="I1279" t="s">
        <v>35</v>
      </c>
      <c r="J1279" t="s">
        <v>38</v>
      </c>
      <c r="K1279" t="s">
        <v>49</v>
      </c>
      <c r="L1279" t="s">
        <v>53</v>
      </c>
      <c r="M1279" s="7">
        <v>57013</v>
      </c>
      <c r="N1279">
        <v>0.2</v>
      </c>
      <c r="O1279" s="7">
        <v>11206</v>
      </c>
      <c r="P1279">
        <v>5</v>
      </c>
      <c r="Q1279" t="s">
        <v>57</v>
      </c>
      <c r="R1279" t="s">
        <v>62</v>
      </c>
      <c r="S1279">
        <f t="shared" si="95"/>
        <v>2024</v>
      </c>
      <c r="T1279" t="str">
        <f t="shared" si="96"/>
        <v>Jul</v>
      </c>
      <c r="U1279">
        <f t="shared" si="97"/>
        <v>5</v>
      </c>
      <c r="V1279">
        <f t="shared" si="98"/>
        <v>9</v>
      </c>
      <c r="W1279" s="9">
        <f t="shared" si="99"/>
        <v>0.19655166365565749</v>
      </c>
    </row>
    <row r="1280" spans="1:23">
      <c r="A1280">
        <v>11279</v>
      </c>
      <c r="B1280" s="5">
        <v>45475</v>
      </c>
      <c r="C1280" s="5">
        <v>45481</v>
      </c>
      <c r="D1280" s="5">
        <v>45484</v>
      </c>
      <c r="E1280" t="s">
        <v>19</v>
      </c>
      <c r="F1280" t="s">
        <v>22</v>
      </c>
      <c r="G1280" t="s">
        <v>26</v>
      </c>
      <c r="H1280" t="s">
        <v>33</v>
      </c>
      <c r="I1280" t="s">
        <v>35</v>
      </c>
      <c r="J1280" t="s">
        <v>38</v>
      </c>
      <c r="K1280" t="s">
        <v>47</v>
      </c>
      <c r="L1280" t="s">
        <v>51</v>
      </c>
      <c r="M1280" s="7">
        <v>54877</v>
      </c>
      <c r="N1280">
        <v>0.39</v>
      </c>
      <c r="O1280" s="7">
        <v>12297</v>
      </c>
      <c r="P1280">
        <v>13</v>
      </c>
      <c r="Q1280" t="s">
        <v>56</v>
      </c>
      <c r="R1280" t="s">
        <v>61</v>
      </c>
      <c r="S1280">
        <f t="shared" si="95"/>
        <v>2024</v>
      </c>
      <c r="T1280" t="str">
        <f t="shared" si="96"/>
        <v>Jul</v>
      </c>
      <c r="U1280">
        <f t="shared" si="97"/>
        <v>6</v>
      </c>
      <c r="V1280">
        <f t="shared" si="98"/>
        <v>9</v>
      </c>
      <c r="W1280" s="9">
        <f t="shared" si="99"/>
        <v>0.22408294914080581</v>
      </c>
    </row>
    <row r="1281" spans="1:23">
      <c r="A1281">
        <v>11280</v>
      </c>
      <c r="B1281" s="5">
        <v>45476</v>
      </c>
      <c r="C1281" s="5">
        <v>45480</v>
      </c>
      <c r="D1281" s="5">
        <v>45481</v>
      </c>
      <c r="E1281" t="s">
        <v>19</v>
      </c>
      <c r="F1281" t="s">
        <v>22</v>
      </c>
      <c r="G1281" t="s">
        <v>27</v>
      </c>
      <c r="H1281" t="s">
        <v>30</v>
      </c>
      <c r="I1281" t="s">
        <v>35</v>
      </c>
      <c r="J1281" t="s">
        <v>39</v>
      </c>
      <c r="K1281" t="s">
        <v>44</v>
      </c>
      <c r="L1281" t="s">
        <v>51</v>
      </c>
      <c r="M1281" s="7">
        <v>51530</v>
      </c>
      <c r="N1281">
        <v>0.02</v>
      </c>
      <c r="O1281" s="7">
        <v>18263</v>
      </c>
      <c r="P1281">
        <v>3</v>
      </c>
      <c r="Q1281" t="s">
        <v>58</v>
      </c>
      <c r="R1281" t="s">
        <v>60</v>
      </c>
      <c r="S1281">
        <f t="shared" si="95"/>
        <v>2024</v>
      </c>
      <c r="T1281" t="str">
        <f t="shared" si="96"/>
        <v>Jul</v>
      </c>
      <c r="U1281">
        <f t="shared" si="97"/>
        <v>4</v>
      </c>
      <c r="V1281">
        <f t="shared" si="98"/>
        <v>5</v>
      </c>
      <c r="W1281" s="9">
        <f t="shared" si="99"/>
        <v>0.35441490393945274</v>
      </c>
    </row>
    <row r="1282" spans="1:23">
      <c r="A1282">
        <v>11281</v>
      </c>
      <c r="B1282" s="5">
        <v>45477</v>
      </c>
      <c r="C1282" s="5">
        <v>45482</v>
      </c>
      <c r="D1282" s="5">
        <v>45486</v>
      </c>
      <c r="E1282" t="s">
        <v>20</v>
      </c>
      <c r="F1282" t="s">
        <v>22</v>
      </c>
      <c r="G1282" t="s">
        <v>24</v>
      </c>
      <c r="H1282" t="s">
        <v>25</v>
      </c>
      <c r="I1282" t="s">
        <v>34</v>
      </c>
      <c r="J1282" t="s">
        <v>39</v>
      </c>
      <c r="K1282" t="s">
        <v>44</v>
      </c>
      <c r="L1282" t="s">
        <v>52</v>
      </c>
      <c r="M1282" s="7">
        <v>24859</v>
      </c>
      <c r="N1282">
        <v>0.33</v>
      </c>
      <c r="O1282" s="7">
        <v>5770</v>
      </c>
      <c r="P1282">
        <v>10</v>
      </c>
      <c r="Q1282" t="s">
        <v>55</v>
      </c>
      <c r="R1282" t="s">
        <v>62</v>
      </c>
      <c r="S1282">
        <f t="shared" si="95"/>
        <v>2024</v>
      </c>
      <c r="T1282" t="str">
        <f t="shared" si="96"/>
        <v>Jul</v>
      </c>
      <c r="U1282">
        <f t="shared" si="97"/>
        <v>5</v>
      </c>
      <c r="V1282">
        <f t="shared" si="98"/>
        <v>9</v>
      </c>
      <c r="W1282" s="9">
        <f t="shared" si="99"/>
        <v>0.23210909529747778</v>
      </c>
    </row>
    <row r="1283" spans="1:23">
      <c r="A1283">
        <v>11282</v>
      </c>
      <c r="B1283" s="5">
        <v>45478</v>
      </c>
      <c r="C1283" s="5">
        <v>45480</v>
      </c>
      <c r="D1283" s="5">
        <v>45484</v>
      </c>
      <c r="E1283" t="s">
        <v>18</v>
      </c>
      <c r="F1283" t="s">
        <v>22</v>
      </c>
      <c r="G1283" t="s">
        <v>27</v>
      </c>
      <c r="H1283" t="s">
        <v>32</v>
      </c>
      <c r="I1283" t="s">
        <v>34</v>
      </c>
      <c r="J1283" t="s">
        <v>37</v>
      </c>
      <c r="K1283" t="s">
        <v>48</v>
      </c>
      <c r="L1283" t="s">
        <v>51</v>
      </c>
      <c r="M1283" s="7">
        <v>30267</v>
      </c>
      <c r="N1283">
        <v>0.17</v>
      </c>
      <c r="O1283" s="7">
        <v>13216</v>
      </c>
      <c r="P1283">
        <v>22</v>
      </c>
      <c r="Q1283" t="s">
        <v>56</v>
      </c>
      <c r="R1283" t="s">
        <v>62</v>
      </c>
      <c r="S1283">
        <f t="shared" ref="S1283:S1346" si="100">YEAR(B1283)</f>
        <v>2024</v>
      </c>
      <c r="T1283" t="str">
        <f t="shared" ref="T1283:T1346" si="101">TEXT(B1283,"mmm")</f>
        <v>Jul</v>
      </c>
      <c r="U1283">
        <f t="shared" ref="U1283:U1346" si="102">C1283-B1283</f>
        <v>2</v>
      </c>
      <c r="V1283">
        <f t="shared" ref="V1283:V1346" si="103">D1283-B1283</f>
        <v>6</v>
      </c>
      <c r="W1283" s="9">
        <f t="shared" ref="W1283:W1346" si="104">IFERROR(O1283/M1283,0)</f>
        <v>0.43664717348927873</v>
      </c>
    </row>
    <row r="1284" spans="1:23">
      <c r="A1284">
        <v>11283</v>
      </c>
      <c r="B1284" s="5">
        <v>45479</v>
      </c>
      <c r="C1284" s="5">
        <v>45482</v>
      </c>
      <c r="D1284" s="5">
        <v>45485</v>
      </c>
      <c r="E1284" t="s">
        <v>20</v>
      </c>
      <c r="F1284" t="s">
        <v>22</v>
      </c>
      <c r="G1284" t="s">
        <v>28</v>
      </c>
      <c r="H1284" t="s">
        <v>33</v>
      </c>
      <c r="I1284" t="s">
        <v>35</v>
      </c>
      <c r="J1284" t="s">
        <v>40</v>
      </c>
      <c r="K1284" t="s">
        <v>48</v>
      </c>
      <c r="L1284" t="s">
        <v>51</v>
      </c>
      <c r="M1284" s="7">
        <v>23935</v>
      </c>
      <c r="N1284">
        <v>0.36</v>
      </c>
      <c r="O1284" s="7">
        <v>5119</v>
      </c>
      <c r="P1284">
        <v>6</v>
      </c>
      <c r="Q1284" t="s">
        <v>56</v>
      </c>
      <c r="R1284" t="s">
        <v>62</v>
      </c>
      <c r="S1284">
        <f t="shared" si="100"/>
        <v>2024</v>
      </c>
      <c r="T1284" t="str">
        <f t="shared" si="101"/>
        <v>Jul</v>
      </c>
      <c r="U1284">
        <f t="shared" si="102"/>
        <v>3</v>
      </c>
      <c r="V1284">
        <f t="shared" si="103"/>
        <v>6</v>
      </c>
      <c r="W1284" s="9">
        <f t="shared" si="104"/>
        <v>0.21387090035512848</v>
      </c>
    </row>
    <row r="1285" spans="1:23">
      <c r="A1285">
        <v>11284</v>
      </c>
      <c r="B1285" s="5">
        <v>45480</v>
      </c>
      <c r="C1285" s="5">
        <v>45483</v>
      </c>
      <c r="D1285" s="5">
        <v>45484</v>
      </c>
      <c r="E1285" t="s">
        <v>21</v>
      </c>
      <c r="F1285" t="s">
        <v>22</v>
      </c>
      <c r="G1285" t="s">
        <v>26</v>
      </c>
      <c r="H1285" t="s">
        <v>31</v>
      </c>
      <c r="I1285" t="s">
        <v>35</v>
      </c>
      <c r="J1285" t="s">
        <v>38</v>
      </c>
      <c r="K1285" t="s">
        <v>49</v>
      </c>
      <c r="L1285" t="s">
        <v>51</v>
      </c>
      <c r="M1285" s="7">
        <v>74201</v>
      </c>
      <c r="N1285">
        <v>0.2</v>
      </c>
      <c r="O1285" s="7">
        <v>-263</v>
      </c>
      <c r="P1285">
        <v>2</v>
      </c>
      <c r="Q1285" t="s">
        <v>54</v>
      </c>
      <c r="R1285" t="s">
        <v>59</v>
      </c>
      <c r="S1285">
        <f t="shared" si="100"/>
        <v>2024</v>
      </c>
      <c r="T1285" t="str">
        <f t="shared" si="101"/>
        <v>Jul</v>
      </c>
      <c r="U1285">
        <f t="shared" si="102"/>
        <v>3</v>
      </c>
      <c r="V1285">
        <f t="shared" si="103"/>
        <v>4</v>
      </c>
      <c r="W1285" s="9">
        <f t="shared" si="104"/>
        <v>-3.5444266249780999E-3</v>
      </c>
    </row>
    <row r="1286" spans="1:23">
      <c r="A1286">
        <v>11285</v>
      </c>
      <c r="B1286" s="5">
        <v>45481</v>
      </c>
      <c r="C1286" s="5">
        <v>45483</v>
      </c>
      <c r="D1286" s="5">
        <v>45487</v>
      </c>
      <c r="E1286" t="s">
        <v>19</v>
      </c>
      <c r="F1286" t="s">
        <v>22</v>
      </c>
      <c r="G1286" t="s">
        <v>28</v>
      </c>
      <c r="H1286" t="s">
        <v>33</v>
      </c>
      <c r="I1286" t="s">
        <v>35</v>
      </c>
      <c r="J1286" t="s">
        <v>40</v>
      </c>
      <c r="K1286" t="s">
        <v>48</v>
      </c>
      <c r="L1286" t="s">
        <v>51</v>
      </c>
      <c r="M1286" s="7">
        <v>43733</v>
      </c>
      <c r="N1286">
        <v>0.36</v>
      </c>
      <c r="O1286" s="7">
        <v>2290</v>
      </c>
      <c r="P1286">
        <v>14</v>
      </c>
      <c r="Q1286" t="s">
        <v>58</v>
      </c>
      <c r="R1286" t="s">
        <v>60</v>
      </c>
      <c r="S1286">
        <f t="shared" si="100"/>
        <v>2024</v>
      </c>
      <c r="T1286" t="str">
        <f t="shared" si="101"/>
        <v>Jul</v>
      </c>
      <c r="U1286">
        <f t="shared" si="102"/>
        <v>2</v>
      </c>
      <c r="V1286">
        <f t="shared" si="103"/>
        <v>6</v>
      </c>
      <c r="W1286" s="9">
        <f t="shared" si="104"/>
        <v>5.2363203987835276E-2</v>
      </c>
    </row>
    <row r="1287" spans="1:23">
      <c r="A1287">
        <v>11286</v>
      </c>
      <c r="B1287" s="5">
        <v>45482</v>
      </c>
      <c r="C1287" s="5">
        <v>45484</v>
      </c>
      <c r="D1287" s="5">
        <v>45486</v>
      </c>
      <c r="E1287" t="s">
        <v>21</v>
      </c>
      <c r="F1287" t="s">
        <v>22</v>
      </c>
      <c r="G1287" t="s">
        <v>25</v>
      </c>
      <c r="H1287" t="s">
        <v>33</v>
      </c>
      <c r="I1287" t="s">
        <v>34</v>
      </c>
      <c r="J1287" t="s">
        <v>39</v>
      </c>
      <c r="K1287" t="s">
        <v>50</v>
      </c>
      <c r="L1287" t="s">
        <v>52</v>
      </c>
      <c r="M1287" s="7">
        <v>9895</v>
      </c>
      <c r="N1287">
        <v>0.25</v>
      </c>
      <c r="O1287" s="7">
        <v>4433</v>
      </c>
      <c r="P1287">
        <v>1</v>
      </c>
      <c r="Q1287" t="s">
        <v>54</v>
      </c>
      <c r="R1287" t="s">
        <v>62</v>
      </c>
      <c r="S1287">
        <f t="shared" si="100"/>
        <v>2024</v>
      </c>
      <c r="T1287" t="str">
        <f t="shared" si="101"/>
        <v>Jul</v>
      </c>
      <c r="U1287">
        <f t="shared" si="102"/>
        <v>2</v>
      </c>
      <c r="V1287">
        <f t="shared" si="103"/>
        <v>4</v>
      </c>
      <c r="W1287" s="9">
        <f t="shared" si="104"/>
        <v>0.44800404244567965</v>
      </c>
    </row>
    <row r="1288" spans="1:23">
      <c r="A1288">
        <v>11287</v>
      </c>
      <c r="B1288" s="5">
        <v>45483</v>
      </c>
      <c r="C1288" s="5">
        <v>45485</v>
      </c>
      <c r="D1288" s="5">
        <v>45487</v>
      </c>
      <c r="E1288" t="s">
        <v>20</v>
      </c>
      <c r="F1288" t="s">
        <v>22</v>
      </c>
      <c r="G1288" t="s">
        <v>23</v>
      </c>
      <c r="H1288" t="s">
        <v>30</v>
      </c>
      <c r="I1288" t="s">
        <v>34</v>
      </c>
      <c r="J1288" t="s">
        <v>41</v>
      </c>
      <c r="K1288" t="s">
        <v>45</v>
      </c>
      <c r="L1288" t="s">
        <v>52</v>
      </c>
      <c r="M1288" s="7">
        <v>27567</v>
      </c>
      <c r="N1288">
        <v>0.1</v>
      </c>
      <c r="O1288" s="7">
        <v>14802</v>
      </c>
      <c r="P1288">
        <v>5</v>
      </c>
      <c r="Q1288" t="s">
        <v>55</v>
      </c>
      <c r="R1288" t="s">
        <v>60</v>
      </c>
      <c r="S1288">
        <f t="shared" si="100"/>
        <v>2024</v>
      </c>
      <c r="T1288" t="str">
        <f t="shared" si="101"/>
        <v>Jul</v>
      </c>
      <c r="U1288">
        <f t="shared" si="102"/>
        <v>2</v>
      </c>
      <c r="V1288">
        <f t="shared" si="103"/>
        <v>4</v>
      </c>
      <c r="W1288" s="9">
        <f t="shared" si="104"/>
        <v>0.53694634889541848</v>
      </c>
    </row>
    <row r="1289" spans="1:23">
      <c r="A1289">
        <v>11288</v>
      </c>
      <c r="B1289" s="5">
        <v>45484</v>
      </c>
      <c r="C1289" s="5">
        <v>45490</v>
      </c>
      <c r="D1289" s="5">
        <v>45494</v>
      </c>
      <c r="E1289" t="s">
        <v>18</v>
      </c>
      <c r="F1289" t="s">
        <v>22</v>
      </c>
      <c r="G1289" t="s">
        <v>28</v>
      </c>
      <c r="H1289" t="s">
        <v>31</v>
      </c>
      <c r="I1289" t="s">
        <v>34</v>
      </c>
      <c r="J1289" t="s">
        <v>41</v>
      </c>
      <c r="K1289" t="s">
        <v>44</v>
      </c>
      <c r="L1289" t="s">
        <v>53</v>
      </c>
      <c r="M1289" s="7">
        <v>59773</v>
      </c>
      <c r="N1289">
        <v>0.01</v>
      </c>
      <c r="O1289" s="7">
        <v>8707</v>
      </c>
      <c r="P1289">
        <v>19</v>
      </c>
      <c r="Q1289" t="s">
        <v>57</v>
      </c>
      <c r="R1289" t="s">
        <v>60</v>
      </c>
      <c r="S1289">
        <f t="shared" si="100"/>
        <v>2024</v>
      </c>
      <c r="T1289" t="str">
        <f t="shared" si="101"/>
        <v>Jul</v>
      </c>
      <c r="U1289">
        <f t="shared" si="102"/>
        <v>6</v>
      </c>
      <c r="V1289">
        <f t="shared" si="103"/>
        <v>10</v>
      </c>
      <c r="W1289" s="9">
        <f t="shared" si="104"/>
        <v>0.14566777642079198</v>
      </c>
    </row>
    <row r="1290" spans="1:23">
      <c r="A1290">
        <v>11289</v>
      </c>
      <c r="B1290" s="5">
        <v>45485</v>
      </c>
      <c r="C1290" s="5">
        <v>45488</v>
      </c>
      <c r="D1290" s="5">
        <v>45492</v>
      </c>
      <c r="E1290" t="s">
        <v>18</v>
      </c>
      <c r="F1290" t="s">
        <v>22</v>
      </c>
      <c r="G1290" t="s">
        <v>28</v>
      </c>
      <c r="H1290" t="s">
        <v>33</v>
      </c>
      <c r="I1290" t="s">
        <v>34</v>
      </c>
      <c r="J1290" t="s">
        <v>37</v>
      </c>
      <c r="K1290" t="s">
        <v>45</v>
      </c>
      <c r="L1290" t="s">
        <v>51</v>
      </c>
      <c r="M1290" s="7">
        <v>9185</v>
      </c>
      <c r="N1290">
        <v>0.27</v>
      </c>
      <c r="O1290" s="7">
        <v>3909</v>
      </c>
      <c r="P1290">
        <v>1</v>
      </c>
      <c r="Q1290" t="s">
        <v>54</v>
      </c>
      <c r="R1290" t="s">
        <v>61</v>
      </c>
      <c r="S1290">
        <f t="shared" si="100"/>
        <v>2024</v>
      </c>
      <c r="T1290" t="str">
        <f t="shared" si="101"/>
        <v>Jul</v>
      </c>
      <c r="U1290">
        <f t="shared" si="102"/>
        <v>3</v>
      </c>
      <c r="V1290">
        <f t="shared" si="103"/>
        <v>7</v>
      </c>
      <c r="W1290" s="9">
        <f t="shared" si="104"/>
        <v>0.42558519324986394</v>
      </c>
    </row>
    <row r="1291" spans="1:23">
      <c r="A1291">
        <v>11290</v>
      </c>
      <c r="B1291" s="5">
        <v>45486</v>
      </c>
      <c r="C1291" s="5">
        <v>45489</v>
      </c>
      <c r="D1291" s="5">
        <v>45493</v>
      </c>
      <c r="E1291" t="s">
        <v>21</v>
      </c>
      <c r="F1291" t="s">
        <v>22</v>
      </c>
      <c r="G1291" t="s">
        <v>23</v>
      </c>
      <c r="H1291" t="s">
        <v>31</v>
      </c>
      <c r="I1291" t="s">
        <v>34</v>
      </c>
      <c r="J1291" t="s">
        <v>40</v>
      </c>
      <c r="K1291" t="s">
        <v>50</v>
      </c>
      <c r="L1291" t="s">
        <v>51</v>
      </c>
      <c r="M1291" s="7">
        <v>10943</v>
      </c>
      <c r="N1291">
        <v>0.22</v>
      </c>
      <c r="O1291" s="7">
        <v>-1353</v>
      </c>
      <c r="P1291">
        <v>16</v>
      </c>
      <c r="Q1291" t="s">
        <v>54</v>
      </c>
      <c r="R1291" t="s">
        <v>61</v>
      </c>
      <c r="S1291">
        <f t="shared" si="100"/>
        <v>2024</v>
      </c>
      <c r="T1291" t="str">
        <f t="shared" si="101"/>
        <v>Jul</v>
      </c>
      <c r="U1291">
        <f t="shared" si="102"/>
        <v>3</v>
      </c>
      <c r="V1291">
        <f t="shared" si="103"/>
        <v>7</v>
      </c>
      <c r="W1291" s="9">
        <f t="shared" si="104"/>
        <v>-0.12364068354199031</v>
      </c>
    </row>
    <row r="1292" spans="1:23">
      <c r="A1292">
        <v>11291</v>
      </c>
      <c r="B1292" s="5">
        <v>45487</v>
      </c>
      <c r="C1292" s="5">
        <v>45492</v>
      </c>
      <c r="D1292" s="5">
        <v>45494</v>
      </c>
      <c r="E1292" t="s">
        <v>20</v>
      </c>
      <c r="F1292" t="s">
        <v>22</v>
      </c>
      <c r="G1292" t="s">
        <v>28</v>
      </c>
      <c r="H1292" t="s">
        <v>32</v>
      </c>
      <c r="I1292" t="s">
        <v>36</v>
      </c>
      <c r="J1292" t="s">
        <v>37</v>
      </c>
      <c r="K1292" t="s">
        <v>48</v>
      </c>
      <c r="L1292" t="s">
        <v>53</v>
      </c>
      <c r="M1292" s="7">
        <v>26431</v>
      </c>
      <c r="N1292">
        <v>0.38</v>
      </c>
      <c r="O1292" s="7">
        <v>13870</v>
      </c>
      <c r="P1292">
        <v>1</v>
      </c>
      <c r="Q1292" t="s">
        <v>56</v>
      </c>
      <c r="R1292" t="s">
        <v>60</v>
      </c>
      <c r="S1292">
        <f t="shared" si="100"/>
        <v>2024</v>
      </c>
      <c r="T1292" t="str">
        <f t="shared" si="101"/>
        <v>Jul</v>
      </c>
      <c r="U1292">
        <f t="shared" si="102"/>
        <v>5</v>
      </c>
      <c r="V1292">
        <f t="shared" si="103"/>
        <v>7</v>
      </c>
      <c r="W1292" s="9">
        <f t="shared" si="104"/>
        <v>0.52476258938367826</v>
      </c>
    </row>
    <row r="1293" spans="1:23">
      <c r="A1293">
        <v>11292</v>
      </c>
      <c r="B1293" s="5">
        <v>45488</v>
      </c>
      <c r="C1293" s="5">
        <v>45495</v>
      </c>
      <c r="D1293" s="5">
        <v>45498</v>
      </c>
      <c r="E1293" t="s">
        <v>21</v>
      </c>
      <c r="F1293" t="s">
        <v>22</v>
      </c>
      <c r="G1293" t="s">
        <v>28</v>
      </c>
      <c r="H1293" t="s">
        <v>31</v>
      </c>
      <c r="I1293" t="s">
        <v>36</v>
      </c>
      <c r="J1293" t="s">
        <v>37</v>
      </c>
      <c r="K1293" t="s">
        <v>44</v>
      </c>
      <c r="L1293" t="s">
        <v>52</v>
      </c>
      <c r="M1293" s="7">
        <v>10541</v>
      </c>
      <c r="N1293">
        <v>0.05</v>
      </c>
      <c r="O1293" s="7">
        <v>-395</v>
      </c>
      <c r="P1293">
        <v>3</v>
      </c>
      <c r="Q1293" t="s">
        <v>56</v>
      </c>
      <c r="R1293" t="s">
        <v>62</v>
      </c>
      <c r="S1293">
        <f t="shared" si="100"/>
        <v>2024</v>
      </c>
      <c r="T1293" t="str">
        <f t="shared" si="101"/>
        <v>Jul</v>
      </c>
      <c r="U1293">
        <f t="shared" si="102"/>
        <v>7</v>
      </c>
      <c r="V1293">
        <f t="shared" si="103"/>
        <v>10</v>
      </c>
      <c r="W1293" s="9">
        <f t="shared" si="104"/>
        <v>-3.7472725547860734E-2</v>
      </c>
    </row>
    <row r="1294" spans="1:23">
      <c r="A1294">
        <v>11293</v>
      </c>
      <c r="B1294" s="5">
        <v>45489</v>
      </c>
      <c r="C1294" s="5">
        <v>45493</v>
      </c>
      <c r="D1294" s="5">
        <v>45498</v>
      </c>
      <c r="E1294" t="s">
        <v>18</v>
      </c>
      <c r="F1294" t="s">
        <v>22</v>
      </c>
      <c r="G1294" t="s">
        <v>27</v>
      </c>
      <c r="H1294" t="s">
        <v>29</v>
      </c>
      <c r="I1294" t="s">
        <v>36</v>
      </c>
      <c r="J1294" t="s">
        <v>41</v>
      </c>
      <c r="K1294" t="s">
        <v>44</v>
      </c>
      <c r="L1294" t="s">
        <v>53</v>
      </c>
      <c r="M1294" s="7">
        <v>14807</v>
      </c>
      <c r="N1294">
        <v>0.09</v>
      </c>
      <c r="O1294" s="7">
        <v>-1787</v>
      </c>
      <c r="P1294">
        <v>1</v>
      </c>
      <c r="Q1294" t="s">
        <v>57</v>
      </c>
      <c r="R1294" t="s">
        <v>59</v>
      </c>
      <c r="S1294">
        <f t="shared" si="100"/>
        <v>2024</v>
      </c>
      <c r="T1294" t="str">
        <f t="shared" si="101"/>
        <v>Jul</v>
      </c>
      <c r="U1294">
        <f t="shared" si="102"/>
        <v>4</v>
      </c>
      <c r="V1294">
        <f t="shared" si="103"/>
        <v>9</v>
      </c>
      <c r="W1294" s="9">
        <f t="shared" si="104"/>
        <v>-0.12068616195042885</v>
      </c>
    </row>
    <row r="1295" spans="1:23">
      <c r="A1295">
        <v>11294</v>
      </c>
      <c r="B1295" s="5">
        <v>45490</v>
      </c>
      <c r="C1295" s="5">
        <v>45492</v>
      </c>
      <c r="D1295" s="5">
        <v>45493</v>
      </c>
      <c r="E1295" t="s">
        <v>21</v>
      </c>
      <c r="F1295" t="s">
        <v>22</v>
      </c>
      <c r="G1295" t="s">
        <v>27</v>
      </c>
      <c r="H1295" t="s">
        <v>25</v>
      </c>
      <c r="I1295" t="s">
        <v>36</v>
      </c>
      <c r="J1295" t="s">
        <v>39</v>
      </c>
      <c r="K1295" t="s">
        <v>50</v>
      </c>
      <c r="L1295" t="s">
        <v>53</v>
      </c>
      <c r="M1295" s="7">
        <v>63819</v>
      </c>
      <c r="N1295">
        <v>0.11</v>
      </c>
      <c r="O1295" s="7">
        <v>5982</v>
      </c>
      <c r="P1295">
        <v>11</v>
      </c>
      <c r="Q1295" t="s">
        <v>54</v>
      </c>
      <c r="R1295" t="s">
        <v>62</v>
      </c>
      <c r="S1295">
        <f t="shared" si="100"/>
        <v>2024</v>
      </c>
      <c r="T1295" t="str">
        <f t="shared" si="101"/>
        <v>Jul</v>
      </c>
      <c r="U1295">
        <f t="shared" si="102"/>
        <v>2</v>
      </c>
      <c r="V1295">
        <f t="shared" si="103"/>
        <v>3</v>
      </c>
      <c r="W1295" s="9">
        <f t="shared" si="104"/>
        <v>9.3733841019132236E-2</v>
      </c>
    </row>
    <row r="1296" spans="1:23">
      <c r="A1296">
        <v>11295</v>
      </c>
      <c r="B1296" s="5">
        <v>45491</v>
      </c>
      <c r="C1296" s="5">
        <v>45493</v>
      </c>
      <c r="D1296" s="5">
        <v>45495</v>
      </c>
      <c r="E1296" t="s">
        <v>19</v>
      </c>
      <c r="F1296" t="s">
        <v>22</v>
      </c>
      <c r="G1296" t="s">
        <v>25</v>
      </c>
      <c r="H1296" t="s">
        <v>29</v>
      </c>
      <c r="I1296" t="s">
        <v>36</v>
      </c>
      <c r="J1296" t="s">
        <v>42</v>
      </c>
      <c r="K1296" t="s">
        <v>47</v>
      </c>
      <c r="L1296" t="s">
        <v>53</v>
      </c>
      <c r="M1296" s="7">
        <v>12916</v>
      </c>
      <c r="N1296">
        <v>0.25</v>
      </c>
      <c r="O1296" s="7">
        <v>15586</v>
      </c>
      <c r="P1296">
        <v>21</v>
      </c>
      <c r="Q1296" t="s">
        <v>56</v>
      </c>
      <c r="R1296" t="s">
        <v>61</v>
      </c>
      <c r="S1296">
        <f t="shared" si="100"/>
        <v>2024</v>
      </c>
      <c r="T1296" t="str">
        <f t="shared" si="101"/>
        <v>Jul</v>
      </c>
      <c r="U1296">
        <f t="shared" si="102"/>
        <v>2</v>
      </c>
      <c r="V1296">
        <f t="shared" si="103"/>
        <v>4</v>
      </c>
      <c r="W1296" s="9">
        <f t="shared" si="104"/>
        <v>1.2067203468566119</v>
      </c>
    </row>
    <row r="1297" spans="1:23">
      <c r="A1297">
        <v>11296</v>
      </c>
      <c r="B1297" s="5">
        <v>45492</v>
      </c>
      <c r="C1297" s="5">
        <v>45497</v>
      </c>
      <c r="D1297" s="5">
        <v>45499</v>
      </c>
      <c r="E1297" t="s">
        <v>18</v>
      </c>
      <c r="F1297" t="s">
        <v>22</v>
      </c>
      <c r="G1297" t="s">
        <v>24</v>
      </c>
      <c r="H1297" t="s">
        <v>25</v>
      </c>
      <c r="I1297" t="s">
        <v>36</v>
      </c>
      <c r="J1297" t="s">
        <v>42</v>
      </c>
      <c r="K1297" t="s">
        <v>50</v>
      </c>
      <c r="L1297" t="s">
        <v>51</v>
      </c>
      <c r="M1297" s="7">
        <v>64605</v>
      </c>
      <c r="N1297">
        <v>0.2</v>
      </c>
      <c r="O1297" s="7">
        <v>-1567</v>
      </c>
      <c r="P1297">
        <v>16</v>
      </c>
      <c r="Q1297" t="s">
        <v>58</v>
      </c>
      <c r="R1297" t="s">
        <v>59</v>
      </c>
      <c r="S1297">
        <f t="shared" si="100"/>
        <v>2024</v>
      </c>
      <c r="T1297" t="str">
        <f t="shared" si="101"/>
        <v>Jul</v>
      </c>
      <c r="U1297">
        <f t="shared" si="102"/>
        <v>5</v>
      </c>
      <c r="V1297">
        <f t="shared" si="103"/>
        <v>7</v>
      </c>
      <c r="W1297" s="9">
        <f t="shared" si="104"/>
        <v>-2.4255088615432241E-2</v>
      </c>
    </row>
    <row r="1298" spans="1:23">
      <c r="A1298">
        <v>11297</v>
      </c>
      <c r="B1298" s="5">
        <v>45493</v>
      </c>
      <c r="C1298" s="5">
        <v>45499</v>
      </c>
      <c r="D1298" s="5">
        <v>45503</v>
      </c>
      <c r="E1298" t="s">
        <v>19</v>
      </c>
      <c r="F1298" t="s">
        <v>22</v>
      </c>
      <c r="G1298" t="s">
        <v>25</v>
      </c>
      <c r="H1298" t="s">
        <v>29</v>
      </c>
      <c r="I1298" t="s">
        <v>34</v>
      </c>
      <c r="J1298" t="s">
        <v>39</v>
      </c>
      <c r="K1298" t="s">
        <v>49</v>
      </c>
      <c r="L1298" t="s">
        <v>51</v>
      </c>
      <c r="M1298" s="7">
        <v>58220</v>
      </c>
      <c r="N1298">
        <v>0.09</v>
      </c>
      <c r="O1298" s="7">
        <v>5740</v>
      </c>
      <c r="P1298">
        <v>1</v>
      </c>
      <c r="Q1298" t="s">
        <v>58</v>
      </c>
      <c r="R1298" t="s">
        <v>61</v>
      </c>
      <c r="S1298">
        <f t="shared" si="100"/>
        <v>2024</v>
      </c>
      <c r="T1298" t="str">
        <f t="shared" si="101"/>
        <v>Jul</v>
      </c>
      <c r="U1298">
        <f t="shared" si="102"/>
        <v>6</v>
      </c>
      <c r="V1298">
        <f t="shared" si="103"/>
        <v>10</v>
      </c>
      <c r="W1298" s="9">
        <f t="shared" si="104"/>
        <v>9.8591549295774641E-2</v>
      </c>
    </row>
    <row r="1299" spans="1:23">
      <c r="A1299">
        <v>11298</v>
      </c>
      <c r="B1299" s="5">
        <v>45494</v>
      </c>
      <c r="C1299" s="5">
        <v>45500</v>
      </c>
      <c r="D1299" s="5">
        <v>45501</v>
      </c>
      <c r="E1299" t="s">
        <v>20</v>
      </c>
      <c r="F1299" t="s">
        <v>22</v>
      </c>
      <c r="G1299" t="s">
        <v>28</v>
      </c>
      <c r="H1299" t="s">
        <v>30</v>
      </c>
      <c r="I1299" t="s">
        <v>34</v>
      </c>
      <c r="J1299" t="s">
        <v>40</v>
      </c>
      <c r="K1299" t="s">
        <v>46</v>
      </c>
      <c r="L1299" t="s">
        <v>52</v>
      </c>
      <c r="M1299" s="7">
        <v>72258</v>
      </c>
      <c r="N1299">
        <v>0.02</v>
      </c>
      <c r="O1299" s="7">
        <v>12378</v>
      </c>
      <c r="P1299">
        <v>15</v>
      </c>
      <c r="Q1299" t="s">
        <v>54</v>
      </c>
      <c r="R1299" t="s">
        <v>59</v>
      </c>
      <c r="S1299">
        <f t="shared" si="100"/>
        <v>2024</v>
      </c>
      <c r="T1299" t="str">
        <f t="shared" si="101"/>
        <v>Jul</v>
      </c>
      <c r="U1299">
        <f t="shared" si="102"/>
        <v>6</v>
      </c>
      <c r="V1299">
        <f t="shared" si="103"/>
        <v>7</v>
      </c>
      <c r="W1299" s="9">
        <f t="shared" si="104"/>
        <v>0.17130283152038528</v>
      </c>
    </row>
    <row r="1300" spans="1:23">
      <c r="A1300">
        <v>11299</v>
      </c>
      <c r="B1300" s="5">
        <v>45495</v>
      </c>
      <c r="C1300" s="5">
        <v>45499</v>
      </c>
      <c r="D1300" s="5">
        <v>45501</v>
      </c>
      <c r="E1300" t="s">
        <v>20</v>
      </c>
      <c r="F1300" t="s">
        <v>22</v>
      </c>
      <c r="G1300" t="s">
        <v>26</v>
      </c>
      <c r="H1300" t="s">
        <v>33</v>
      </c>
      <c r="I1300" t="s">
        <v>35</v>
      </c>
      <c r="J1300" t="s">
        <v>41</v>
      </c>
      <c r="K1300" t="s">
        <v>44</v>
      </c>
      <c r="L1300" t="s">
        <v>53</v>
      </c>
      <c r="M1300" s="7">
        <v>68408</v>
      </c>
      <c r="N1300">
        <v>0.1</v>
      </c>
      <c r="O1300" s="7">
        <v>11175</v>
      </c>
      <c r="P1300">
        <v>11</v>
      </c>
      <c r="Q1300" t="s">
        <v>57</v>
      </c>
      <c r="R1300" t="s">
        <v>62</v>
      </c>
      <c r="S1300">
        <f t="shared" si="100"/>
        <v>2024</v>
      </c>
      <c r="T1300" t="str">
        <f t="shared" si="101"/>
        <v>Jul</v>
      </c>
      <c r="U1300">
        <f t="shared" si="102"/>
        <v>4</v>
      </c>
      <c r="V1300">
        <f t="shared" si="103"/>
        <v>6</v>
      </c>
      <c r="W1300" s="9">
        <f t="shared" si="104"/>
        <v>0.1633580867734768</v>
      </c>
    </row>
    <row r="1301" spans="1:23">
      <c r="A1301">
        <v>11300</v>
      </c>
      <c r="B1301" s="5">
        <v>45496</v>
      </c>
      <c r="C1301" s="5">
        <v>45498</v>
      </c>
      <c r="D1301" s="5">
        <v>45501</v>
      </c>
      <c r="E1301" t="s">
        <v>18</v>
      </c>
      <c r="F1301" t="s">
        <v>22</v>
      </c>
      <c r="G1301" t="s">
        <v>27</v>
      </c>
      <c r="H1301" t="s">
        <v>30</v>
      </c>
      <c r="I1301" t="s">
        <v>35</v>
      </c>
      <c r="J1301" t="s">
        <v>40</v>
      </c>
      <c r="K1301" t="s">
        <v>45</v>
      </c>
      <c r="L1301" t="s">
        <v>52</v>
      </c>
      <c r="M1301" s="7">
        <v>60168</v>
      </c>
      <c r="N1301">
        <v>0.24</v>
      </c>
      <c r="O1301" s="7">
        <v>18204</v>
      </c>
      <c r="P1301">
        <v>8</v>
      </c>
      <c r="Q1301" t="s">
        <v>58</v>
      </c>
      <c r="R1301" t="s">
        <v>59</v>
      </c>
      <c r="S1301">
        <f t="shared" si="100"/>
        <v>2024</v>
      </c>
      <c r="T1301" t="str">
        <f t="shared" si="101"/>
        <v>Jul</v>
      </c>
      <c r="U1301">
        <f t="shared" si="102"/>
        <v>2</v>
      </c>
      <c r="V1301">
        <f t="shared" si="103"/>
        <v>5</v>
      </c>
      <c r="W1301" s="9">
        <f t="shared" si="104"/>
        <v>0.30255285201435977</v>
      </c>
    </row>
    <row r="1302" spans="1:23">
      <c r="A1302">
        <v>11301</v>
      </c>
      <c r="B1302" s="5">
        <v>45497</v>
      </c>
      <c r="C1302" s="5">
        <v>45501</v>
      </c>
      <c r="D1302" s="5">
        <v>45503</v>
      </c>
      <c r="E1302" t="s">
        <v>19</v>
      </c>
      <c r="F1302" t="s">
        <v>22</v>
      </c>
      <c r="G1302" t="s">
        <v>25</v>
      </c>
      <c r="H1302" t="s">
        <v>33</v>
      </c>
      <c r="I1302" t="s">
        <v>35</v>
      </c>
      <c r="J1302" t="s">
        <v>38</v>
      </c>
      <c r="K1302" t="s">
        <v>49</v>
      </c>
      <c r="L1302" t="s">
        <v>51</v>
      </c>
      <c r="M1302" s="7">
        <v>14923</v>
      </c>
      <c r="N1302">
        <v>0.3</v>
      </c>
      <c r="O1302" s="7">
        <v>1510</v>
      </c>
      <c r="P1302">
        <v>15</v>
      </c>
      <c r="Q1302" t="s">
        <v>57</v>
      </c>
      <c r="R1302" t="s">
        <v>60</v>
      </c>
      <c r="S1302">
        <f t="shared" si="100"/>
        <v>2024</v>
      </c>
      <c r="T1302" t="str">
        <f t="shared" si="101"/>
        <v>Jul</v>
      </c>
      <c r="U1302">
        <f t="shared" si="102"/>
        <v>4</v>
      </c>
      <c r="V1302">
        <f t="shared" si="103"/>
        <v>6</v>
      </c>
      <c r="W1302" s="9">
        <f t="shared" si="104"/>
        <v>0.1011860885880855</v>
      </c>
    </row>
    <row r="1303" spans="1:23">
      <c r="A1303">
        <v>11302</v>
      </c>
      <c r="B1303" s="5">
        <v>45498</v>
      </c>
      <c r="C1303" s="5">
        <v>45501</v>
      </c>
      <c r="D1303" s="5">
        <v>45503</v>
      </c>
      <c r="E1303" t="s">
        <v>21</v>
      </c>
      <c r="F1303" t="s">
        <v>22</v>
      </c>
      <c r="G1303" t="s">
        <v>23</v>
      </c>
      <c r="H1303" t="s">
        <v>33</v>
      </c>
      <c r="I1303" t="s">
        <v>36</v>
      </c>
      <c r="J1303" t="s">
        <v>38</v>
      </c>
      <c r="K1303" t="s">
        <v>47</v>
      </c>
      <c r="L1303" t="s">
        <v>52</v>
      </c>
      <c r="M1303" s="7">
        <v>36156</v>
      </c>
      <c r="N1303">
        <v>0.3</v>
      </c>
      <c r="O1303" s="7">
        <v>9371</v>
      </c>
      <c r="P1303">
        <v>2</v>
      </c>
      <c r="Q1303" t="s">
        <v>58</v>
      </c>
      <c r="R1303" t="s">
        <v>59</v>
      </c>
      <c r="S1303">
        <f t="shared" si="100"/>
        <v>2024</v>
      </c>
      <c r="T1303" t="str">
        <f t="shared" si="101"/>
        <v>Jul</v>
      </c>
      <c r="U1303">
        <f t="shared" si="102"/>
        <v>3</v>
      </c>
      <c r="V1303">
        <f t="shared" si="103"/>
        <v>5</v>
      </c>
      <c r="W1303" s="9">
        <f t="shared" si="104"/>
        <v>0.25918243168492089</v>
      </c>
    </row>
    <row r="1304" spans="1:23">
      <c r="A1304">
        <v>11303</v>
      </c>
      <c r="B1304" s="5">
        <v>45499</v>
      </c>
      <c r="C1304" s="5">
        <v>45501</v>
      </c>
      <c r="D1304" s="5">
        <v>45502</v>
      </c>
      <c r="E1304" t="s">
        <v>18</v>
      </c>
      <c r="F1304" t="s">
        <v>22</v>
      </c>
      <c r="G1304" t="s">
        <v>27</v>
      </c>
      <c r="H1304" t="s">
        <v>32</v>
      </c>
      <c r="I1304" t="s">
        <v>36</v>
      </c>
      <c r="J1304" t="s">
        <v>38</v>
      </c>
      <c r="K1304" t="s">
        <v>48</v>
      </c>
      <c r="L1304" t="s">
        <v>53</v>
      </c>
      <c r="M1304" s="7">
        <v>3347</v>
      </c>
      <c r="N1304">
        <v>7.0000000000000007E-2</v>
      </c>
      <c r="O1304" s="7">
        <v>4597</v>
      </c>
      <c r="P1304">
        <v>18</v>
      </c>
      <c r="Q1304" t="s">
        <v>57</v>
      </c>
      <c r="R1304" t="s">
        <v>62</v>
      </c>
      <c r="S1304">
        <f t="shared" si="100"/>
        <v>2024</v>
      </c>
      <c r="T1304" t="str">
        <f t="shared" si="101"/>
        <v>Jul</v>
      </c>
      <c r="U1304">
        <f t="shared" si="102"/>
        <v>2</v>
      </c>
      <c r="V1304">
        <f t="shared" si="103"/>
        <v>3</v>
      </c>
      <c r="W1304" s="9">
        <f t="shared" si="104"/>
        <v>1.3734687780101584</v>
      </c>
    </row>
    <row r="1305" spans="1:23">
      <c r="A1305">
        <v>11304</v>
      </c>
      <c r="B1305" s="5">
        <v>45500</v>
      </c>
      <c r="C1305" s="5">
        <v>45506</v>
      </c>
      <c r="D1305" s="5">
        <v>45511</v>
      </c>
      <c r="E1305" t="s">
        <v>19</v>
      </c>
      <c r="F1305" t="s">
        <v>22</v>
      </c>
      <c r="G1305" t="s">
        <v>28</v>
      </c>
      <c r="H1305" t="s">
        <v>31</v>
      </c>
      <c r="I1305" t="s">
        <v>35</v>
      </c>
      <c r="J1305" t="s">
        <v>40</v>
      </c>
      <c r="K1305" t="s">
        <v>48</v>
      </c>
      <c r="L1305" t="s">
        <v>51</v>
      </c>
      <c r="M1305" s="7">
        <v>47400</v>
      </c>
      <c r="N1305">
        <v>0.1</v>
      </c>
      <c r="O1305" s="7">
        <v>12135</v>
      </c>
      <c r="P1305">
        <v>24</v>
      </c>
      <c r="Q1305" t="s">
        <v>54</v>
      </c>
      <c r="R1305" t="s">
        <v>60</v>
      </c>
      <c r="S1305">
        <f t="shared" si="100"/>
        <v>2024</v>
      </c>
      <c r="T1305" t="str">
        <f t="shared" si="101"/>
        <v>Jul</v>
      </c>
      <c r="U1305">
        <f t="shared" si="102"/>
        <v>6</v>
      </c>
      <c r="V1305">
        <f t="shared" si="103"/>
        <v>11</v>
      </c>
      <c r="W1305" s="9">
        <f t="shared" si="104"/>
        <v>0.25601265822784808</v>
      </c>
    </row>
    <row r="1306" spans="1:23">
      <c r="A1306">
        <v>11305</v>
      </c>
      <c r="B1306" s="5">
        <v>45501</v>
      </c>
      <c r="C1306" s="5">
        <v>45504</v>
      </c>
      <c r="D1306" s="5">
        <v>45507</v>
      </c>
      <c r="E1306" t="s">
        <v>20</v>
      </c>
      <c r="F1306" t="s">
        <v>22</v>
      </c>
      <c r="G1306" t="s">
        <v>23</v>
      </c>
      <c r="H1306" t="s">
        <v>32</v>
      </c>
      <c r="I1306" t="s">
        <v>35</v>
      </c>
      <c r="J1306" t="s">
        <v>42</v>
      </c>
      <c r="K1306" t="s">
        <v>48</v>
      </c>
      <c r="L1306" t="s">
        <v>52</v>
      </c>
      <c r="M1306" s="7">
        <v>30837</v>
      </c>
      <c r="N1306">
        <v>0.13</v>
      </c>
      <c r="O1306" s="7">
        <v>16626</v>
      </c>
      <c r="P1306">
        <v>14</v>
      </c>
      <c r="Q1306" t="s">
        <v>56</v>
      </c>
      <c r="R1306" t="s">
        <v>59</v>
      </c>
      <c r="S1306">
        <f t="shared" si="100"/>
        <v>2024</v>
      </c>
      <c r="T1306" t="str">
        <f t="shared" si="101"/>
        <v>Jul</v>
      </c>
      <c r="U1306">
        <f t="shared" si="102"/>
        <v>3</v>
      </c>
      <c r="V1306">
        <f t="shared" si="103"/>
        <v>6</v>
      </c>
      <c r="W1306" s="9">
        <f t="shared" si="104"/>
        <v>0.53915750559392939</v>
      </c>
    </row>
    <row r="1307" spans="1:23">
      <c r="A1307">
        <v>11306</v>
      </c>
      <c r="B1307" s="5">
        <v>45502</v>
      </c>
      <c r="C1307" s="5">
        <v>45507</v>
      </c>
      <c r="D1307" s="5">
        <v>45509</v>
      </c>
      <c r="E1307" t="s">
        <v>19</v>
      </c>
      <c r="F1307" t="s">
        <v>22</v>
      </c>
      <c r="G1307" t="s">
        <v>27</v>
      </c>
      <c r="H1307" t="s">
        <v>30</v>
      </c>
      <c r="I1307" t="s">
        <v>35</v>
      </c>
      <c r="J1307" t="s">
        <v>42</v>
      </c>
      <c r="K1307" t="s">
        <v>44</v>
      </c>
      <c r="L1307" t="s">
        <v>51</v>
      </c>
      <c r="M1307" s="7">
        <v>36798</v>
      </c>
      <c r="N1307">
        <v>0.17</v>
      </c>
      <c r="O1307" s="7">
        <v>14949</v>
      </c>
      <c r="P1307">
        <v>18</v>
      </c>
      <c r="Q1307" t="s">
        <v>55</v>
      </c>
      <c r="R1307" t="s">
        <v>61</v>
      </c>
      <c r="S1307">
        <f t="shared" si="100"/>
        <v>2024</v>
      </c>
      <c r="T1307" t="str">
        <f t="shared" si="101"/>
        <v>Jul</v>
      </c>
      <c r="U1307">
        <f t="shared" si="102"/>
        <v>5</v>
      </c>
      <c r="V1307">
        <f t="shared" si="103"/>
        <v>7</v>
      </c>
      <c r="W1307" s="9">
        <f t="shared" si="104"/>
        <v>0.40624490461438123</v>
      </c>
    </row>
    <row r="1308" spans="1:23">
      <c r="A1308">
        <v>11307</v>
      </c>
      <c r="B1308" s="5">
        <v>45503</v>
      </c>
      <c r="C1308" s="5">
        <v>45509</v>
      </c>
      <c r="D1308" s="5">
        <v>45511</v>
      </c>
      <c r="E1308" t="s">
        <v>18</v>
      </c>
      <c r="F1308" t="s">
        <v>22</v>
      </c>
      <c r="G1308" t="s">
        <v>25</v>
      </c>
      <c r="H1308" t="s">
        <v>25</v>
      </c>
      <c r="I1308" t="s">
        <v>35</v>
      </c>
      <c r="J1308" t="s">
        <v>42</v>
      </c>
      <c r="K1308" t="s">
        <v>45</v>
      </c>
      <c r="L1308" t="s">
        <v>52</v>
      </c>
      <c r="M1308" s="7">
        <v>11837</v>
      </c>
      <c r="N1308">
        <v>0.08</v>
      </c>
      <c r="O1308" s="7">
        <v>7398</v>
      </c>
      <c r="P1308">
        <v>8</v>
      </c>
      <c r="Q1308" t="s">
        <v>54</v>
      </c>
      <c r="R1308" t="s">
        <v>62</v>
      </c>
      <c r="S1308">
        <f t="shared" si="100"/>
        <v>2024</v>
      </c>
      <c r="T1308" t="str">
        <f t="shared" si="101"/>
        <v>Jul</v>
      </c>
      <c r="U1308">
        <f t="shared" si="102"/>
        <v>6</v>
      </c>
      <c r="V1308">
        <f t="shared" si="103"/>
        <v>8</v>
      </c>
      <c r="W1308" s="9">
        <f t="shared" si="104"/>
        <v>0.62498943989186451</v>
      </c>
    </row>
    <row r="1309" spans="1:23">
      <c r="A1309">
        <v>11308</v>
      </c>
      <c r="B1309" s="5">
        <v>45504</v>
      </c>
      <c r="C1309" s="5">
        <v>45507</v>
      </c>
      <c r="D1309" s="5">
        <v>45511</v>
      </c>
      <c r="E1309" t="s">
        <v>18</v>
      </c>
      <c r="F1309" t="s">
        <v>22</v>
      </c>
      <c r="G1309" t="s">
        <v>28</v>
      </c>
      <c r="H1309" t="s">
        <v>29</v>
      </c>
      <c r="I1309" t="s">
        <v>36</v>
      </c>
      <c r="J1309" t="s">
        <v>39</v>
      </c>
      <c r="K1309" t="s">
        <v>46</v>
      </c>
      <c r="L1309" t="s">
        <v>51</v>
      </c>
      <c r="M1309" s="7">
        <v>35642</v>
      </c>
      <c r="N1309">
        <v>0.36</v>
      </c>
      <c r="O1309" s="7">
        <v>-915</v>
      </c>
      <c r="P1309">
        <v>10</v>
      </c>
      <c r="Q1309" t="s">
        <v>57</v>
      </c>
      <c r="R1309" t="s">
        <v>61</v>
      </c>
      <c r="S1309">
        <f t="shared" si="100"/>
        <v>2024</v>
      </c>
      <c r="T1309" t="str">
        <f t="shared" si="101"/>
        <v>Jul</v>
      </c>
      <c r="U1309">
        <f t="shared" si="102"/>
        <v>3</v>
      </c>
      <c r="V1309">
        <f t="shared" si="103"/>
        <v>7</v>
      </c>
      <c r="W1309" s="9">
        <f t="shared" si="104"/>
        <v>-2.56719600471354E-2</v>
      </c>
    </row>
    <row r="1310" spans="1:23">
      <c r="A1310">
        <v>11309</v>
      </c>
      <c r="B1310" s="5">
        <v>45505</v>
      </c>
      <c r="C1310" s="5">
        <v>45512</v>
      </c>
      <c r="D1310" s="5">
        <v>45515</v>
      </c>
      <c r="E1310" t="s">
        <v>19</v>
      </c>
      <c r="F1310" t="s">
        <v>22</v>
      </c>
      <c r="G1310" t="s">
        <v>26</v>
      </c>
      <c r="H1310" t="s">
        <v>25</v>
      </c>
      <c r="I1310" t="s">
        <v>35</v>
      </c>
      <c r="J1310" t="s">
        <v>43</v>
      </c>
      <c r="K1310" t="s">
        <v>49</v>
      </c>
      <c r="L1310" t="s">
        <v>51</v>
      </c>
      <c r="M1310" s="7">
        <v>56423</v>
      </c>
      <c r="N1310">
        <v>0.26</v>
      </c>
      <c r="O1310" s="7">
        <v>15968</v>
      </c>
      <c r="P1310">
        <v>9</v>
      </c>
      <c r="Q1310" t="s">
        <v>54</v>
      </c>
      <c r="R1310" t="s">
        <v>60</v>
      </c>
      <c r="S1310">
        <f t="shared" si="100"/>
        <v>2024</v>
      </c>
      <c r="T1310" t="str">
        <f t="shared" si="101"/>
        <v>Aug</v>
      </c>
      <c r="U1310">
        <f t="shared" si="102"/>
        <v>7</v>
      </c>
      <c r="V1310">
        <f t="shared" si="103"/>
        <v>10</v>
      </c>
      <c r="W1310" s="9">
        <f t="shared" si="104"/>
        <v>0.283005157471244</v>
      </c>
    </row>
    <row r="1311" spans="1:23">
      <c r="A1311">
        <v>11310</v>
      </c>
      <c r="B1311" s="5">
        <v>45506</v>
      </c>
      <c r="C1311" s="5">
        <v>45512</v>
      </c>
      <c r="D1311" s="5">
        <v>45516</v>
      </c>
      <c r="E1311" t="s">
        <v>19</v>
      </c>
      <c r="F1311" t="s">
        <v>22</v>
      </c>
      <c r="G1311" t="s">
        <v>23</v>
      </c>
      <c r="H1311" t="s">
        <v>31</v>
      </c>
      <c r="I1311" t="s">
        <v>36</v>
      </c>
      <c r="J1311" t="s">
        <v>38</v>
      </c>
      <c r="K1311" t="s">
        <v>49</v>
      </c>
      <c r="L1311" t="s">
        <v>52</v>
      </c>
      <c r="M1311" s="7">
        <v>73769</v>
      </c>
      <c r="N1311">
        <v>0.28999999999999998</v>
      </c>
      <c r="O1311" s="7">
        <v>2962</v>
      </c>
      <c r="P1311">
        <v>22</v>
      </c>
      <c r="Q1311" t="s">
        <v>57</v>
      </c>
      <c r="R1311" t="s">
        <v>61</v>
      </c>
      <c r="S1311">
        <f t="shared" si="100"/>
        <v>2024</v>
      </c>
      <c r="T1311" t="str">
        <f t="shared" si="101"/>
        <v>Aug</v>
      </c>
      <c r="U1311">
        <f t="shared" si="102"/>
        <v>6</v>
      </c>
      <c r="V1311">
        <f t="shared" si="103"/>
        <v>10</v>
      </c>
      <c r="W1311" s="9">
        <f t="shared" si="104"/>
        <v>4.015236752565441E-2</v>
      </c>
    </row>
    <row r="1312" spans="1:23">
      <c r="A1312">
        <v>11311</v>
      </c>
      <c r="B1312" s="5">
        <v>45507</v>
      </c>
      <c r="C1312" s="5">
        <v>45513</v>
      </c>
      <c r="D1312" s="5">
        <v>45517</v>
      </c>
      <c r="E1312" t="s">
        <v>21</v>
      </c>
      <c r="F1312" t="s">
        <v>22</v>
      </c>
      <c r="G1312" t="s">
        <v>25</v>
      </c>
      <c r="H1312" t="s">
        <v>25</v>
      </c>
      <c r="I1312" t="s">
        <v>36</v>
      </c>
      <c r="J1312" t="s">
        <v>37</v>
      </c>
      <c r="K1312" t="s">
        <v>44</v>
      </c>
      <c r="L1312" t="s">
        <v>51</v>
      </c>
      <c r="M1312" s="7">
        <v>21109</v>
      </c>
      <c r="N1312">
        <v>0.06</v>
      </c>
      <c r="O1312" s="7">
        <v>2950</v>
      </c>
      <c r="P1312">
        <v>18</v>
      </c>
      <c r="Q1312" t="s">
        <v>58</v>
      </c>
      <c r="R1312" t="s">
        <v>60</v>
      </c>
      <c r="S1312">
        <f t="shared" si="100"/>
        <v>2024</v>
      </c>
      <c r="T1312" t="str">
        <f t="shared" si="101"/>
        <v>Aug</v>
      </c>
      <c r="U1312">
        <f t="shared" si="102"/>
        <v>6</v>
      </c>
      <c r="V1312">
        <f t="shared" si="103"/>
        <v>10</v>
      </c>
      <c r="W1312" s="9">
        <f t="shared" si="104"/>
        <v>0.13975081718698185</v>
      </c>
    </row>
    <row r="1313" spans="1:23">
      <c r="A1313">
        <v>11312</v>
      </c>
      <c r="B1313" s="5">
        <v>45508</v>
      </c>
      <c r="C1313" s="5">
        <v>45515</v>
      </c>
      <c r="D1313" s="5">
        <v>45516</v>
      </c>
      <c r="E1313" t="s">
        <v>19</v>
      </c>
      <c r="F1313" t="s">
        <v>22</v>
      </c>
      <c r="G1313" t="s">
        <v>28</v>
      </c>
      <c r="H1313" t="s">
        <v>32</v>
      </c>
      <c r="I1313" t="s">
        <v>36</v>
      </c>
      <c r="J1313" t="s">
        <v>37</v>
      </c>
      <c r="K1313" t="s">
        <v>45</v>
      </c>
      <c r="L1313" t="s">
        <v>52</v>
      </c>
      <c r="M1313" s="7">
        <v>57612</v>
      </c>
      <c r="N1313">
        <v>0.06</v>
      </c>
      <c r="O1313" s="7">
        <v>2343</v>
      </c>
      <c r="P1313">
        <v>12</v>
      </c>
      <c r="Q1313" t="s">
        <v>56</v>
      </c>
      <c r="R1313" t="s">
        <v>59</v>
      </c>
      <c r="S1313">
        <f t="shared" si="100"/>
        <v>2024</v>
      </c>
      <c r="T1313" t="str">
        <f t="shared" si="101"/>
        <v>Aug</v>
      </c>
      <c r="U1313">
        <f t="shared" si="102"/>
        <v>7</v>
      </c>
      <c r="V1313">
        <f t="shared" si="103"/>
        <v>8</v>
      </c>
      <c r="W1313" s="9">
        <f t="shared" si="104"/>
        <v>4.0668610706102892E-2</v>
      </c>
    </row>
    <row r="1314" spans="1:23">
      <c r="A1314">
        <v>11313</v>
      </c>
      <c r="B1314" s="5">
        <v>45509</v>
      </c>
      <c r="C1314" s="5">
        <v>45516</v>
      </c>
      <c r="D1314" s="5">
        <v>45519</v>
      </c>
      <c r="E1314" t="s">
        <v>20</v>
      </c>
      <c r="F1314" t="s">
        <v>22</v>
      </c>
      <c r="G1314" t="s">
        <v>25</v>
      </c>
      <c r="H1314" t="s">
        <v>25</v>
      </c>
      <c r="I1314" t="s">
        <v>34</v>
      </c>
      <c r="J1314" t="s">
        <v>42</v>
      </c>
      <c r="K1314" t="s">
        <v>49</v>
      </c>
      <c r="L1314" t="s">
        <v>52</v>
      </c>
      <c r="M1314" s="7">
        <v>64451</v>
      </c>
      <c r="N1314">
        <v>0.21</v>
      </c>
      <c r="O1314" s="7">
        <v>3728</v>
      </c>
      <c r="P1314">
        <v>3</v>
      </c>
      <c r="Q1314" t="s">
        <v>54</v>
      </c>
      <c r="R1314" t="s">
        <v>60</v>
      </c>
      <c r="S1314">
        <f t="shared" si="100"/>
        <v>2024</v>
      </c>
      <c r="T1314" t="str">
        <f t="shared" si="101"/>
        <v>Aug</v>
      </c>
      <c r="U1314">
        <f t="shared" si="102"/>
        <v>7</v>
      </c>
      <c r="V1314">
        <f t="shared" si="103"/>
        <v>10</v>
      </c>
      <c r="W1314" s="9">
        <f t="shared" si="104"/>
        <v>5.7842391894617616E-2</v>
      </c>
    </row>
    <row r="1315" spans="1:23">
      <c r="A1315">
        <v>11314</v>
      </c>
      <c r="B1315" s="5">
        <v>45510</v>
      </c>
      <c r="C1315" s="5">
        <v>45512</v>
      </c>
      <c r="D1315" s="5">
        <v>45515</v>
      </c>
      <c r="E1315" t="s">
        <v>18</v>
      </c>
      <c r="F1315" t="s">
        <v>22</v>
      </c>
      <c r="G1315" t="s">
        <v>23</v>
      </c>
      <c r="H1315" t="s">
        <v>25</v>
      </c>
      <c r="I1315" t="s">
        <v>35</v>
      </c>
      <c r="J1315" t="s">
        <v>37</v>
      </c>
      <c r="K1315" t="s">
        <v>44</v>
      </c>
      <c r="L1315" t="s">
        <v>51</v>
      </c>
      <c r="M1315" s="7">
        <v>34612</v>
      </c>
      <c r="N1315">
        <v>0.23</v>
      </c>
      <c r="O1315" s="7">
        <v>4853</v>
      </c>
      <c r="P1315">
        <v>3</v>
      </c>
      <c r="Q1315" t="s">
        <v>54</v>
      </c>
      <c r="R1315" t="s">
        <v>61</v>
      </c>
      <c r="S1315">
        <f t="shared" si="100"/>
        <v>2024</v>
      </c>
      <c r="T1315" t="str">
        <f t="shared" si="101"/>
        <v>Aug</v>
      </c>
      <c r="U1315">
        <f t="shared" si="102"/>
        <v>2</v>
      </c>
      <c r="V1315">
        <f t="shared" si="103"/>
        <v>5</v>
      </c>
      <c r="W1315" s="9">
        <f t="shared" si="104"/>
        <v>0.14021148734542932</v>
      </c>
    </row>
    <row r="1316" spans="1:23">
      <c r="A1316">
        <v>11315</v>
      </c>
      <c r="B1316" s="5">
        <v>45511</v>
      </c>
      <c r="C1316" s="5">
        <v>45516</v>
      </c>
      <c r="D1316" s="5">
        <v>45519</v>
      </c>
      <c r="E1316" t="s">
        <v>21</v>
      </c>
      <c r="F1316" t="s">
        <v>22</v>
      </c>
      <c r="G1316" t="s">
        <v>26</v>
      </c>
      <c r="H1316" t="s">
        <v>31</v>
      </c>
      <c r="I1316" t="s">
        <v>36</v>
      </c>
      <c r="J1316" t="s">
        <v>41</v>
      </c>
      <c r="K1316" t="s">
        <v>49</v>
      </c>
      <c r="L1316" t="s">
        <v>53</v>
      </c>
      <c r="M1316" s="7">
        <v>6013</v>
      </c>
      <c r="N1316">
        <v>0.31</v>
      </c>
      <c r="O1316" s="7">
        <v>11114</v>
      </c>
      <c r="P1316">
        <v>19</v>
      </c>
      <c r="Q1316" t="s">
        <v>58</v>
      </c>
      <c r="R1316" t="s">
        <v>59</v>
      </c>
      <c r="S1316">
        <f t="shared" si="100"/>
        <v>2024</v>
      </c>
      <c r="T1316" t="str">
        <f t="shared" si="101"/>
        <v>Aug</v>
      </c>
      <c r="U1316">
        <f t="shared" si="102"/>
        <v>5</v>
      </c>
      <c r="V1316">
        <f t="shared" si="103"/>
        <v>8</v>
      </c>
      <c r="W1316" s="9">
        <f t="shared" si="104"/>
        <v>1.8483286213204724</v>
      </c>
    </row>
    <row r="1317" spans="1:23">
      <c r="A1317">
        <v>11316</v>
      </c>
      <c r="B1317" s="5">
        <v>45512</v>
      </c>
      <c r="C1317" s="5">
        <v>45515</v>
      </c>
      <c r="D1317" s="5">
        <v>45516</v>
      </c>
      <c r="E1317" t="s">
        <v>19</v>
      </c>
      <c r="F1317" t="s">
        <v>22</v>
      </c>
      <c r="G1317" t="s">
        <v>23</v>
      </c>
      <c r="H1317" t="s">
        <v>29</v>
      </c>
      <c r="I1317" t="s">
        <v>36</v>
      </c>
      <c r="J1317" t="s">
        <v>38</v>
      </c>
      <c r="K1317" t="s">
        <v>47</v>
      </c>
      <c r="L1317" t="s">
        <v>52</v>
      </c>
      <c r="M1317" s="7">
        <v>38532</v>
      </c>
      <c r="N1317">
        <v>0.05</v>
      </c>
      <c r="O1317" s="7">
        <v>11849</v>
      </c>
      <c r="P1317">
        <v>22</v>
      </c>
      <c r="Q1317" t="s">
        <v>54</v>
      </c>
      <c r="R1317" t="s">
        <v>61</v>
      </c>
      <c r="S1317">
        <f t="shared" si="100"/>
        <v>2024</v>
      </c>
      <c r="T1317" t="str">
        <f t="shared" si="101"/>
        <v>Aug</v>
      </c>
      <c r="U1317">
        <f t="shared" si="102"/>
        <v>3</v>
      </c>
      <c r="V1317">
        <f t="shared" si="103"/>
        <v>4</v>
      </c>
      <c r="W1317" s="9">
        <f t="shared" si="104"/>
        <v>0.30751064050659194</v>
      </c>
    </row>
    <row r="1318" spans="1:23">
      <c r="A1318">
        <v>11317</v>
      </c>
      <c r="B1318" s="5">
        <v>45513</v>
      </c>
      <c r="C1318" s="5">
        <v>45516</v>
      </c>
      <c r="D1318" s="5">
        <v>45519</v>
      </c>
      <c r="E1318" t="s">
        <v>19</v>
      </c>
      <c r="F1318" t="s">
        <v>22</v>
      </c>
      <c r="G1318" t="s">
        <v>23</v>
      </c>
      <c r="H1318" t="s">
        <v>33</v>
      </c>
      <c r="I1318" t="s">
        <v>35</v>
      </c>
      <c r="J1318" t="s">
        <v>40</v>
      </c>
      <c r="K1318" t="s">
        <v>50</v>
      </c>
      <c r="L1318" t="s">
        <v>52</v>
      </c>
      <c r="M1318" s="7">
        <v>45764</v>
      </c>
      <c r="N1318">
        <v>0.15</v>
      </c>
      <c r="O1318" s="7">
        <v>18576</v>
      </c>
      <c r="P1318">
        <v>1</v>
      </c>
      <c r="Q1318" t="s">
        <v>54</v>
      </c>
      <c r="R1318" t="s">
        <v>62</v>
      </c>
      <c r="S1318">
        <f t="shared" si="100"/>
        <v>2024</v>
      </c>
      <c r="T1318" t="str">
        <f t="shared" si="101"/>
        <v>Aug</v>
      </c>
      <c r="U1318">
        <f t="shared" si="102"/>
        <v>3</v>
      </c>
      <c r="V1318">
        <f t="shared" si="103"/>
        <v>6</v>
      </c>
      <c r="W1318" s="9">
        <f t="shared" si="104"/>
        <v>0.40590857442531247</v>
      </c>
    </row>
    <row r="1319" spans="1:23">
      <c r="A1319">
        <v>11318</v>
      </c>
      <c r="B1319" s="5">
        <v>45514</v>
      </c>
      <c r="C1319" s="5">
        <v>45521</v>
      </c>
      <c r="D1319" s="5">
        <v>45526</v>
      </c>
      <c r="E1319" t="s">
        <v>18</v>
      </c>
      <c r="F1319" t="s">
        <v>22</v>
      </c>
      <c r="G1319" t="s">
        <v>28</v>
      </c>
      <c r="H1319" t="s">
        <v>31</v>
      </c>
      <c r="I1319" t="s">
        <v>34</v>
      </c>
      <c r="J1319" t="s">
        <v>43</v>
      </c>
      <c r="K1319" t="s">
        <v>50</v>
      </c>
      <c r="L1319" t="s">
        <v>51</v>
      </c>
      <c r="M1319" s="7">
        <v>41383</v>
      </c>
      <c r="N1319">
        <v>0.28000000000000003</v>
      </c>
      <c r="O1319" s="7">
        <v>6844</v>
      </c>
      <c r="P1319">
        <v>7</v>
      </c>
      <c r="Q1319" t="s">
        <v>55</v>
      </c>
      <c r="R1319" t="s">
        <v>61</v>
      </c>
      <c r="S1319">
        <f t="shared" si="100"/>
        <v>2024</v>
      </c>
      <c r="T1319" t="str">
        <f t="shared" si="101"/>
        <v>Aug</v>
      </c>
      <c r="U1319">
        <f t="shared" si="102"/>
        <v>7</v>
      </c>
      <c r="V1319">
        <f t="shared" si="103"/>
        <v>12</v>
      </c>
      <c r="W1319" s="9">
        <f t="shared" si="104"/>
        <v>0.16538192011212333</v>
      </c>
    </row>
    <row r="1320" spans="1:23">
      <c r="A1320">
        <v>11319</v>
      </c>
      <c r="B1320" s="5">
        <v>45515</v>
      </c>
      <c r="C1320" s="5">
        <v>45518</v>
      </c>
      <c r="D1320" s="5">
        <v>45519</v>
      </c>
      <c r="E1320" t="s">
        <v>18</v>
      </c>
      <c r="F1320" t="s">
        <v>22</v>
      </c>
      <c r="G1320" t="s">
        <v>27</v>
      </c>
      <c r="H1320" t="s">
        <v>32</v>
      </c>
      <c r="I1320" t="s">
        <v>36</v>
      </c>
      <c r="J1320" t="s">
        <v>39</v>
      </c>
      <c r="K1320" t="s">
        <v>50</v>
      </c>
      <c r="L1320" t="s">
        <v>53</v>
      </c>
      <c r="M1320" s="7">
        <v>19626</v>
      </c>
      <c r="N1320">
        <v>0.35</v>
      </c>
      <c r="O1320" s="7">
        <v>19154</v>
      </c>
      <c r="P1320">
        <v>15</v>
      </c>
      <c r="Q1320" t="s">
        <v>55</v>
      </c>
      <c r="R1320" t="s">
        <v>61</v>
      </c>
      <c r="S1320">
        <f t="shared" si="100"/>
        <v>2024</v>
      </c>
      <c r="T1320" t="str">
        <f t="shared" si="101"/>
        <v>Aug</v>
      </c>
      <c r="U1320">
        <f t="shared" si="102"/>
        <v>3</v>
      </c>
      <c r="V1320">
        <f t="shared" si="103"/>
        <v>4</v>
      </c>
      <c r="W1320" s="9">
        <f t="shared" si="104"/>
        <v>0.97595027004993373</v>
      </c>
    </row>
    <row r="1321" spans="1:23">
      <c r="A1321">
        <v>11320</v>
      </c>
      <c r="B1321" s="5">
        <v>45516</v>
      </c>
      <c r="C1321" s="5">
        <v>45521</v>
      </c>
      <c r="D1321" s="5">
        <v>45522</v>
      </c>
      <c r="E1321" t="s">
        <v>19</v>
      </c>
      <c r="F1321" t="s">
        <v>22</v>
      </c>
      <c r="G1321" t="s">
        <v>23</v>
      </c>
      <c r="H1321" t="s">
        <v>30</v>
      </c>
      <c r="I1321" t="s">
        <v>34</v>
      </c>
      <c r="J1321" t="s">
        <v>40</v>
      </c>
      <c r="K1321" t="s">
        <v>46</v>
      </c>
      <c r="L1321" t="s">
        <v>52</v>
      </c>
      <c r="M1321" s="7">
        <v>36787</v>
      </c>
      <c r="N1321">
        <v>0.24</v>
      </c>
      <c r="O1321" s="7">
        <v>3451</v>
      </c>
      <c r="P1321">
        <v>3</v>
      </c>
      <c r="Q1321" t="s">
        <v>56</v>
      </c>
      <c r="R1321" t="s">
        <v>62</v>
      </c>
      <c r="S1321">
        <f t="shared" si="100"/>
        <v>2024</v>
      </c>
      <c r="T1321" t="str">
        <f t="shared" si="101"/>
        <v>Aug</v>
      </c>
      <c r="U1321">
        <f t="shared" si="102"/>
        <v>5</v>
      </c>
      <c r="V1321">
        <f t="shared" si="103"/>
        <v>6</v>
      </c>
      <c r="W1321" s="9">
        <f t="shared" si="104"/>
        <v>9.3810313425938513E-2</v>
      </c>
    </row>
    <row r="1322" spans="1:23">
      <c r="A1322">
        <v>11321</v>
      </c>
      <c r="B1322" s="5">
        <v>45517</v>
      </c>
      <c r="C1322" s="5">
        <v>45519</v>
      </c>
      <c r="D1322" s="5">
        <v>45521</v>
      </c>
      <c r="E1322" t="s">
        <v>21</v>
      </c>
      <c r="F1322" t="s">
        <v>22</v>
      </c>
      <c r="G1322" t="s">
        <v>27</v>
      </c>
      <c r="H1322" t="s">
        <v>29</v>
      </c>
      <c r="I1322" t="s">
        <v>36</v>
      </c>
      <c r="J1322" t="s">
        <v>39</v>
      </c>
      <c r="K1322" t="s">
        <v>48</v>
      </c>
      <c r="L1322" t="s">
        <v>51</v>
      </c>
      <c r="M1322" s="7">
        <v>64474</v>
      </c>
      <c r="N1322">
        <v>0.09</v>
      </c>
      <c r="O1322" s="7">
        <v>9574</v>
      </c>
      <c r="P1322">
        <v>9</v>
      </c>
      <c r="Q1322" t="s">
        <v>58</v>
      </c>
      <c r="R1322" t="s">
        <v>62</v>
      </c>
      <c r="S1322">
        <f t="shared" si="100"/>
        <v>2024</v>
      </c>
      <c r="T1322" t="str">
        <f t="shared" si="101"/>
        <v>Aug</v>
      </c>
      <c r="U1322">
        <f t="shared" si="102"/>
        <v>2</v>
      </c>
      <c r="V1322">
        <f t="shared" si="103"/>
        <v>4</v>
      </c>
      <c r="W1322" s="9">
        <f t="shared" si="104"/>
        <v>0.14849396656016378</v>
      </c>
    </row>
    <row r="1323" spans="1:23">
      <c r="A1323">
        <v>11322</v>
      </c>
      <c r="B1323" s="5">
        <v>45518</v>
      </c>
      <c r="C1323" s="5">
        <v>45521</v>
      </c>
      <c r="D1323" s="5">
        <v>45524</v>
      </c>
      <c r="E1323" t="s">
        <v>20</v>
      </c>
      <c r="F1323" t="s">
        <v>22</v>
      </c>
      <c r="G1323" t="s">
        <v>24</v>
      </c>
      <c r="H1323" t="s">
        <v>29</v>
      </c>
      <c r="I1323" t="s">
        <v>36</v>
      </c>
      <c r="J1323" t="s">
        <v>41</v>
      </c>
      <c r="K1323" t="s">
        <v>47</v>
      </c>
      <c r="L1323" t="s">
        <v>52</v>
      </c>
      <c r="M1323" s="7">
        <v>67915</v>
      </c>
      <c r="N1323">
        <v>0.04</v>
      </c>
      <c r="O1323" s="7">
        <v>3902</v>
      </c>
      <c r="P1323">
        <v>10</v>
      </c>
      <c r="Q1323" t="s">
        <v>58</v>
      </c>
      <c r="R1323" t="s">
        <v>60</v>
      </c>
      <c r="S1323">
        <f t="shared" si="100"/>
        <v>2024</v>
      </c>
      <c r="T1323" t="str">
        <f t="shared" si="101"/>
        <v>Aug</v>
      </c>
      <c r="U1323">
        <f t="shared" si="102"/>
        <v>3</v>
      </c>
      <c r="V1323">
        <f t="shared" si="103"/>
        <v>6</v>
      </c>
      <c r="W1323" s="9">
        <f t="shared" si="104"/>
        <v>5.7454170654494589E-2</v>
      </c>
    </row>
    <row r="1324" spans="1:23">
      <c r="A1324">
        <v>11323</v>
      </c>
      <c r="B1324" s="5">
        <v>45519</v>
      </c>
      <c r="C1324" s="5">
        <v>45524</v>
      </c>
      <c r="D1324" s="5">
        <v>45525</v>
      </c>
      <c r="E1324" t="s">
        <v>20</v>
      </c>
      <c r="F1324" t="s">
        <v>22</v>
      </c>
      <c r="G1324" t="s">
        <v>28</v>
      </c>
      <c r="H1324" t="s">
        <v>32</v>
      </c>
      <c r="I1324" t="s">
        <v>34</v>
      </c>
      <c r="J1324" t="s">
        <v>42</v>
      </c>
      <c r="K1324" t="s">
        <v>50</v>
      </c>
      <c r="L1324" t="s">
        <v>51</v>
      </c>
      <c r="M1324" s="7">
        <v>24845</v>
      </c>
      <c r="N1324">
        <v>0.27</v>
      </c>
      <c r="O1324" s="7">
        <v>18563</v>
      </c>
      <c r="P1324">
        <v>24</v>
      </c>
      <c r="Q1324" t="s">
        <v>55</v>
      </c>
      <c r="R1324" t="s">
        <v>59</v>
      </c>
      <c r="S1324">
        <f t="shared" si="100"/>
        <v>2024</v>
      </c>
      <c r="T1324" t="str">
        <f t="shared" si="101"/>
        <v>Aug</v>
      </c>
      <c r="U1324">
        <f t="shared" si="102"/>
        <v>5</v>
      </c>
      <c r="V1324">
        <f t="shared" si="103"/>
        <v>6</v>
      </c>
      <c r="W1324" s="9">
        <f t="shared" si="104"/>
        <v>0.747152344536124</v>
      </c>
    </row>
    <row r="1325" spans="1:23">
      <c r="A1325">
        <v>11324</v>
      </c>
      <c r="B1325" s="5">
        <v>45520</v>
      </c>
      <c r="C1325" s="5">
        <v>45524</v>
      </c>
      <c r="D1325" s="5">
        <v>45526</v>
      </c>
      <c r="E1325" t="s">
        <v>20</v>
      </c>
      <c r="F1325" t="s">
        <v>22</v>
      </c>
      <c r="G1325" t="s">
        <v>26</v>
      </c>
      <c r="H1325" t="s">
        <v>32</v>
      </c>
      <c r="I1325" t="s">
        <v>34</v>
      </c>
      <c r="J1325" t="s">
        <v>40</v>
      </c>
      <c r="K1325" t="s">
        <v>49</v>
      </c>
      <c r="L1325" t="s">
        <v>52</v>
      </c>
      <c r="M1325" s="7">
        <v>2051</v>
      </c>
      <c r="N1325">
        <v>0.16</v>
      </c>
      <c r="O1325" s="7">
        <v>7432</v>
      </c>
      <c r="P1325">
        <v>9</v>
      </c>
      <c r="Q1325" t="s">
        <v>58</v>
      </c>
      <c r="R1325" t="s">
        <v>59</v>
      </c>
      <c r="S1325">
        <f t="shared" si="100"/>
        <v>2024</v>
      </c>
      <c r="T1325" t="str">
        <f t="shared" si="101"/>
        <v>Aug</v>
      </c>
      <c r="U1325">
        <f t="shared" si="102"/>
        <v>4</v>
      </c>
      <c r="V1325">
        <f t="shared" si="103"/>
        <v>6</v>
      </c>
      <c r="W1325" s="9">
        <f t="shared" si="104"/>
        <v>3.6235982447586541</v>
      </c>
    </row>
    <row r="1326" spans="1:23">
      <c r="A1326">
        <v>11325</v>
      </c>
      <c r="B1326" s="5">
        <v>45521</v>
      </c>
      <c r="C1326" s="5">
        <v>45526</v>
      </c>
      <c r="D1326" s="5">
        <v>45529</v>
      </c>
      <c r="E1326" t="s">
        <v>19</v>
      </c>
      <c r="F1326" t="s">
        <v>22</v>
      </c>
      <c r="G1326" t="s">
        <v>26</v>
      </c>
      <c r="H1326" t="s">
        <v>32</v>
      </c>
      <c r="I1326" t="s">
        <v>34</v>
      </c>
      <c r="J1326" t="s">
        <v>41</v>
      </c>
      <c r="K1326" t="s">
        <v>49</v>
      </c>
      <c r="L1326" t="s">
        <v>52</v>
      </c>
      <c r="M1326" s="7">
        <v>24909</v>
      </c>
      <c r="N1326">
        <v>0.15</v>
      </c>
      <c r="O1326" s="7">
        <v>16908</v>
      </c>
      <c r="P1326">
        <v>12</v>
      </c>
      <c r="Q1326" t="s">
        <v>56</v>
      </c>
      <c r="R1326" t="s">
        <v>59</v>
      </c>
      <c r="S1326">
        <f t="shared" si="100"/>
        <v>2024</v>
      </c>
      <c r="T1326" t="str">
        <f t="shared" si="101"/>
        <v>Aug</v>
      </c>
      <c r="U1326">
        <f t="shared" si="102"/>
        <v>5</v>
      </c>
      <c r="V1326">
        <f t="shared" si="103"/>
        <v>8</v>
      </c>
      <c r="W1326" s="9">
        <f t="shared" si="104"/>
        <v>0.67879079850656387</v>
      </c>
    </row>
    <row r="1327" spans="1:23">
      <c r="A1327">
        <v>11326</v>
      </c>
      <c r="B1327" s="5">
        <v>45522</v>
      </c>
      <c r="C1327" s="5">
        <v>45525</v>
      </c>
      <c r="D1327" s="5">
        <v>45529</v>
      </c>
      <c r="E1327" t="s">
        <v>20</v>
      </c>
      <c r="F1327" t="s">
        <v>22</v>
      </c>
      <c r="G1327" t="s">
        <v>28</v>
      </c>
      <c r="H1327" t="s">
        <v>25</v>
      </c>
      <c r="I1327" t="s">
        <v>35</v>
      </c>
      <c r="J1327" t="s">
        <v>38</v>
      </c>
      <c r="K1327" t="s">
        <v>49</v>
      </c>
      <c r="L1327" t="s">
        <v>51</v>
      </c>
      <c r="M1327" s="7">
        <v>40722</v>
      </c>
      <c r="N1327">
        <v>0.17</v>
      </c>
      <c r="O1327" s="7">
        <v>-1521</v>
      </c>
      <c r="P1327">
        <v>8</v>
      </c>
      <c r="Q1327" t="s">
        <v>54</v>
      </c>
      <c r="R1327" t="s">
        <v>61</v>
      </c>
      <c r="S1327">
        <f t="shared" si="100"/>
        <v>2024</v>
      </c>
      <c r="T1327" t="str">
        <f t="shared" si="101"/>
        <v>Aug</v>
      </c>
      <c r="U1327">
        <f t="shared" si="102"/>
        <v>3</v>
      </c>
      <c r="V1327">
        <f t="shared" si="103"/>
        <v>7</v>
      </c>
      <c r="W1327" s="9">
        <f t="shared" si="104"/>
        <v>-3.735081773979667E-2</v>
      </c>
    </row>
    <row r="1328" spans="1:23">
      <c r="A1328">
        <v>11327</v>
      </c>
      <c r="B1328" s="5">
        <v>45523</v>
      </c>
      <c r="C1328" s="5">
        <v>45528</v>
      </c>
      <c r="D1328" s="5">
        <v>45530</v>
      </c>
      <c r="E1328" t="s">
        <v>21</v>
      </c>
      <c r="F1328" t="s">
        <v>22</v>
      </c>
      <c r="G1328" t="s">
        <v>25</v>
      </c>
      <c r="H1328" t="s">
        <v>32</v>
      </c>
      <c r="I1328" t="s">
        <v>34</v>
      </c>
      <c r="J1328" t="s">
        <v>38</v>
      </c>
      <c r="K1328" t="s">
        <v>50</v>
      </c>
      <c r="L1328" t="s">
        <v>52</v>
      </c>
      <c r="M1328" s="7">
        <v>28601</v>
      </c>
      <c r="N1328">
        <v>0.15</v>
      </c>
      <c r="O1328" s="7">
        <v>-207</v>
      </c>
      <c r="P1328">
        <v>5</v>
      </c>
      <c r="Q1328" t="s">
        <v>57</v>
      </c>
      <c r="R1328" t="s">
        <v>62</v>
      </c>
      <c r="S1328">
        <f t="shared" si="100"/>
        <v>2024</v>
      </c>
      <c r="T1328" t="str">
        <f t="shared" si="101"/>
        <v>Aug</v>
      </c>
      <c r="U1328">
        <f t="shared" si="102"/>
        <v>5</v>
      </c>
      <c r="V1328">
        <f t="shared" si="103"/>
        <v>7</v>
      </c>
      <c r="W1328" s="9">
        <f t="shared" si="104"/>
        <v>-7.2375091780007691E-3</v>
      </c>
    </row>
    <row r="1329" spans="1:23">
      <c r="A1329">
        <v>11328</v>
      </c>
      <c r="B1329" s="5">
        <v>45524</v>
      </c>
      <c r="C1329" s="5">
        <v>45531</v>
      </c>
      <c r="D1329" s="5">
        <v>45535</v>
      </c>
      <c r="E1329" t="s">
        <v>19</v>
      </c>
      <c r="F1329" t="s">
        <v>22</v>
      </c>
      <c r="G1329" t="s">
        <v>26</v>
      </c>
      <c r="H1329" t="s">
        <v>29</v>
      </c>
      <c r="I1329" t="s">
        <v>36</v>
      </c>
      <c r="J1329" t="s">
        <v>41</v>
      </c>
      <c r="K1329" t="s">
        <v>45</v>
      </c>
      <c r="L1329" t="s">
        <v>52</v>
      </c>
      <c r="M1329" s="7">
        <v>60804</v>
      </c>
      <c r="N1329">
        <v>0.32</v>
      </c>
      <c r="O1329" s="7">
        <v>15282</v>
      </c>
      <c r="P1329">
        <v>3</v>
      </c>
      <c r="Q1329" t="s">
        <v>55</v>
      </c>
      <c r="R1329" t="s">
        <v>61</v>
      </c>
      <c r="S1329">
        <f t="shared" si="100"/>
        <v>2024</v>
      </c>
      <c r="T1329" t="str">
        <f t="shared" si="101"/>
        <v>Aug</v>
      </c>
      <c r="U1329">
        <f t="shared" si="102"/>
        <v>7</v>
      </c>
      <c r="V1329">
        <f t="shared" si="103"/>
        <v>11</v>
      </c>
      <c r="W1329" s="9">
        <f t="shared" si="104"/>
        <v>0.25133214920071045</v>
      </c>
    </row>
    <row r="1330" spans="1:23">
      <c r="A1330">
        <v>11329</v>
      </c>
      <c r="B1330" s="5">
        <v>45525</v>
      </c>
      <c r="C1330" s="5">
        <v>45529</v>
      </c>
      <c r="D1330" s="5">
        <v>45533</v>
      </c>
      <c r="E1330" t="s">
        <v>20</v>
      </c>
      <c r="F1330" t="s">
        <v>22</v>
      </c>
      <c r="G1330" t="s">
        <v>26</v>
      </c>
      <c r="H1330" t="s">
        <v>31</v>
      </c>
      <c r="I1330" t="s">
        <v>36</v>
      </c>
      <c r="J1330" t="s">
        <v>43</v>
      </c>
      <c r="K1330" t="s">
        <v>50</v>
      </c>
      <c r="L1330" t="s">
        <v>51</v>
      </c>
      <c r="M1330" s="7">
        <v>25538</v>
      </c>
      <c r="N1330">
        <v>0.02</v>
      </c>
      <c r="O1330" s="7">
        <v>16265</v>
      </c>
      <c r="P1330">
        <v>8</v>
      </c>
      <c r="Q1330" t="s">
        <v>57</v>
      </c>
      <c r="R1330" t="s">
        <v>59</v>
      </c>
      <c r="S1330">
        <f t="shared" si="100"/>
        <v>2024</v>
      </c>
      <c r="T1330" t="str">
        <f t="shared" si="101"/>
        <v>Aug</v>
      </c>
      <c r="U1330">
        <f t="shared" si="102"/>
        <v>4</v>
      </c>
      <c r="V1330">
        <f t="shared" si="103"/>
        <v>8</v>
      </c>
      <c r="W1330" s="9">
        <f t="shared" si="104"/>
        <v>0.63689404025373952</v>
      </c>
    </row>
    <row r="1331" spans="1:23">
      <c r="A1331">
        <v>11330</v>
      </c>
      <c r="B1331" s="5">
        <v>45526</v>
      </c>
      <c r="C1331" s="5">
        <v>45528</v>
      </c>
      <c r="D1331" s="5">
        <v>45529</v>
      </c>
      <c r="E1331" t="s">
        <v>19</v>
      </c>
      <c r="F1331" t="s">
        <v>22</v>
      </c>
      <c r="G1331" t="s">
        <v>25</v>
      </c>
      <c r="H1331" t="s">
        <v>30</v>
      </c>
      <c r="I1331" t="s">
        <v>36</v>
      </c>
      <c r="J1331" t="s">
        <v>41</v>
      </c>
      <c r="K1331" t="s">
        <v>46</v>
      </c>
      <c r="L1331" t="s">
        <v>52</v>
      </c>
      <c r="M1331" s="7">
        <v>67251</v>
      </c>
      <c r="N1331">
        <v>0.28999999999999998</v>
      </c>
      <c r="O1331" s="7">
        <v>19069</v>
      </c>
      <c r="P1331">
        <v>19</v>
      </c>
      <c r="Q1331" t="s">
        <v>56</v>
      </c>
      <c r="R1331" t="s">
        <v>59</v>
      </c>
      <c r="S1331">
        <f t="shared" si="100"/>
        <v>2024</v>
      </c>
      <c r="T1331" t="str">
        <f t="shared" si="101"/>
        <v>Aug</v>
      </c>
      <c r="U1331">
        <f t="shared" si="102"/>
        <v>2</v>
      </c>
      <c r="V1331">
        <f t="shared" si="103"/>
        <v>3</v>
      </c>
      <c r="W1331" s="9">
        <f t="shared" si="104"/>
        <v>0.28354968699350197</v>
      </c>
    </row>
    <row r="1332" spans="1:23">
      <c r="A1332">
        <v>11331</v>
      </c>
      <c r="B1332" s="5">
        <v>45527</v>
      </c>
      <c r="C1332" s="5">
        <v>45529</v>
      </c>
      <c r="D1332" s="5">
        <v>45531</v>
      </c>
      <c r="E1332" t="s">
        <v>18</v>
      </c>
      <c r="F1332" t="s">
        <v>22</v>
      </c>
      <c r="G1332" t="s">
        <v>24</v>
      </c>
      <c r="H1332" t="s">
        <v>29</v>
      </c>
      <c r="I1332" t="s">
        <v>35</v>
      </c>
      <c r="J1332" t="s">
        <v>39</v>
      </c>
      <c r="K1332" t="s">
        <v>46</v>
      </c>
      <c r="L1332" t="s">
        <v>51</v>
      </c>
      <c r="M1332" s="7">
        <v>48543</v>
      </c>
      <c r="N1332">
        <v>0.09</v>
      </c>
      <c r="O1332" s="7">
        <v>8110</v>
      </c>
      <c r="P1332">
        <v>13</v>
      </c>
      <c r="Q1332" t="s">
        <v>58</v>
      </c>
      <c r="R1332" t="s">
        <v>62</v>
      </c>
      <c r="S1332">
        <f t="shared" si="100"/>
        <v>2024</v>
      </c>
      <c r="T1332" t="str">
        <f t="shared" si="101"/>
        <v>Aug</v>
      </c>
      <c r="U1332">
        <f t="shared" si="102"/>
        <v>2</v>
      </c>
      <c r="V1332">
        <f t="shared" si="103"/>
        <v>4</v>
      </c>
      <c r="W1332" s="9">
        <f t="shared" si="104"/>
        <v>0.16706837237088767</v>
      </c>
    </row>
    <row r="1333" spans="1:23">
      <c r="A1333">
        <v>11332</v>
      </c>
      <c r="B1333" s="5">
        <v>45528</v>
      </c>
      <c r="C1333" s="5">
        <v>45532</v>
      </c>
      <c r="D1333" s="5">
        <v>45537</v>
      </c>
      <c r="E1333" t="s">
        <v>19</v>
      </c>
      <c r="F1333" t="s">
        <v>22</v>
      </c>
      <c r="G1333" t="s">
        <v>26</v>
      </c>
      <c r="H1333" t="s">
        <v>31</v>
      </c>
      <c r="I1333" t="s">
        <v>34</v>
      </c>
      <c r="J1333" t="s">
        <v>40</v>
      </c>
      <c r="K1333" t="s">
        <v>48</v>
      </c>
      <c r="L1333" t="s">
        <v>51</v>
      </c>
      <c r="M1333" s="7">
        <v>13332</v>
      </c>
      <c r="N1333">
        <v>0.36</v>
      </c>
      <c r="O1333" s="7">
        <v>13964</v>
      </c>
      <c r="P1333">
        <v>9</v>
      </c>
      <c r="Q1333" t="s">
        <v>55</v>
      </c>
      <c r="R1333" t="s">
        <v>62</v>
      </c>
      <c r="S1333">
        <f t="shared" si="100"/>
        <v>2024</v>
      </c>
      <c r="T1333" t="str">
        <f t="shared" si="101"/>
        <v>Aug</v>
      </c>
      <c r="U1333">
        <f t="shared" si="102"/>
        <v>4</v>
      </c>
      <c r="V1333">
        <f t="shared" si="103"/>
        <v>9</v>
      </c>
      <c r="W1333" s="9">
        <f t="shared" si="104"/>
        <v>1.0474047404740474</v>
      </c>
    </row>
    <row r="1334" spans="1:23">
      <c r="A1334">
        <v>11333</v>
      </c>
      <c r="B1334" s="5">
        <v>45529</v>
      </c>
      <c r="C1334" s="5">
        <v>45534</v>
      </c>
      <c r="D1334" s="5">
        <v>45536</v>
      </c>
      <c r="E1334" t="s">
        <v>21</v>
      </c>
      <c r="F1334" t="s">
        <v>22</v>
      </c>
      <c r="G1334" t="s">
        <v>24</v>
      </c>
      <c r="H1334" t="s">
        <v>31</v>
      </c>
      <c r="I1334" t="s">
        <v>36</v>
      </c>
      <c r="J1334" t="s">
        <v>38</v>
      </c>
      <c r="K1334" t="s">
        <v>48</v>
      </c>
      <c r="L1334" t="s">
        <v>53</v>
      </c>
      <c r="M1334" s="7">
        <v>30285</v>
      </c>
      <c r="N1334">
        <v>0.05</v>
      </c>
      <c r="O1334" s="7">
        <v>19884</v>
      </c>
      <c r="P1334">
        <v>5</v>
      </c>
      <c r="Q1334" t="s">
        <v>56</v>
      </c>
      <c r="R1334" t="s">
        <v>60</v>
      </c>
      <c r="S1334">
        <f t="shared" si="100"/>
        <v>2024</v>
      </c>
      <c r="T1334" t="str">
        <f t="shared" si="101"/>
        <v>Aug</v>
      </c>
      <c r="U1334">
        <f t="shared" si="102"/>
        <v>5</v>
      </c>
      <c r="V1334">
        <f t="shared" si="103"/>
        <v>7</v>
      </c>
      <c r="W1334" s="9">
        <f t="shared" si="104"/>
        <v>0.65656265477959386</v>
      </c>
    </row>
    <row r="1335" spans="1:23">
      <c r="A1335">
        <v>11334</v>
      </c>
      <c r="B1335" s="5">
        <v>45530</v>
      </c>
      <c r="C1335" s="5">
        <v>45537</v>
      </c>
      <c r="D1335" s="5">
        <v>45538</v>
      </c>
      <c r="E1335" t="s">
        <v>20</v>
      </c>
      <c r="F1335" t="s">
        <v>22</v>
      </c>
      <c r="G1335" t="s">
        <v>28</v>
      </c>
      <c r="H1335" t="s">
        <v>32</v>
      </c>
      <c r="I1335" t="s">
        <v>35</v>
      </c>
      <c r="J1335" t="s">
        <v>38</v>
      </c>
      <c r="K1335" t="s">
        <v>50</v>
      </c>
      <c r="L1335" t="s">
        <v>53</v>
      </c>
      <c r="M1335" s="7">
        <v>49732</v>
      </c>
      <c r="N1335">
        <v>0.38</v>
      </c>
      <c r="O1335" s="7">
        <v>9785</v>
      </c>
      <c r="P1335">
        <v>7</v>
      </c>
      <c r="Q1335" t="s">
        <v>56</v>
      </c>
      <c r="R1335" t="s">
        <v>59</v>
      </c>
      <c r="S1335">
        <f t="shared" si="100"/>
        <v>2024</v>
      </c>
      <c r="T1335" t="str">
        <f t="shared" si="101"/>
        <v>Aug</v>
      </c>
      <c r="U1335">
        <f t="shared" si="102"/>
        <v>7</v>
      </c>
      <c r="V1335">
        <f t="shared" si="103"/>
        <v>8</v>
      </c>
      <c r="W1335" s="9">
        <f t="shared" si="104"/>
        <v>0.19675460468109066</v>
      </c>
    </row>
    <row r="1336" spans="1:23">
      <c r="A1336">
        <v>11335</v>
      </c>
      <c r="B1336" s="5">
        <v>45531</v>
      </c>
      <c r="C1336" s="5">
        <v>45534</v>
      </c>
      <c r="D1336" s="5">
        <v>45539</v>
      </c>
      <c r="E1336" t="s">
        <v>20</v>
      </c>
      <c r="F1336" t="s">
        <v>22</v>
      </c>
      <c r="G1336" t="s">
        <v>28</v>
      </c>
      <c r="H1336" t="s">
        <v>30</v>
      </c>
      <c r="I1336" t="s">
        <v>35</v>
      </c>
      <c r="J1336" t="s">
        <v>39</v>
      </c>
      <c r="K1336" t="s">
        <v>50</v>
      </c>
      <c r="L1336" t="s">
        <v>52</v>
      </c>
      <c r="M1336" s="7">
        <v>68319</v>
      </c>
      <c r="N1336">
        <v>0.33</v>
      </c>
      <c r="O1336" s="7">
        <v>3183</v>
      </c>
      <c r="P1336">
        <v>1</v>
      </c>
      <c r="Q1336" t="s">
        <v>57</v>
      </c>
      <c r="R1336" t="s">
        <v>59</v>
      </c>
      <c r="S1336">
        <f t="shared" si="100"/>
        <v>2024</v>
      </c>
      <c r="T1336" t="str">
        <f t="shared" si="101"/>
        <v>Aug</v>
      </c>
      <c r="U1336">
        <f t="shared" si="102"/>
        <v>3</v>
      </c>
      <c r="V1336">
        <f t="shared" si="103"/>
        <v>8</v>
      </c>
      <c r="W1336" s="9">
        <f t="shared" si="104"/>
        <v>4.6590260396083077E-2</v>
      </c>
    </row>
    <row r="1337" spans="1:23">
      <c r="A1337">
        <v>11336</v>
      </c>
      <c r="B1337" s="5">
        <v>45532</v>
      </c>
      <c r="C1337" s="5">
        <v>45535</v>
      </c>
      <c r="D1337" s="5">
        <v>45538</v>
      </c>
      <c r="E1337" t="s">
        <v>18</v>
      </c>
      <c r="F1337" t="s">
        <v>22</v>
      </c>
      <c r="G1337" t="s">
        <v>24</v>
      </c>
      <c r="H1337" t="s">
        <v>31</v>
      </c>
      <c r="I1337" t="s">
        <v>35</v>
      </c>
      <c r="J1337" t="s">
        <v>42</v>
      </c>
      <c r="K1337" t="s">
        <v>44</v>
      </c>
      <c r="L1337" t="s">
        <v>53</v>
      </c>
      <c r="M1337" s="7">
        <v>74352</v>
      </c>
      <c r="N1337">
        <v>7.0000000000000007E-2</v>
      </c>
      <c r="O1337" s="7">
        <v>8702</v>
      </c>
      <c r="P1337">
        <v>17</v>
      </c>
      <c r="Q1337" t="s">
        <v>56</v>
      </c>
      <c r="R1337" t="s">
        <v>59</v>
      </c>
      <c r="S1337">
        <f t="shared" si="100"/>
        <v>2024</v>
      </c>
      <c r="T1337" t="str">
        <f t="shared" si="101"/>
        <v>Aug</v>
      </c>
      <c r="U1337">
        <f t="shared" si="102"/>
        <v>3</v>
      </c>
      <c r="V1337">
        <f t="shared" si="103"/>
        <v>6</v>
      </c>
      <c r="W1337" s="9">
        <f t="shared" si="104"/>
        <v>0.11703787389713793</v>
      </c>
    </row>
    <row r="1338" spans="1:23">
      <c r="A1338">
        <v>11337</v>
      </c>
      <c r="B1338" s="5">
        <v>45533</v>
      </c>
      <c r="C1338" s="5">
        <v>45539</v>
      </c>
      <c r="D1338" s="5">
        <v>45541</v>
      </c>
      <c r="E1338" t="s">
        <v>19</v>
      </c>
      <c r="F1338" t="s">
        <v>22</v>
      </c>
      <c r="G1338" t="s">
        <v>25</v>
      </c>
      <c r="H1338" t="s">
        <v>32</v>
      </c>
      <c r="I1338" t="s">
        <v>36</v>
      </c>
      <c r="J1338" t="s">
        <v>39</v>
      </c>
      <c r="K1338" t="s">
        <v>44</v>
      </c>
      <c r="L1338" t="s">
        <v>52</v>
      </c>
      <c r="M1338" s="7">
        <v>44565</v>
      </c>
      <c r="N1338">
        <v>0.02</v>
      </c>
      <c r="O1338" s="7">
        <v>15039</v>
      </c>
      <c r="P1338">
        <v>5</v>
      </c>
      <c r="Q1338" t="s">
        <v>54</v>
      </c>
      <c r="R1338" t="s">
        <v>60</v>
      </c>
      <c r="S1338">
        <f t="shared" si="100"/>
        <v>2024</v>
      </c>
      <c r="T1338" t="str">
        <f t="shared" si="101"/>
        <v>Aug</v>
      </c>
      <c r="U1338">
        <f t="shared" si="102"/>
        <v>6</v>
      </c>
      <c r="V1338">
        <f t="shared" si="103"/>
        <v>8</v>
      </c>
      <c r="W1338" s="9">
        <f t="shared" si="104"/>
        <v>0.33746213396162911</v>
      </c>
    </row>
    <row r="1339" spans="1:23">
      <c r="A1339">
        <v>11338</v>
      </c>
      <c r="B1339" s="5">
        <v>45534</v>
      </c>
      <c r="C1339" s="5">
        <v>45537</v>
      </c>
      <c r="D1339" s="5">
        <v>45541</v>
      </c>
      <c r="E1339" t="s">
        <v>20</v>
      </c>
      <c r="F1339" t="s">
        <v>22</v>
      </c>
      <c r="G1339" t="s">
        <v>27</v>
      </c>
      <c r="H1339" t="s">
        <v>32</v>
      </c>
      <c r="I1339" t="s">
        <v>34</v>
      </c>
      <c r="J1339" t="s">
        <v>37</v>
      </c>
      <c r="K1339" t="s">
        <v>48</v>
      </c>
      <c r="L1339" t="s">
        <v>51</v>
      </c>
      <c r="M1339" s="7">
        <v>19053</v>
      </c>
      <c r="N1339">
        <v>0.4</v>
      </c>
      <c r="O1339" s="7">
        <v>8267</v>
      </c>
      <c r="P1339">
        <v>16</v>
      </c>
      <c r="Q1339" t="s">
        <v>56</v>
      </c>
      <c r="R1339" t="s">
        <v>62</v>
      </c>
      <c r="S1339">
        <f t="shared" si="100"/>
        <v>2024</v>
      </c>
      <c r="T1339" t="str">
        <f t="shared" si="101"/>
        <v>Aug</v>
      </c>
      <c r="U1339">
        <f t="shared" si="102"/>
        <v>3</v>
      </c>
      <c r="V1339">
        <f t="shared" si="103"/>
        <v>7</v>
      </c>
      <c r="W1339" s="9">
        <f t="shared" si="104"/>
        <v>0.43389492468377683</v>
      </c>
    </row>
    <row r="1340" spans="1:23">
      <c r="A1340">
        <v>11339</v>
      </c>
      <c r="B1340" s="5">
        <v>45535</v>
      </c>
      <c r="C1340" s="5">
        <v>45540</v>
      </c>
      <c r="D1340" s="5">
        <v>45541</v>
      </c>
      <c r="E1340" t="s">
        <v>19</v>
      </c>
      <c r="F1340" t="s">
        <v>22</v>
      </c>
      <c r="G1340" t="s">
        <v>25</v>
      </c>
      <c r="H1340" t="s">
        <v>32</v>
      </c>
      <c r="I1340" t="s">
        <v>35</v>
      </c>
      <c r="J1340" t="s">
        <v>37</v>
      </c>
      <c r="K1340" t="s">
        <v>44</v>
      </c>
      <c r="L1340" t="s">
        <v>52</v>
      </c>
      <c r="M1340" s="7">
        <v>5234</v>
      </c>
      <c r="N1340">
        <v>0.39</v>
      </c>
      <c r="O1340" s="7">
        <v>11022</v>
      </c>
      <c r="P1340">
        <v>9</v>
      </c>
      <c r="Q1340" t="s">
        <v>55</v>
      </c>
      <c r="R1340" t="s">
        <v>61</v>
      </c>
      <c r="S1340">
        <f t="shared" si="100"/>
        <v>2024</v>
      </c>
      <c r="T1340" t="str">
        <f t="shared" si="101"/>
        <v>Aug</v>
      </c>
      <c r="U1340">
        <f t="shared" si="102"/>
        <v>5</v>
      </c>
      <c r="V1340">
        <f t="shared" si="103"/>
        <v>6</v>
      </c>
      <c r="W1340" s="9">
        <f t="shared" si="104"/>
        <v>2.1058463889950323</v>
      </c>
    </row>
    <row r="1341" spans="1:23">
      <c r="A1341">
        <v>11340</v>
      </c>
      <c r="B1341" s="5">
        <v>45536</v>
      </c>
      <c r="C1341" s="5">
        <v>45543</v>
      </c>
      <c r="D1341" s="5">
        <v>45546</v>
      </c>
      <c r="E1341" t="s">
        <v>21</v>
      </c>
      <c r="F1341" t="s">
        <v>22</v>
      </c>
      <c r="G1341" t="s">
        <v>28</v>
      </c>
      <c r="H1341" t="s">
        <v>25</v>
      </c>
      <c r="I1341" t="s">
        <v>34</v>
      </c>
      <c r="J1341" t="s">
        <v>41</v>
      </c>
      <c r="K1341" t="s">
        <v>47</v>
      </c>
      <c r="L1341" t="s">
        <v>52</v>
      </c>
      <c r="M1341" s="7">
        <v>60617</v>
      </c>
      <c r="N1341">
        <v>7.0000000000000007E-2</v>
      </c>
      <c r="O1341" s="7">
        <v>16738</v>
      </c>
      <c r="P1341">
        <v>11</v>
      </c>
      <c r="Q1341" t="s">
        <v>58</v>
      </c>
      <c r="R1341" t="s">
        <v>59</v>
      </c>
      <c r="S1341">
        <f t="shared" si="100"/>
        <v>2024</v>
      </c>
      <c r="T1341" t="str">
        <f t="shared" si="101"/>
        <v>Sep</v>
      </c>
      <c r="U1341">
        <f t="shared" si="102"/>
        <v>7</v>
      </c>
      <c r="V1341">
        <f t="shared" si="103"/>
        <v>10</v>
      </c>
      <c r="W1341" s="9">
        <f t="shared" si="104"/>
        <v>0.27612715904779189</v>
      </c>
    </row>
    <row r="1342" spans="1:23">
      <c r="A1342">
        <v>11341</v>
      </c>
      <c r="B1342" s="5">
        <v>45537</v>
      </c>
      <c r="C1342" s="5">
        <v>45544</v>
      </c>
      <c r="D1342" s="5">
        <v>45546</v>
      </c>
      <c r="E1342" t="s">
        <v>20</v>
      </c>
      <c r="F1342" t="s">
        <v>22</v>
      </c>
      <c r="G1342" t="s">
        <v>26</v>
      </c>
      <c r="H1342" t="s">
        <v>25</v>
      </c>
      <c r="I1342" t="s">
        <v>36</v>
      </c>
      <c r="J1342" t="s">
        <v>42</v>
      </c>
      <c r="K1342" t="s">
        <v>47</v>
      </c>
      <c r="L1342" t="s">
        <v>51</v>
      </c>
      <c r="M1342" s="7">
        <v>34327</v>
      </c>
      <c r="N1342">
        <v>0.23</v>
      </c>
      <c r="O1342" s="7">
        <v>11857</v>
      </c>
      <c r="P1342">
        <v>5</v>
      </c>
      <c r="Q1342" t="s">
        <v>57</v>
      </c>
      <c r="R1342" t="s">
        <v>61</v>
      </c>
      <c r="S1342">
        <f t="shared" si="100"/>
        <v>2024</v>
      </c>
      <c r="T1342" t="str">
        <f t="shared" si="101"/>
        <v>Sep</v>
      </c>
      <c r="U1342">
        <f t="shared" si="102"/>
        <v>7</v>
      </c>
      <c r="V1342">
        <f t="shared" si="103"/>
        <v>9</v>
      </c>
      <c r="W1342" s="9">
        <f t="shared" si="104"/>
        <v>0.34541323156698811</v>
      </c>
    </row>
    <row r="1343" spans="1:23">
      <c r="A1343">
        <v>11342</v>
      </c>
      <c r="B1343" s="5">
        <v>45538</v>
      </c>
      <c r="C1343" s="5">
        <v>45544</v>
      </c>
      <c r="D1343" s="5">
        <v>45546</v>
      </c>
      <c r="E1343" t="s">
        <v>18</v>
      </c>
      <c r="F1343" t="s">
        <v>22</v>
      </c>
      <c r="G1343" t="s">
        <v>25</v>
      </c>
      <c r="H1343" t="s">
        <v>33</v>
      </c>
      <c r="I1343" t="s">
        <v>34</v>
      </c>
      <c r="J1343" t="s">
        <v>38</v>
      </c>
      <c r="K1343" t="s">
        <v>46</v>
      </c>
      <c r="L1343" t="s">
        <v>52</v>
      </c>
      <c r="M1343" s="7">
        <v>23870</v>
      </c>
      <c r="N1343">
        <v>0.17</v>
      </c>
      <c r="O1343" s="7">
        <v>13286</v>
      </c>
      <c r="P1343">
        <v>5</v>
      </c>
      <c r="Q1343" t="s">
        <v>56</v>
      </c>
      <c r="R1343" t="s">
        <v>61</v>
      </c>
      <c r="S1343">
        <f t="shared" si="100"/>
        <v>2024</v>
      </c>
      <c r="T1343" t="str">
        <f t="shared" si="101"/>
        <v>Sep</v>
      </c>
      <c r="U1343">
        <f t="shared" si="102"/>
        <v>6</v>
      </c>
      <c r="V1343">
        <f t="shared" si="103"/>
        <v>8</v>
      </c>
      <c r="W1343" s="9">
        <f t="shared" si="104"/>
        <v>0.55659824046920825</v>
      </c>
    </row>
    <row r="1344" spans="1:23">
      <c r="A1344">
        <v>11343</v>
      </c>
      <c r="B1344" s="5">
        <v>45539</v>
      </c>
      <c r="C1344" s="5">
        <v>45545</v>
      </c>
      <c r="D1344" s="5">
        <v>45550</v>
      </c>
      <c r="E1344" t="s">
        <v>18</v>
      </c>
      <c r="F1344" t="s">
        <v>22</v>
      </c>
      <c r="G1344" t="s">
        <v>23</v>
      </c>
      <c r="H1344" t="s">
        <v>30</v>
      </c>
      <c r="I1344" t="s">
        <v>36</v>
      </c>
      <c r="J1344" t="s">
        <v>39</v>
      </c>
      <c r="K1344" t="s">
        <v>45</v>
      </c>
      <c r="L1344" t="s">
        <v>52</v>
      </c>
      <c r="M1344" s="7">
        <v>49451</v>
      </c>
      <c r="N1344">
        <v>0.1</v>
      </c>
      <c r="O1344" s="7">
        <v>-1134</v>
      </c>
      <c r="P1344">
        <v>15</v>
      </c>
      <c r="Q1344" t="s">
        <v>56</v>
      </c>
      <c r="R1344" t="s">
        <v>60</v>
      </c>
      <c r="S1344">
        <f t="shared" si="100"/>
        <v>2024</v>
      </c>
      <c r="T1344" t="str">
        <f t="shared" si="101"/>
        <v>Sep</v>
      </c>
      <c r="U1344">
        <f t="shared" si="102"/>
        <v>6</v>
      </c>
      <c r="V1344">
        <f t="shared" si="103"/>
        <v>11</v>
      </c>
      <c r="W1344" s="9">
        <f t="shared" si="104"/>
        <v>-2.2931791065903623E-2</v>
      </c>
    </row>
    <row r="1345" spans="1:23">
      <c r="A1345">
        <v>11344</v>
      </c>
      <c r="B1345" s="5">
        <v>45540</v>
      </c>
      <c r="C1345" s="5">
        <v>45543</v>
      </c>
      <c r="D1345" s="5">
        <v>45546</v>
      </c>
      <c r="E1345" t="s">
        <v>21</v>
      </c>
      <c r="F1345" t="s">
        <v>22</v>
      </c>
      <c r="G1345" t="s">
        <v>27</v>
      </c>
      <c r="H1345" t="s">
        <v>32</v>
      </c>
      <c r="I1345" t="s">
        <v>35</v>
      </c>
      <c r="J1345" t="s">
        <v>41</v>
      </c>
      <c r="K1345" t="s">
        <v>45</v>
      </c>
      <c r="L1345" t="s">
        <v>53</v>
      </c>
      <c r="M1345" s="7">
        <v>18557</v>
      </c>
      <c r="N1345">
        <v>0.25</v>
      </c>
      <c r="O1345" s="7">
        <v>6610</v>
      </c>
      <c r="P1345">
        <v>19</v>
      </c>
      <c r="Q1345" t="s">
        <v>56</v>
      </c>
      <c r="R1345" t="s">
        <v>61</v>
      </c>
      <c r="S1345">
        <f t="shared" si="100"/>
        <v>2024</v>
      </c>
      <c r="T1345" t="str">
        <f t="shared" si="101"/>
        <v>Sep</v>
      </c>
      <c r="U1345">
        <f t="shared" si="102"/>
        <v>3</v>
      </c>
      <c r="V1345">
        <f t="shared" si="103"/>
        <v>6</v>
      </c>
      <c r="W1345" s="9">
        <f t="shared" si="104"/>
        <v>0.35619981678072965</v>
      </c>
    </row>
    <row r="1346" spans="1:23">
      <c r="A1346">
        <v>11345</v>
      </c>
      <c r="B1346" s="5">
        <v>45541</v>
      </c>
      <c r="C1346" s="5">
        <v>45547</v>
      </c>
      <c r="D1346" s="5">
        <v>45551</v>
      </c>
      <c r="E1346" t="s">
        <v>18</v>
      </c>
      <c r="F1346" t="s">
        <v>22</v>
      </c>
      <c r="G1346" t="s">
        <v>27</v>
      </c>
      <c r="H1346" t="s">
        <v>32</v>
      </c>
      <c r="I1346" t="s">
        <v>34</v>
      </c>
      <c r="J1346" t="s">
        <v>40</v>
      </c>
      <c r="K1346" t="s">
        <v>49</v>
      </c>
      <c r="L1346" t="s">
        <v>52</v>
      </c>
      <c r="M1346" s="7">
        <v>74842</v>
      </c>
      <c r="N1346">
        <v>0.36</v>
      </c>
      <c r="O1346" s="7">
        <v>-865</v>
      </c>
      <c r="P1346">
        <v>16</v>
      </c>
      <c r="Q1346" t="s">
        <v>57</v>
      </c>
      <c r="R1346" t="s">
        <v>61</v>
      </c>
      <c r="S1346">
        <f t="shared" si="100"/>
        <v>2024</v>
      </c>
      <c r="T1346" t="str">
        <f t="shared" si="101"/>
        <v>Sep</v>
      </c>
      <c r="U1346">
        <f t="shared" si="102"/>
        <v>6</v>
      </c>
      <c r="V1346">
        <f t="shared" si="103"/>
        <v>10</v>
      </c>
      <c r="W1346" s="9">
        <f t="shared" si="104"/>
        <v>-1.1557681515726463E-2</v>
      </c>
    </row>
    <row r="1347" spans="1:23">
      <c r="A1347">
        <v>11346</v>
      </c>
      <c r="B1347" s="5">
        <v>45542</v>
      </c>
      <c r="C1347" s="5">
        <v>45547</v>
      </c>
      <c r="D1347" s="5">
        <v>45551</v>
      </c>
      <c r="E1347" t="s">
        <v>20</v>
      </c>
      <c r="F1347" t="s">
        <v>22</v>
      </c>
      <c r="G1347" t="s">
        <v>26</v>
      </c>
      <c r="H1347" t="s">
        <v>29</v>
      </c>
      <c r="I1347" t="s">
        <v>36</v>
      </c>
      <c r="J1347" t="s">
        <v>42</v>
      </c>
      <c r="K1347" t="s">
        <v>48</v>
      </c>
      <c r="L1347" t="s">
        <v>52</v>
      </c>
      <c r="M1347" s="7">
        <v>48234</v>
      </c>
      <c r="N1347">
        <v>0.3</v>
      </c>
      <c r="O1347" s="7">
        <v>12032</v>
      </c>
      <c r="P1347">
        <v>2</v>
      </c>
      <c r="Q1347" t="s">
        <v>58</v>
      </c>
      <c r="R1347" t="s">
        <v>60</v>
      </c>
      <c r="S1347">
        <f t="shared" ref="S1347:S1410" si="105">YEAR(B1347)</f>
        <v>2024</v>
      </c>
      <c r="T1347" t="str">
        <f t="shared" ref="T1347:T1410" si="106">TEXT(B1347,"mmm")</f>
        <v>Sep</v>
      </c>
      <c r="U1347">
        <f t="shared" ref="U1347:U1410" si="107">C1347-B1347</f>
        <v>5</v>
      </c>
      <c r="V1347">
        <f t="shared" ref="V1347:V1410" si="108">D1347-B1347</f>
        <v>9</v>
      </c>
      <c r="W1347" s="9">
        <f t="shared" ref="W1347:W1410" si="109">IFERROR(O1347/M1347,0)</f>
        <v>0.24945059501596384</v>
      </c>
    </row>
    <row r="1348" spans="1:23">
      <c r="A1348">
        <v>11347</v>
      </c>
      <c r="B1348" s="5">
        <v>45543</v>
      </c>
      <c r="C1348" s="5">
        <v>45547</v>
      </c>
      <c r="D1348" s="5">
        <v>45550</v>
      </c>
      <c r="E1348" t="s">
        <v>21</v>
      </c>
      <c r="F1348" t="s">
        <v>22</v>
      </c>
      <c r="G1348" t="s">
        <v>26</v>
      </c>
      <c r="H1348" t="s">
        <v>31</v>
      </c>
      <c r="I1348" t="s">
        <v>36</v>
      </c>
      <c r="J1348" t="s">
        <v>40</v>
      </c>
      <c r="K1348" t="s">
        <v>46</v>
      </c>
      <c r="L1348" t="s">
        <v>52</v>
      </c>
      <c r="M1348" s="7">
        <v>6142</v>
      </c>
      <c r="N1348">
        <v>0.09</v>
      </c>
      <c r="O1348" s="7">
        <v>-1516</v>
      </c>
      <c r="P1348">
        <v>16</v>
      </c>
      <c r="Q1348" t="s">
        <v>57</v>
      </c>
      <c r="R1348" t="s">
        <v>62</v>
      </c>
      <c r="S1348">
        <f t="shared" si="105"/>
        <v>2024</v>
      </c>
      <c r="T1348" t="str">
        <f t="shared" si="106"/>
        <v>Sep</v>
      </c>
      <c r="U1348">
        <f t="shared" si="107"/>
        <v>4</v>
      </c>
      <c r="V1348">
        <f t="shared" si="108"/>
        <v>7</v>
      </c>
      <c r="W1348" s="9">
        <f t="shared" si="109"/>
        <v>-0.24682513839140346</v>
      </c>
    </row>
    <row r="1349" spans="1:23">
      <c r="A1349">
        <v>11348</v>
      </c>
      <c r="B1349" s="5">
        <v>45544</v>
      </c>
      <c r="C1349" s="5">
        <v>45548</v>
      </c>
      <c r="D1349" s="5">
        <v>45550</v>
      </c>
      <c r="E1349" t="s">
        <v>21</v>
      </c>
      <c r="F1349" t="s">
        <v>22</v>
      </c>
      <c r="G1349" t="s">
        <v>24</v>
      </c>
      <c r="H1349" t="s">
        <v>31</v>
      </c>
      <c r="I1349" t="s">
        <v>35</v>
      </c>
      <c r="J1349" t="s">
        <v>40</v>
      </c>
      <c r="K1349" t="s">
        <v>48</v>
      </c>
      <c r="L1349" t="s">
        <v>53</v>
      </c>
      <c r="M1349" s="7">
        <v>71786</v>
      </c>
      <c r="N1349">
        <v>0.23</v>
      </c>
      <c r="O1349" s="7">
        <v>2761</v>
      </c>
      <c r="P1349">
        <v>22</v>
      </c>
      <c r="Q1349" t="s">
        <v>54</v>
      </c>
      <c r="R1349" t="s">
        <v>59</v>
      </c>
      <c r="S1349">
        <f t="shared" si="105"/>
        <v>2024</v>
      </c>
      <c r="T1349" t="str">
        <f t="shared" si="106"/>
        <v>Sep</v>
      </c>
      <c r="U1349">
        <f t="shared" si="107"/>
        <v>4</v>
      </c>
      <c r="V1349">
        <f t="shared" si="108"/>
        <v>6</v>
      </c>
      <c r="W1349" s="9">
        <f t="shared" si="109"/>
        <v>3.8461538461538464E-2</v>
      </c>
    </row>
    <row r="1350" spans="1:23">
      <c r="A1350">
        <v>11349</v>
      </c>
      <c r="B1350" s="5">
        <v>45545</v>
      </c>
      <c r="C1350" s="5">
        <v>45550</v>
      </c>
      <c r="D1350" s="5">
        <v>45552</v>
      </c>
      <c r="E1350" t="s">
        <v>20</v>
      </c>
      <c r="F1350" t="s">
        <v>22</v>
      </c>
      <c r="G1350" t="s">
        <v>25</v>
      </c>
      <c r="H1350" t="s">
        <v>33</v>
      </c>
      <c r="I1350" t="s">
        <v>36</v>
      </c>
      <c r="J1350" t="s">
        <v>42</v>
      </c>
      <c r="K1350" t="s">
        <v>49</v>
      </c>
      <c r="L1350" t="s">
        <v>52</v>
      </c>
      <c r="M1350" s="7">
        <v>58066</v>
      </c>
      <c r="N1350">
        <v>0.06</v>
      </c>
      <c r="O1350" s="7">
        <v>95</v>
      </c>
      <c r="P1350">
        <v>12</v>
      </c>
      <c r="Q1350" t="s">
        <v>56</v>
      </c>
      <c r="R1350" t="s">
        <v>62</v>
      </c>
      <c r="S1350">
        <f t="shared" si="105"/>
        <v>2024</v>
      </c>
      <c r="T1350" t="str">
        <f t="shared" si="106"/>
        <v>Sep</v>
      </c>
      <c r="U1350">
        <f t="shared" si="107"/>
        <v>5</v>
      </c>
      <c r="V1350">
        <f t="shared" si="108"/>
        <v>7</v>
      </c>
      <c r="W1350" s="9">
        <f t="shared" si="109"/>
        <v>1.6360693004512108E-3</v>
      </c>
    </row>
    <row r="1351" spans="1:23">
      <c r="A1351">
        <v>11350</v>
      </c>
      <c r="B1351" s="5">
        <v>45546</v>
      </c>
      <c r="C1351" s="5">
        <v>45549</v>
      </c>
      <c r="D1351" s="5">
        <v>45553</v>
      </c>
      <c r="E1351" t="s">
        <v>18</v>
      </c>
      <c r="F1351" t="s">
        <v>22</v>
      </c>
      <c r="G1351" t="s">
        <v>26</v>
      </c>
      <c r="H1351" t="s">
        <v>25</v>
      </c>
      <c r="I1351" t="s">
        <v>35</v>
      </c>
      <c r="J1351" t="s">
        <v>43</v>
      </c>
      <c r="K1351" t="s">
        <v>47</v>
      </c>
      <c r="L1351" t="s">
        <v>52</v>
      </c>
      <c r="M1351" s="7">
        <v>5086</v>
      </c>
      <c r="N1351">
        <v>7.0000000000000007E-2</v>
      </c>
      <c r="O1351" s="7">
        <v>15340</v>
      </c>
      <c r="P1351">
        <v>11</v>
      </c>
      <c r="Q1351" t="s">
        <v>58</v>
      </c>
      <c r="R1351" t="s">
        <v>59</v>
      </c>
      <c r="S1351">
        <f t="shared" si="105"/>
        <v>2024</v>
      </c>
      <c r="T1351" t="str">
        <f t="shared" si="106"/>
        <v>Sep</v>
      </c>
      <c r="U1351">
        <f t="shared" si="107"/>
        <v>3</v>
      </c>
      <c r="V1351">
        <f t="shared" si="108"/>
        <v>7</v>
      </c>
      <c r="W1351" s="9">
        <f t="shared" si="109"/>
        <v>3.0161226897365316</v>
      </c>
    </row>
    <row r="1352" spans="1:23">
      <c r="A1352">
        <v>11351</v>
      </c>
      <c r="B1352" s="5">
        <v>45547</v>
      </c>
      <c r="C1352" s="5">
        <v>45550</v>
      </c>
      <c r="D1352" s="5">
        <v>45554</v>
      </c>
      <c r="E1352" t="s">
        <v>21</v>
      </c>
      <c r="F1352" t="s">
        <v>22</v>
      </c>
      <c r="G1352" t="s">
        <v>28</v>
      </c>
      <c r="H1352" t="s">
        <v>31</v>
      </c>
      <c r="I1352" t="s">
        <v>34</v>
      </c>
      <c r="J1352" t="s">
        <v>41</v>
      </c>
      <c r="K1352" t="s">
        <v>46</v>
      </c>
      <c r="L1352" t="s">
        <v>53</v>
      </c>
      <c r="M1352" s="7">
        <v>45561</v>
      </c>
      <c r="N1352">
        <v>0.38</v>
      </c>
      <c r="O1352" s="7">
        <v>8158</v>
      </c>
      <c r="P1352">
        <v>13</v>
      </c>
      <c r="Q1352" t="s">
        <v>54</v>
      </c>
      <c r="R1352" t="s">
        <v>59</v>
      </c>
      <c r="S1352">
        <f t="shared" si="105"/>
        <v>2024</v>
      </c>
      <c r="T1352" t="str">
        <f t="shared" si="106"/>
        <v>Sep</v>
      </c>
      <c r="U1352">
        <f t="shared" si="107"/>
        <v>3</v>
      </c>
      <c r="V1352">
        <f t="shared" si="108"/>
        <v>7</v>
      </c>
      <c r="W1352" s="9">
        <f t="shared" si="109"/>
        <v>0.17905664932727552</v>
      </c>
    </row>
    <row r="1353" spans="1:23">
      <c r="A1353">
        <v>11352</v>
      </c>
      <c r="B1353" s="5">
        <v>45548</v>
      </c>
      <c r="C1353" s="5">
        <v>45553</v>
      </c>
      <c r="D1353" s="5">
        <v>45558</v>
      </c>
      <c r="E1353" t="s">
        <v>18</v>
      </c>
      <c r="F1353" t="s">
        <v>22</v>
      </c>
      <c r="G1353" t="s">
        <v>26</v>
      </c>
      <c r="H1353" t="s">
        <v>25</v>
      </c>
      <c r="I1353" t="s">
        <v>35</v>
      </c>
      <c r="J1353" t="s">
        <v>37</v>
      </c>
      <c r="K1353" t="s">
        <v>47</v>
      </c>
      <c r="L1353" t="s">
        <v>53</v>
      </c>
      <c r="M1353" s="7">
        <v>9117</v>
      </c>
      <c r="N1353">
        <v>0.04</v>
      </c>
      <c r="O1353" s="7">
        <v>-117</v>
      </c>
      <c r="P1353">
        <v>10</v>
      </c>
      <c r="Q1353" t="s">
        <v>58</v>
      </c>
      <c r="R1353" t="s">
        <v>62</v>
      </c>
      <c r="S1353">
        <f t="shared" si="105"/>
        <v>2024</v>
      </c>
      <c r="T1353" t="str">
        <f t="shared" si="106"/>
        <v>Sep</v>
      </c>
      <c r="U1353">
        <f t="shared" si="107"/>
        <v>5</v>
      </c>
      <c r="V1353">
        <f t="shared" si="108"/>
        <v>10</v>
      </c>
      <c r="W1353" s="9">
        <f t="shared" si="109"/>
        <v>-1.2833168805528134E-2</v>
      </c>
    </row>
    <row r="1354" spans="1:23">
      <c r="A1354">
        <v>11353</v>
      </c>
      <c r="B1354" s="5">
        <v>45549</v>
      </c>
      <c r="C1354" s="5">
        <v>45555</v>
      </c>
      <c r="D1354" s="5">
        <v>45559</v>
      </c>
      <c r="E1354" t="s">
        <v>20</v>
      </c>
      <c r="F1354" t="s">
        <v>22</v>
      </c>
      <c r="G1354" t="s">
        <v>27</v>
      </c>
      <c r="H1354" t="s">
        <v>31</v>
      </c>
      <c r="I1354" t="s">
        <v>34</v>
      </c>
      <c r="J1354" t="s">
        <v>41</v>
      </c>
      <c r="K1354" t="s">
        <v>45</v>
      </c>
      <c r="L1354" t="s">
        <v>51</v>
      </c>
      <c r="M1354" s="7">
        <v>30704</v>
      </c>
      <c r="N1354">
        <v>0</v>
      </c>
      <c r="O1354" s="7">
        <v>12331</v>
      </c>
      <c r="P1354">
        <v>4</v>
      </c>
      <c r="Q1354" t="s">
        <v>57</v>
      </c>
      <c r="R1354" t="s">
        <v>61</v>
      </c>
      <c r="S1354">
        <f t="shared" si="105"/>
        <v>2024</v>
      </c>
      <c r="T1354" t="str">
        <f t="shared" si="106"/>
        <v>Sep</v>
      </c>
      <c r="U1354">
        <f t="shared" si="107"/>
        <v>6</v>
      </c>
      <c r="V1354">
        <f t="shared" si="108"/>
        <v>10</v>
      </c>
      <c r="W1354" s="9">
        <f t="shared" si="109"/>
        <v>0.40160891089108913</v>
      </c>
    </row>
    <row r="1355" spans="1:23">
      <c r="A1355">
        <v>11354</v>
      </c>
      <c r="B1355" s="5">
        <v>45550</v>
      </c>
      <c r="C1355" s="5">
        <v>45553</v>
      </c>
      <c r="D1355" s="5">
        <v>45554</v>
      </c>
      <c r="E1355" t="s">
        <v>20</v>
      </c>
      <c r="F1355" t="s">
        <v>22</v>
      </c>
      <c r="G1355" t="s">
        <v>24</v>
      </c>
      <c r="H1355" t="s">
        <v>32</v>
      </c>
      <c r="I1355" t="s">
        <v>35</v>
      </c>
      <c r="J1355" t="s">
        <v>38</v>
      </c>
      <c r="K1355" t="s">
        <v>47</v>
      </c>
      <c r="L1355" t="s">
        <v>51</v>
      </c>
      <c r="M1355" s="7">
        <v>60928</v>
      </c>
      <c r="N1355">
        <v>0.08</v>
      </c>
      <c r="O1355" s="7">
        <v>2403</v>
      </c>
      <c r="P1355">
        <v>11</v>
      </c>
      <c r="Q1355" t="s">
        <v>54</v>
      </c>
      <c r="R1355" t="s">
        <v>62</v>
      </c>
      <c r="S1355">
        <f t="shared" si="105"/>
        <v>2024</v>
      </c>
      <c r="T1355" t="str">
        <f t="shared" si="106"/>
        <v>Sep</v>
      </c>
      <c r="U1355">
        <f t="shared" si="107"/>
        <v>3</v>
      </c>
      <c r="V1355">
        <f t="shared" si="108"/>
        <v>4</v>
      </c>
      <c r="W1355" s="9">
        <f t="shared" si="109"/>
        <v>3.9439994747899158E-2</v>
      </c>
    </row>
    <row r="1356" spans="1:23">
      <c r="A1356">
        <v>11355</v>
      </c>
      <c r="B1356" s="5">
        <v>45551</v>
      </c>
      <c r="C1356" s="5">
        <v>45556</v>
      </c>
      <c r="D1356" s="5">
        <v>45559</v>
      </c>
      <c r="E1356" t="s">
        <v>20</v>
      </c>
      <c r="F1356" t="s">
        <v>22</v>
      </c>
      <c r="G1356" t="s">
        <v>26</v>
      </c>
      <c r="H1356" t="s">
        <v>31</v>
      </c>
      <c r="I1356" t="s">
        <v>35</v>
      </c>
      <c r="J1356" t="s">
        <v>40</v>
      </c>
      <c r="K1356" t="s">
        <v>48</v>
      </c>
      <c r="L1356" t="s">
        <v>53</v>
      </c>
      <c r="M1356" s="7">
        <v>37499</v>
      </c>
      <c r="N1356">
        <v>0.13</v>
      </c>
      <c r="O1356" s="7">
        <v>8417</v>
      </c>
      <c r="P1356">
        <v>21</v>
      </c>
      <c r="Q1356" t="s">
        <v>56</v>
      </c>
      <c r="R1356" t="s">
        <v>60</v>
      </c>
      <c r="S1356">
        <f t="shared" si="105"/>
        <v>2024</v>
      </c>
      <c r="T1356" t="str">
        <f t="shared" si="106"/>
        <v>Sep</v>
      </c>
      <c r="U1356">
        <f t="shared" si="107"/>
        <v>5</v>
      </c>
      <c r="V1356">
        <f t="shared" si="108"/>
        <v>8</v>
      </c>
      <c r="W1356" s="9">
        <f t="shared" si="109"/>
        <v>0.22445931891517107</v>
      </c>
    </row>
    <row r="1357" spans="1:23">
      <c r="A1357">
        <v>11356</v>
      </c>
      <c r="B1357" s="5">
        <v>45552</v>
      </c>
      <c r="C1357" s="5">
        <v>45559</v>
      </c>
      <c r="D1357" s="5">
        <v>45562</v>
      </c>
      <c r="E1357" t="s">
        <v>18</v>
      </c>
      <c r="F1357" t="s">
        <v>22</v>
      </c>
      <c r="G1357" t="s">
        <v>26</v>
      </c>
      <c r="H1357" t="s">
        <v>32</v>
      </c>
      <c r="I1357" t="s">
        <v>34</v>
      </c>
      <c r="J1357" t="s">
        <v>43</v>
      </c>
      <c r="K1357" t="s">
        <v>46</v>
      </c>
      <c r="L1357" t="s">
        <v>52</v>
      </c>
      <c r="M1357" s="7">
        <v>45469</v>
      </c>
      <c r="N1357">
        <v>0.17</v>
      </c>
      <c r="O1357" s="7">
        <v>9310</v>
      </c>
      <c r="P1357">
        <v>8</v>
      </c>
      <c r="Q1357" t="s">
        <v>57</v>
      </c>
      <c r="R1357" t="s">
        <v>59</v>
      </c>
      <c r="S1357">
        <f t="shared" si="105"/>
        <v>2024</v>
      </c>
      <c r="T1357" t="str">
        <f t="shared" si="106"/>
        <v>Sep</v>
      </c>
      <c r="U1357">
        <f t="shared" si="107"/>
        <v>7</v>
      </c>
      <c r="V1357">
        <f t="shared" si="108"/>
        <v>10</v>
      </c>
      <c r="W1357" s="9">
        <f t="shared" si="109"/>
        <v>0.20475488794563329</v>
      </c>
    </row>
    <row r="1358" spans="1:23">
      <c r="A1358">
        <v>11357</v>
      </c>
      <c r="B1358" s="5">
        <v>45553</v>
      </c>
      <c r="C1358" s="5">
        <v>45557</v>
      </c>
      <c r="D1358" s="5">
        <v>45559</v>
      </c>
      <c r="E1358" t="s">
        <v>21</v>
      </c>
      <c r="F1358" t="s">
        <v>22</v>
      </c>
      <c r="G1358" t="s">
        <v>25</v>
      </c>
      <c r="H1358" t="s">
        <v>33</v>
      </c>
      <c r="I1358" t="s">
        <v>35</v>
      </c>
      <c r="J1358" t="s">
        <v>41</v>
      </c>
      <c r="K1358" t="s">
        <v>46</v>
      </c>
      <c r="L1358" t="s">
        <v>52</v>
      </c>
      <c r="M1358" s="7">
        <v>52568</v>
      </c>
      <c r="N1358">
        <v>0.3</v>
      </c>
      <c r="O1358" s="7">
        <v>-834</v>
      </c>
      <c r="P1358">
        <v>20</v>
      </c>
      <c r="Q1358" t="s">
        <v>58</v>
      </c>
      <c r="R1358" t="s">
        <v>61</v>
      </c>
      <c r="S1358">
        <f t="shared" si="105"/>
        <v>2024</v>
      </c>
      <c r="T1358" t="str">
        <f t="shared" si="106"/>
        <v>Sep</v>
      </c>
      <c r="U1358">
        <f t="shared" si="107"/>
        <v>4</v>
      </c>
      <c r="V1358">
        <f t="shared" si="108"/>
        <v>6</v>
      </c>
      <c r="W1358" s="9">
        <f t="shared" si="109"/>
        <v>-1.5865165119464314E-2</v>
      </c>
    </row>
    <row r="1359" spans="1:23">
      <c r="A1359">
        <v>11358</v>
      </c>
      <c r="B1359" s="5">
        <v>45554</v>
      </c>
      <c r="C1359" s="5">
        <v>45558</v>
      </c>
      <c r="D1359" s="5">
        <v>45562</v>
      </c>
      <c r="E1359" t="s">
        <v>19</v>
      </c>
      <c r="F1359" t="s">
        <v>22</v>
      </c>
      <c r="G1359" t="s">
        <v>27</v>
      </c>
      <c r="H1359" t="s">
        <v>31</v>
      </c>
      <c r="I1359" t="s">
        <v>35</v>
      </c>
      <c r="J1359" t="s">
        <v>41</v>
      </c>
      <c r="K1359" t="s">
        <v>45</v>
      </c>
      <c r="L1359" t="s">
        <v>53</v>
      </c>
      <c r="M1359" s="7">
        <v>53548</v>
      </c>
      <c r="N1359">
        <v>0.27</v>
      </c>
      <c r="O1359" s="7">
        <v>5729</v>
      </c>
      <c r="P1359">
        <v>24</v>
      </c>
      <c r="Q1359" t="s">
        <v>54</v>
      </c>
      <c r="R1359" t="s">
        <v>60</v>
      </c>
      <c r="S1359">
        <f t="shared" si="105"/>
        <v>2024</v>
      </c>
      <c r="T1359" t="str">
        <f t="shared" si="106"/>
        <v>Sep</v>
      </c>
      <c r="U1359">
        <f t="shared" si="107"/>
        <v>4</v>
      </c>
      <c r="V1359">
        <f t="shared" si="108"/>
        <v>8</v>
      </c>
      <c r="W1359" s="9">
        <f t="shared" si="109"/>
        <v>0.10698812280570703</v>
      </c>
    </row>
    <row r="1360" spans="1:23">
      <c r="A1360">
        <v>11359</v>
      </c>
      <c r="B1360" s="5">
        <v>45555</v>
      </c>
      <c r="C1360" s="5">
        <v>45560</v>
      </c>
      <c r="D1360" s="5">
        <v>45562</v>
      </c>
      <c r="E1360" t="s">
        <v>20</v>
      </c>
      <c r="F1360" t="s">
        <v>22</v>
      </c>
      <c r="G1360" t="s">
        <v>24</v>
      </c>
      <c r="H1360" t="s">
        <v>30</v>
      </c>
      <c r="I1360" t="s">
        <v>34</v>
      </c>
      <c r="J1360" t="s">
        <v>43</v>
      </c>
      <c r="K1360" t="s">
        <v>47</v>
      </c>
      <c r="L1360" t="s">
        <v>53</v>
      </c>
      <c r="M1360" s="7">
        <v>58000</v>
      </c>
      <c r="N1360">
        <v>0.02</v>
      </c>
      <c r="O1360" s="7">
        <v>6517</v>
      </c>
      <c r="P1360">
        <v>12</v>
      </c>
      <c r="Q1360" t="s">
        <v>56</v>
      </c>
      <c r="R1360" t="s">
        <v>60</v>
      </c>
      <c r="S1360">
        <f t="shared" si="105"/>
        <v>2024</v>
      </c>
      <c r="T1360" t="str">
        <f t="shared" si="106"/>
        <v>Sep</v>
      </c>
      <c r="U1360">
        <f t="shared" si="107"/>
        <v>5</v>
      </c>
      <c r="V1360">
        <f t="shared" si="108"/>
        <v>7</v>
      </c>
      <c r="W1360" s="9">
        <f t="shared" si="109"/>
        <v>0.11236206896551724</v>
      </c>
    </row>
    <row r="1361" spans="1:23">
      <c r="A1361">
        <v>11360</v>
      </c>
      <c r="B1361" s="5">
        <v>45556</v>
      </c>
      <c r="C1361" s="5">
        <v>45562</v>
      </c>
      <c r="D1361" s="5">
        <v>45563</v>
      </c>
      <c r="E1361" t="s">
        <v>19</v>
      </c>
      <c r="F1361" t="s">
        <v>22</v>
      </c>
      <c r="G1361" t="s">
        <v>25</v>
      </c>
      <c r="H1361" t="s">
        <v>32</v>
      </c>
      <c r="I1361" t="s">
        <v>34</v>
      </c>
      <c r="J1361" t="s">
        <v>43</v>
      </c>
      <c r="K1361" t="s">
        <v>48</v>
      </c>
      <c r="L1361" t="s">
        <v>51</v>
      </c>
      <c r="M1361" s="7">
        <v>55994</v>
      </c>
      <c r="N1361">
        <v>0.13</v>
      </c>
      <c r="O1361" s="7">
        <v>1619</v>
      </c>
      <c r="P1361">
        <v>9</v>
      </c>
      <c r="Q1361" t="s">
        <v>58</v>
      </c>
      <c r="R1361" t="s">
        <v>60</v>
      </c>
      <c r="S1361">
        <f t="shared" si="105"/>
        <v>2024</v>
      </c>
      <c r="T1361" t="str">
        <f t="shared" si="106"/>
        <v>Sep</v>
      </c>
      <c r="U1361">
        <f t="shared" si="107"/>
        <v>6</v>
      </c>
      <c r="V1361">
        <f t="shared" si="108"/>
        <v>7</v>
      </c>
      <c r="W1361" s="9">
        <f t="shared" si="109"/>
        <v>2.8913812194163661E-2</v>
      </c>
    </row>
    <row r="1362" spans="1:23">
      <c r="A1362">
        <v>11361</v>
      </c>
      <c r="B1362" s="5">
        <v>45557</v>
      </c>
      <c r="C1362" s="5">
        <v>45561</v>
      </c>
      <c r="D1362" s="5">
        <v>45563</v>
      </c>
      <c r="E1362" t="s">
        <v>19</v>
      </c>
      <c r="F1362" t="s">
        <v>22</v>
      </c>
      <c r="G1362" t="s">
        <v>28</v>
      </c>
      <c r="H1362" t="s">
        <v>31</v>
      </c>
      <c r="I1362" t="s">
        <v>35</v>
      </c>
      <c r="J1362" t="s">
        <v>37</v>
      </c>
      <c r="K1362" t="s">
        <v>45</v>
      </c>
      <c r="L1362" t="s">
        <v>51</v>
      </c>
      <c r="M1362" s="7">
        <v>38544</v>
      </c>
      <c r="N1362">
        <v>0.2</v>
      </c>
      <c r="O1362" s="7">
        <v>19880</v>
      </c>
      <c r="P1362">
        <v>24</v>
      </c>
      <c r="Q1362" t="s">
        <v>54</v>
      </c>
      <c r="R1362" t="s">
        <v>62</v>
      </c>
      <c r="S1362">
        <f t="shared" si="105"/>
        <v>2024</v>
      </c>
      <c r="T1362" t="str">
        <f t="shared" si="106"/>
        <v>Sep</v>
      </c>
      <c r="U1362">
        <f t="shared" si="107"/>
        <v>4</v>
      </c>
      <c r="V1362">
        <f t="shared" si="108"/>
        <v>6</v>
      </c>
      <c r="W1362" s="9">
        <f t="shared" si="109"/>
        <v>0.51577418015774179</v>
      </c>
    </row>
    <row r="1363" spans="1:23">
      <c r="A1363">
        <v>11362</v>
      </c>
      <c r="B1363" s="5">
        <v>45558</v>
      </c>
      <c r="C1363" s="5">
        <v>45563</v>
      </c>
      <c r="D1363" s="5">
        <v>45566</v>
      </c>
      <c r="E1363" t="s">
        <v>18</v>
      </c>
      <c r="F1363" t="s">
        <v>22</v>
      </c>
      <c r="G1363" t="s">
        <v>27</v>
      </c>
      <c r="H1363" t="s">
        <v>33</v>
      </c>
      <c r="I1363" t="s">
        <v>35</v>
      </c>
      <c r="J1363" t="s">
        <v>43</v>
      </c>
      <c r="K1363" t="s">
        <v>46</v>
      </c>
      <c r="L1363" t="s">
        <v>52</v>
      </c>
      <c r="M1363" s="7">
        <v>70679</v>
      </c>
      <c r="N1363">
        <v>0.23</v>
      </c>
      <c r="O1363" s="7">
        <v>7412</v>
      </c>
      <c r="P1363">
        <v>22</v>
      </c>
      <c r="Q1363" t="s">
        <v>54</v>
      </c>
      <c r="R1363" t="s">
        <v>62</v>
      </c>
      <c r="S1363">
        <f t="shared" si="105"/>
        <v>2024</v>
      </c>
      <c r="T1363" t="str">
        <f t="shared" si="106"/>
        <v>Sep</v>
      </c>
      <c r="U1363">
        <f t="shared" si="107"/>
        <v>5</v>
      </c>
      <c r="V1363">
        <f t="shared" si="108"/>
        <v>8</v>
      </c>
      <c r="W1363" s="9">
        <f t="shared" si="109"/>
        <v>0.10486848993336069</v>
      </c>
    </row>
    <row r="1364" spans="1:23">
      <c r="A1364">
        <v>11363</v>
      </c>
      <c r="B1364" s="5">
        <v>45559</v>
      </c>
      <c r="C1364" s="5">
        <v>45566</v>
      </c>
      <c r="D1364" s="5">
        <v>45567</v>
      </c>
      <c r="E1364" t="s">
        <v>18</v>
      </c>
      <c r="F1364" t="s">
        <v>22</v>
      </c>
      <c r="G1364" t="s">
        <v>23</v>
      </c>
      <c r="H1364" t="s">
        <v>32</v>
      </c>
      <c r="I1364" t="s">
        <v>36</v>
      </c>
      <c r="J1364" t="s">
        <v>37</v>
      </c>
      <c r="K1364" t="s">
        <v>46</v>
      </c>
      <c r="L1364" t="s">
        <v>52</v>
      </c>
      <c r="M1364" s="7">
        <v>72499</v>
      </c>
      <c r="N1364">
        <v>0.09</v>
      </c>
      <c r="O1364" s="7">
        <v>-1015</v>
      </c>
      <c r="P1364">
        <v>15</v>
      </c>
      <c r="Q1364" t="s">
        <v>57</v>
      </c>
      <c r="R1364" t="s">
        <v>60</v>
      </c>
      <c r="S1364">
        <f t="shared" si="105"/>
        <v>2024</v>
      </c>
      <c r="T1364" t="str">
        <f t="shared" si="106"/>
        <v>Sep</v>
      </c>
      <c r="U1364">
        <f t="shared" si="107"/>
        <v>7</v>
      </c>
      <c r="V1364">
        <f t="shared" si="108"/>
        <v>8</v>
      </c>
      <c r="W1364" s="9">
        <f t="shared" si="109"/>
        <v>-1.4000193106111808E-2</v>
      </c>
    </row>
    <row r="1365" spans="1:23">
      <c r="A1365">
        <v>11364</v>
      </c>
      <c r="B1365" s="5">
        <v>45560</v>
      </c>
      <c r="C1365" s="5">
        <v>45566</v>
      </c>
      <c r="D1365" s="5">
        <v>45570</v>
      </c>
      <c r="E1365" t="s">
        <v>19</v>
      </c>
      <c r="F1365" t="s">
        <v>22</v>
      </c>
      <c r="G1365" t="s">
        <v>28</v>
      </c>
      <c r="H1365" t="s">
        <v>33</v>
      </c>
      <c r="I1365" t="s">
        <v>34</v>
      </c>
      <c r="J1365" t="s">
        <v>42</v>
      </c>
      <c r="K1365" t="s">
        <v>44</v>
      </c>
      <c r="L1365" t="s">
        <v>52</v>
      </c>
      <c r="M1365" s="7">
        <v>20809</v>
      </c>
      <c r="N1365">
        <v>0.19</v>
      </c>
      <c r="O1365" s="7">
        <v>14237</v>
      </c>
      <c r="P1365">
        <v>21</v>
      </c>
      <c r="Q1365" t="s">
        <v>58</v>
      </c>
      <c r="R1365" t="s">
        <v>60</v>
      </c>
      <c r="S1365">
        <f t="shared" si="105"/>
        <v>2024</v>
      </c>
      <c r="T1365" t="str">
        <f t="shared" si="106"/>
        <v>Sep</v>
      </c>
      <c r="U1365">
        <f t="shared" si="107"/>
        <v>6</v>
      </c>
      <c r="V1365">
        <f t="shared" si="108"/>
        <v>10</v>
      </c>
      <c r="W1365" s="9">
        <f t="shared" si="109"/>
        <v>0.68417511653611418</v>
      </c>
    </row>
    <row r="1366" spans="1:23">
      <c r="A1366">
        <v>11365</v>
      </c>
      <c r="B1366" s="5">
        <v>45561</v>
      </c>
      <c r="C1366" s="5">
        <v>45568</v>
      </c>
      <c r="D1366" s="5">
        <v>45573</v>
      </c>
      <c r="E1366" t="s">
        <v>18</v>
      </c>
      <c r="F1366" t="s">
        <v>22</v>
      </c>
      <c r="G1366" t="s">
        <v>28</v>
      </c>
      <c r="H1366" t="s">
        <v>30</v>
      </c>
      <c r="I1366" t="s">
        <v>35</v>
      </c>
      <c r="J1366" t="s">
        <v>38</v>
      </c>
      <c r="K1366" t="s">
        <v>50</v>
      </c>
      <c r="L1366" t="s">
        <v>52</v>
      </c>
      <c r="M1366" s="7">
        <v>64876</v>
      </c>
      <c r="N1366">
        <v>0.31</v>
      </c>
      <c r="O1366" s="7">
        <v>13373</v>
      </c>
      <c r="P1366">
        <v>5</v>
      </c>
      <c r="Q1366" t="s">
        <v>54</v>
      </c>
      <c r="R1366" t="s">
        <v>60</v>
      </c>
      <c r="S1366">
        <f t="shared" si="105"/>
        <v>2024</v>
      </c>
      <c r="T1366" t="str">
        <f t="shared" si="106"/>
        <v>Sep</v>
      </c>
      <c r="U1366">
        <f t="shared" si="107"/>
        <v>7</v>
      </c>
      <c r="V1366">
        <f t="shared" si="108"/>
        <v>12</v>
      </c>
      <c r="W1366" s="9">
        <f t="shared" si="109"/>
        <v>0.20613169739194773</v>
      </c>
    </row>
    <row r="1367" spans="1:23">
      <c r="A1367">
        <v>11366</v>
      </c>
      <c r="B1367" s="5">
        <v>45562</v>
      </c>
      <c r="C1367" s="5">
        <v>45567</v>
      </c>
      <c r="D1367" s="5">
        <v>45570</v>
      </c>
      <c r="E1367" t="s">
        <v>21</v>
      </c>
      <c r="F1367" t="s">
        <v>22</v>
      </c>
      <c r="G1367" t="s">
        <v>25</v>
      </c>
      <c r="H1367" t="s">
        <v>30</v>
      </c>
      <c r="I1367" t="s">
        <v>36</v>
      </c>
      <c r="J1367" t="s">
        <v>39</v>
      </c>
      <c r="K1367" t="s">
        <v>46</v>
      </c>
      <c r="L1367" t="s">
        <v>52</v>
      </c>
      <c r="M1367" s="7">
        <v>21981</v>
      </c>
      <c r="N1367">
        <v>0.3</v>
      </c>
      <c r="O1367" s="7">
        <v>7044</v>
      </c>
      <c r="P1367">
        <v>15</v>
      </c>
      <c r="Q1367" t="s">
        <v>56</v>
      </c>
      <c r="R1367" t="s">
        <v>60</v>
      </c>
      <c r="S1367">
        <f t="shared" si="105"/>
        <v>2024</v>
      </c>
      <c r="T1367" t="str">
        <f t="shared" si="106"/>
        <v>Sep</v>
      </c>
      <c r="U1367">
        <f t="shared" si="107"/>
        <v>5</v>
      </c>
      <c r="V1367">
        <f t="shared" si="108"/>
        <v>8</v>
      </c>
      <c r="W1367" s="9">
        <f t="shared" si="109"/>
        <v>0.3204585778626996</v>
      </c>
    </row>
    <row r="1368" spans="1:23">
      <c r="A1368">
        <v>11367</v>
      </c>
      <c r="B1368" s="5">
        <v>45563</v>
      </c>
      <c r="C1368" s="5">
        <v>45567</v>
      </c>
      <c r="D1368" s="5">
        <v>45568</v>
      </c>
      <c r="E1368" t="s">
        <v>19</v>
      </c>
      <c r="F1368" t="s">
        <v>22</v>
      </c>
      <c r="G1368" t="s">
        <v>27</v>
      </c>
      <c r="H1368" t="s">
        <v>30</v>
      </c>
      <c r="I1368" t="s">
        <v>35</v>
      </c>
      <c r="J1368" t="s">
        <v>37</v>
      </c>
      <c r="K1368" t="s">
        <v>45</v>
      </c>
      <c r="L1368" t="s">
        <v>51</v>
      </c>
      <c r="M1368" s="7">
        <v>13051</v>
      </c>
      <c r="N1368">
        <v>0.04</v>
      </c>
      <c r="O1368" s="7">
        <v>18271</v>
      </c>
      <c r="P1368">
        <v>16</v>
      </c>
      <c r="Q1368" t="s">
        <v>55</v>
      </c>
      <c r="R1368" t="s">
        <v>62</v>
      </c>
      <c r="S1368">
        <f t="shared" si="105"/>
        <v>2024</v>
      </c>
      <c r="T1368" t="str">
        <f t="shared" si="106"/>
        <v>Sep</v>
      </c>
      <c r="U1368">
        <f t="shared" si="107"/>
        <v>4</v>
      </c>
      <c r="V1368">
        <f t="shared" si="108"/>
        <v>5</v>
      </c>
      <c r="W1368" s="9">
        <f t="shared" si="109"/>
        <v>1.3999693510075857</v>
      </c>
    </row>
    <row r="1369" spans="1:23">
      <c r="A1369">
        <v>11368</v>
      </c>
      <c r="B1369" s="5">
        <v>45564</v>
      </c>
      <c r="C1369" s="5">
        <v>45568</v>
      </c>
      <c r="D1369" s="5">
        <v>45572</v>
      </c>
      <c r="E1369" t="s">
        <v>18</v>
      </c>
      <c r="F1369" t="s">
        <v>22</v>
      </c>
      <c r="G1369" t="s">
        <v>25</v>
      </c>
      <c r="H1369" t="s">
        <v>32</v>
      </c>
      <c r="I1369" t="s">
        <v>35</v>
      </c>
      <c r="J1369" t="s">
        <v>42</v>
      </c>
      <c r="K1369" t="s">
        <v>47</v>
      </c>
      <c r="L1369" t="s">
        <v>53</v>
      </c>
      <c r="M1369" s="7">
        <v>29278</v>
      </c>
      <c r="N1369">
        <v>0.14000000000000001</v>
      </c>
      <c r="O1369" s="7">
        <v>8269</v>
      </c>
      <c r="P1369">
        <v>1</v>
      </c>
      <c r="Q1369" t="s">
        <v>55</v>
      </c>
      <c r="R1369" t="s">
        <v>60</v>
      </c>
      <c r="S1369">
        <f t="shared" si="105"/>
        <v>2024</v>
      </c>
      <c r="T1369" t="str">
        <f t="shared" si="106"/>
        <v>Sep</v>
      </c>
      <c r="U1369">
        <f t="shared" si="107"/>
        <v>4</v>
      </c>
      <c r="V1369">
        <f t="shared" si="108"/>
        <v>8</v>
      </c>
      <c r="W1369" s="9">
        <f t="shared" si="109"/>
        <v>0.2824304938861944</v>
      </c>
    </row>
    <row r="1370" spans="1:23">
      <c r="A1370">
        <v>11369</v>
      </c>
      <c r="B1370" s="5">
        <v>45565</v>
      </c>
      <c r="C1370" s="5">
        <v>45571</v>
      </c>
      <c r="D1370" s="5">
        <v>45573</v>
      </c>
      <c r="E1370" t="s">
        <v>19</v>
      </c>
      <c r="F1370" t="s">
        <v>22</v>
      </c>
      <c r="G1370" t="s">
        <v>23</v>
      </c>
      <c r="H1370" t="s">
        <v>25</v>
      </c>
      <c r="I1370" t="s">
        <v>35</v>
      </c>
      <c r="J1370" t="s">
        <v>40</v>
      </c>
      <c r="K1370" t="s">
        <v>50</v>
      </c>
      <c r="L1370" t="s">
        <v>51</v>
      </c>
      <c r="M1370" s="7">
        <v>14401</v>
      </c>
      <c r="N1370">
        <v>0.27</v>
      </c>
      <c r="O1370" s="7">
        <v>19770</v>
      </c>
      <c r="P1370">
        <v>7</v>
      </c>
      <c r="Q1370" t="s">
        <v>55</v>
      </c>
      <c r="R1370" t="s">
        <v>62</v>
      </c>
      <c r="S1370">
        <f t="shared" si="105"/>
        <v>2024</v>
      </c>
      <c r="T1370" t="str">
        <f t="shared" si="106"/>
        <v>Sep</v>
      </c>
      <c r="U1370">
        <f t="shared" si="107"/>
        <v>6</v>
      </c>
      <c r="V1370">
        <f t="shared" si="108"/>
        <v>8</v>
      </c>
      <c r="W1370" s="9">
        <f t="shared" si="109"/>
        <v>1.3728213318519547</v>
      </c>
    </row>
    <row r="1371" spans="1:23">
      <c r="A1371">
        <v>11370</v>
      </c>
      <c r="B1371" s="5">
        <v>45566</v>
      </c>
      <c r="C1371" s="5">
        <v>45573</v>
      </c>
      <c r="D1371" s="5">
        <v>45577</v>
      </c>
      <c r="E1371" t="s">
        <v>19</v>
      </c>
      <c r="F1371" t="s">
        <v>22</v>
      </c>
      <c r="G1371" t="s">
        <v>28</v>
      </c>
      <c r="H1371" t="s">
        <v>29</v>
      </c>
      <c r="I1371" t="s">
        <v>34</v>
      </c>
      <c r="J1371" t="s">
        <v>37</v>
      </c>
      <c r="K1371" t="s">
        <v>44</v>
      </c>
      <c r="L1371" t="s">
        <v>51</v>
      </c>
      <c r="M1371" s="7">
        <v>19651</v>
      </c>
      <c r="N1371">
        <v>0.38</v>
      </c>
      <c r="O1371" s="7">
        <v>2155</v>
      </c>
      <c r="P1371">
        <v>7</v>
      </c>
      <c r="Q1371" t="s">
        <v>56</v>
      </c>
      <c r="R1371" t="s">
        <v>59</v>
      </c>
      <c r="S1371">
        <f t="shared" si="105"/>
        <v>2024</v>
      </c>
      <c r="T1371" t="str">
        <f t="shared" si="106"/>
        <v>Oct</v>
      </c>
      <c r="U1371">
        <f t="shared" si="107"/>
        <v>7</v>
      </c>
      <c r="V1371">
        <f t="shared" si="108"/>
        <v>11</v>
      </c>
      <c r="W1371" s="9">
        <f t="shared" si="109"/>
        <v>0.10966363034960053</v>
      </c>
    </row>
    <row r="1372" spans="1:23">
      <c r="A1372">
        <v>11371</v>
      </c>
      <c r="B1372" s="5">
        <v>45567</v>
      </c>
      <c r="C1372" s="5">
        <v>45569</v>
      </c>
      <c r="D1372" s="5">
        <v>45573</v>
      </c>
      <c r="E1372" t="s">
        <v>21</v>
      </c>
      <c r="F1372" t="s">
        <v>22</v>
      </c>
      <c r="G1372" t="s">
        <v>27</v>
      </c>
      <c r="H1372" t="s">
        <v>33</v>
      </c>
      <c r="I1372" t="s">
        <v>35</v>
      </c>
      <c r="J1372" t="s">
        <v>43</v>
      </c>
      <c r="K1372" t="s">
        <v>45</v>
      </c>
      <c r="L1372" t="s">
        <v>53</v>
      </c>
      <c r="M1372" s="7">
        <v>15955</v>
      </c>
      <c r="N1372">
        <v>7.0000000000000007E-2</v>
      </c>
      <c r="O1372" s="7">
        <v>1246</v>
      </c>
      <c r="P1372">
        <v>14</v>
      </c>
      <c r="Q1372" t="s">
        <v>54</v>
      </c>
      <c r="R1372" t="s">
        <v>59</v>
      </c>
      <c r="S1372">
        <f t="shared" si="105"/>
        <v>2024</v>
      </c>
      <c r="T1372" t="str">
        <f t="shared" si="106"/>
        <v>Oct</v>
      </c>
      <c r="U1372">
        <f t="shared" si="107"/>
        <v>2</v>
      </c>
      <c r="V1372">
        <f t="shared" si="108"/>
        <v>6</v>
      </c>
      <c r="W1372" s="9">
        <f t="shared" si="109"/>
        <v>7.8094641178314009E-2</v>
      </c>
    </row>
    <row r="1373" spans="1:23">
      <c r="A1373">
        <v>11372</v>
      </c>
      <c r="B1373" s="5">
        <v>45568</v>
      </c>
      <c r="C1373" s="5">
        <v>45573</v>
      </c>
      <c r="D1373" s="5">
        <v>45577</v>
      </c>
      <c r="E1373" t="s">
        <v>18</v>
      </c>
      <c r="F1373" t="s">
        <v>22</v>
      </c>
      <c r="G1373" t="s">
        <v>28</v>
      </c>
      <c r="H1373" t="s">
        <v>32</v>
      </c>
      <c r="I1373" t="s">
        <v>35</v>
      </c>
      <c r="J1373" t="s">
        <v>40</v>
      </c>
      <c r="K1373" t="s">
        <v>45</v>
      </c>
      <c r="L1373" t="s">
        <v>52</v>
      </c>
      <c r="M1373" s="7">
        <v>10124</v>
      </c>
      <c r="N1373">
        <v>0.15</v>
      </c>
      <c r="O1373" s="7">
        <v>15702</v>
      </c>
      <c r="P1373">
        <v>11</v>
      </c>
      <c r="Q1373" t="s">
        <v>56</v>
      </c>
      <c r="R1373" t="s">
        <v>60</v>
      </c>
      <c r="S1373">
        <f t="shared" si="105"/>
        <v>2024</v>
      </c>
      <c r="T1373" t="str">
        <f t="shared" si="106"/>
        <v>Oct</v>
      </c>
      <c r="U1373">
        <f t="shared" si="107"/>
        <v>5</v>
      </c>
      <c r="V1373">
        <f t="shared" si="108"/>
        <v>9</v>
      </c>
      <c r="W1373" s="9">
        <f t="shared" si="109"/>
        <v>1.5509679968391941</v>
      </c>
    </row>
    <row r="1374" spans="1:23">
      <c r="A1374">
        <v>11373</v>
      </c>
      <c r="B1374" s="5">
        <v>45569</v>
      </c>
      <c r="C1374" s="5">
        <v>45573</v>
      </c>
      <c r="D1374" s="5">
        <v>45574</v>
      </c>
      <c r="E1374" t="s">
        <v>20</v>
      </c>
      <c r="F1374" t="s">
        <v>22</v>
      </c>
      <c r="G1374" t="s">
        <v>25</v>
      </c>
      <c r="H1374" t="s">
        <v>31</v>
      </c>
      <c r="I1374" t="s">
        <v>35</v>
      </c>
      <c r="J1374" t="s">
        <v>37</v>
      </c>
      <c r="K1374" t="s">
        <v>50</v>
      </c>
      <c r="L1374" t="s">
        <v>53</v>
      </c>
      <c r="M1374" s="7">
        <v>33296</v>
      </c>
      <c r="N1374">
        <v>7.0000000000000007E-2</v>
      </c>
      <c r="O1374" s="7">
        <v>6181</v>
      </c>
      <c r="P1374">
        <v>8</v>
      </c>
      <c r="Q1374" t="s">
        <v>56</v>
      </c>
      <c r="R1374" t="s">
        <v>60</v>
      </c>
      <c r="S1374">
        <f t="shared" si="105"/>
        <v>2024</v>
      </c>
      <c r="T1374" t="str">
        <f t="shared" si="106"/>
        <v>Oct</v>
      </c>
      <c r="U1374">
        <f t="shared" si="107"/>
        <v>4</v>
      </c>
      <c r="V1374">
        <f t="shared" si="108"/>
        <v>5</v>
      </c>
      <c r="W1374" s="9">
        <f t="shared" si="109"/>
        <v>0.18563791446419992</v>
      </c>
    </row>
    <row r="1375" spans="1:23">
      <c r="A1375">
        <v>11374</v>
      </c>
      <c r="B1375" s="5">
        <v>45570</v>
      </c>
      <c r="C1375" s="5">
        <v>45576</v>
      </c>
      <c r="D1375" s="5">
        <v>45579</v>
      </c>
      <c r="E1375" t="s">
        <v>20</v>
      </c>
      <c r="F1375" t="s">
        <v>22</v>
      </c>
      <c r="G1375" t="s">
        <v>23</v>
      </c>
      <c r="H1375" t="s">
        <v>33</v>
      </c>
      <c r="I1375" t="s">
        <v>36</v>
      </c>
      <c r="J1375" t="s">
        <v>38</v>
      </c>
      <c r="K1375" t="s">
        <v>44</v>
      </c>
      <c r="L1375" t="s">
        <v>52</v>
      </c>
      <c r="M1375" s="7">
        <v>34455</v>
      </c>
      <c r="N1375">
        <v>0.3</v>
      </c>
      <c r="O1375" s="7">
        <v>16108</v>
      </c>
      <c r="P1375">
        <v>7</v>
      </c>
      <c r="Q1375" t="s">
        <v>55</v>
      </c>
      <c r="R1375" t="s">
        <v>61</v>
      </c>
      <c r="S1375">
        <f t="shared" si="105"/>
        <v>2024</v>
      </c>
      <c r="T1375" t="str">
        <f t="shared" si="106"/>
        <v>Oct</v>
      </c>
      <c r="U1375">
        <f t="shared" si="107"/>
        <v>6</v>
      </c>
      <c r="V1375">
        <f t="shared" si="108"/>
        <v>9</v>
      </c>
      <c r="W1375" s="9">
        <f t="shared" si="109"/>
        <v>0.46750834421709475</v>
      </c>
    </row>
    <row r="1376" spans="1:23">
      <c r="A1376">
        <v>11375</v>
      </c>
      <c r="B1376" s="5">
        <v>45571</v>
      </c>
      <c r="C1376" s="5">
        <v>45574</v>
      </c>
      <c r="D1376" s="5">
        <v>45577</v>
      </c>
      <c r="E1376" t="s">
        <v>19</v>
      </c>
      <c r="F1376" t="s">
        <v>22</v>
      </c>
      <c r="G1376" t="s">
        <v>26</v>
      </c>
      <c r="H1376" t="s">
        <v>30</v>
      </c>
      <c r="I1376" t="s">
        <v>34</v>
      </c>
      <c r="J1376" t="s">
        <v>38</v>
      </c>
      <c r="K1376" t="s">
        <v>47</v>
      </c>
      <c r="L1376" t="s">
        <v>53</v>
      </c>
      <c r="M1376" s="7">
        <v>59816</v>
      </c>
      <c r="N1376">
        <v>0.37</v>
      </c>
      <c r="O1376" s="7">
        <v>10461</v>
      </c>
      <c r="P1376">
        <v>9</v>
      </c>
      <c r="Q1376" t="s">
        <v>58</v>
      </c>
      <c r="R1376" t="s">
        <v>62</v>
      </c>
      <c r="S1376">
        <f t="shared" si="105"/>
        <v>2024</v>
      </c>
      <c r="T1376" t="str">
        <f t="shared" si="106"/>
        <v>Oct</v>
      </c>
      <c r="U1376">
        <f t="shared" si="107"/>
        <v>3</v>
      </c>
      <c r="V1376">
        <f t="shared" si="108"/>
        <v>6</v>
      </c>
      <c r="W1376" s="9">
        <f t="shared" si="109"/>
        <v>0.17488631804199545</v>
      </c>
    </row>
    <row r="1377" spans="1:23">
      <c r="A1377">
        <v>11376</v>
      </c>
      <c r="B1377" s="5">
        <v>45572</v>
      </c>
      <c r="C1377" s="5">
        <v>45574</v>
      </c>
      <c r="D1377" s="5">
        <v>45575</v>
      </c>
      <c r="E1377" t="s">
        <v>21</v>
      </c>
      <c r="F1377" t="s">
        <v>22</v>
      </c>
      <c r="G1377" t="s">
        <v>25</v>
      </c>
      <c r="H1377" t="s">
        <v>30</v>
      </c>
      <c r="I1377" t="s">
        <v>36</v>
      </c>
      <c r="J1377" t="s">
        <v>40</v>
      </c>
      <c r="K1377" t="s">
        <v>48</v>
      </c>
      <c r="L1377" t="s">
        <v>52</v>
      </c>
      <c r="M1377" s="7">
        <v>57168</v>
      </c>
      <c r="N1377">
        <v>0.32</v>
      </c>
      <c r="O1377" s="7">
        <v>18450</v>
      </c>
      <c r="P1377">
        <v>1</v>
      </c>
      <c r="Q1377" t="s">
        <v>58</v>
      </c>
      <c r="R1377" t="s">
        <v>62</v>
      </c>
      <c r="S1377">
        <f t="shared" si="105"/>
        <v>2024</v>
      </c>
      <c r="T1377" t="str">
        <f t="shared" si="106"/>
        <v>Oct</v>
      </c>
      <c r="U1377">
        <f t="shared" si="107"/>
        <v>2</v>
      </c>
      <c r="V1377">
        <f t="shared" si="108"/>
        <v>3</v>
      </c>
      <c r="W1377" s="9">
        <f t="shared" si="109"/>
        <v>0.32273299748110829</v>
      </c>
    </row>
    <row r="1378" spans="1:23">
      <c r="A1378">
        <v>11377</v>
      </c>
      <c r="B1378" s="5">
        <v>45573</v>
      </c>
      <c r="C1378" s="5">
        <v>45578</v>
      </c>
      <c r="D1378" s="5">
        <v>45579</v>
      </c>
      <c r="E1378" t="s">
        <v>20</v>
      </c>
      <c r="F1378" t="s">
        <v>22</v>
      </c>
      <c r="G1378" t="s">
        <v>23</v>
      </c>
      <c r="H1378" t="s">
        <v>32</v>
      </c>
      <c r="I1378" t="s">
        <v>35</v>
      </c>
      <c r="J1378" t="s">
        <v>37</v>
      </c>
      <c r="K1378" t="s">
        <v>47</v>
      </c>
      <c r="L1378" t="s">
        <v>51</v>
      </c>
      <c r="M1378" s="7">
        <v>15683</v>
      </c>
      <c r="N1378">
        <v>0.11</v>
      </c>
      <c r="O1378" s="7">
        <v>16733</v>
      </c>
      <c r="P1378">
        <v>15</v>
      </c>
      <c r="Q1378" t="s">
        <v>54</v>
      </c>
      <c r="R1378" t="s">
        <v>62</v>
      </c>
      <c r="S1378">
        <f t="shared" si="105"/>
        <v>2024</v>
      </c>
      <c r="T1378" t="str">
        <f t="shared" si="106"/>
        <v>Oct</v>
      </c>
      <c r="U1378">
        <f t="shared" si="107"/>
        <v>5</v>
      </c>
      <c r="V1378">
        <f t="shared" si="108"/>
        <v>6</v>
      </c>
      <c r="W1378" s="9">
        <f t="shared" si="109"/>
        <v>1.0669514761206402</v>
      </c>
    </row>
    <row r="1379" spans="1:23">
      <c r="A1379">
        <v>11378</v>
      </c>
      <c r="B1379" s="5">
        <v>45574</v>
      </c>
      <c r="C1379" s="5">
        <v>45581</v>
      </c>
      <c r="D1379" s="5">
        <v>45584</v>
      </c>
      <c r="E1379" t="s">
        <v>20</v>
      </c>
      <c r="F1379" t="s">
        <v>22</v>
      </c>
      <c r="G1379" t="s">
        <v>25</v>
      </c>
      <c r="H1379" t="s">
        <v>32</v>
      </c>
      <c r="I1379" t="s">
        <v>35</v>
      </c>
      <c r="J1379" t="s">
        <v>39</v>
      </c>
      <c r="K1379" t="s">
        <v>48</v>
      </c>
      <c r="L1379" t="s">
        <v>53</v>
      </c>
      <c r="M1379" s="7">
        <v>72717</v>
      </c>
      <c r="N1379">
        <v>0.27</v>
      </c>
      <c r="O1379" s="7">
        <v>10294</v>
      </c>
      <c r="P1379">
        <v>17</v>
      </c>
      <c r="Q1379" t="s">
        <v>54</v>
      </c>
      <c r="R1379" t="s">
        <v>61</v>
      </c>
      <c r="S1379">
        <f t="shared" si="105"/>
        <v>2024</v>
      </c>
      <c r="T1379" t="str">
        <f t="shared" si="106"/>
        <v>Oct</v>
      </c>
      <c r="U1379">
        <f t="shared" si="107"/>
        <v>7</v>
      </c>
      <c r="V1379">
        <f t="shared" si="108"/>
        <v>10</v>
      </c>
      <c r="W1379" s="9">
        <f t="shared" si="109"/>
        <v>0.14156249570251797</v>
      </c>
    </row>
    <row r="1380" spans="1:23">
      <c r="A1380">
        <v>11379</v>
      </c>
      <c r="B1380" s="5">
        <v>45575</v>
      </c>
      <c r="C1380" s="5">
        <v>45582</v>
      </c>
      <c r="D1380" s="5">
        <v>45584</v>
      </c>
      <c r="E1380" t="s">
        <v>18</v>
      </c>
      <c r="F1380" t="s">
        <v>22</v>
      </c>
      <c r="G1380" t="s">
        <v>26</v>
      </c>
      <c r="H1380" t="s">
        <v>30</v>
      </c>
      <c r="I1380" t="s">
        <v>36</v>
      </c>
      <c r="J1380" t="s">
        <v>39</v>
      </c>
      <c r="K1380" t="s">
        <v>45</v>
      </c>
      <c r="L1380" t="s">
        <v>52</v>
      </c>
      <c r="M1380" s="7">
        <v>56613</v>
      </c>
      <c r="N1380">
        <v>0.01</v>
      </c>
      <c r="O1380" s="7">
        <v>19757</v>
      </c>
      <c r="P1380">
        <v>18</v>
      </c>
      <c r="Q1380" t="s">
        <v>56</v>
      </c>
      <c r="R1380" t="s">
        <v>62</v>
      </c>
      <c r="S1380">
        <f t="shared" si="105"/>
        <v>2024</v>
      </c>
      <c r="T1380" t="str">
        <f t="shared" si="106"/>
        <v>Oct</v>
      </c>
      <c r="U1380">
        <f t="shared" si="107"/>
        <v>7</v>
      </c>
      <c r="V1380">
        <f t="shared" si="108"/>
        <v>9</v>
      </c>
      <c r="W1380" s="9">
        <f t="shared" si="109"/>
        <v>0.34898344903114126</v>
      </c>
    </row>
    <row r="1381" spans="1:23">
      <c r="A1381">
        <v>11380</v>
      </c>
      <c r="B1381" s="5">
        <v>45576</v>
      </c>
      <c r="C1381" s="5">
        <v>45582</v>
      </c>
      <c r="D1381" s="5">
        <v>45586</v>
      </c>
      <c r="E1381" t="s">
        <v>21</v>
      </c>
      <c r="F1381" t="s">
        <v>22</v>
      </c>
      <c r="G1381" t="s">
        <v>24</v>
      </c>
      <c r="H1381" t="s">
        <v>33</v>
      </c>
      <c r="I1381" t="s">
        <v>34</v>
      </c>
      <c r="J1381" t="s">
        <v>38</v>
      </c>
      <c r="K1381" t="s">
        <v>50</v>
      </c>
      <c r="L1381" t="s">
        <v>53</v>
      </c>
      <c r="M1381" s="7">
        <v>52007</v>
      </c>
      <c r="N1381">
        <v>0.39</v>
      </c>
      <c r="O1381" s="7">
        <v>8520</v>
      </c>
      <c r="P1381">
        <v>11</v>
      </c>
      <c r="Q1381" t="s">
        <v>56</v>
      </c>
      <c r="R1381" t="s">
        <v>61</v>
      </c>
      <c r="S1381">
        <f t="shared" si="105"/>
        <v>2024</v>
      </c>
      <c r="T1381" t="str">
        <f t="shared" si="106"/>
        <v>Oct</v>
      </c>
      <c r="U1381">
        <f t="shared" si="107"/>
        <v>6</v>
      </c>
      <c r="V1381">
        <f t="shared" si="108"/>
        <v>10</v>
      </c>
      <c r="W1381" s="9">
        <f t="shared" si="109"/>
        <v>0.16382410060184205</v>
      </c>
    </row>
    <row r="1382" spans="1:23">
      <c r="A1382">
        <v>11381</v>
      </c>
      <c r="B1382" s="5">
        <v>45577</v>
      </c>
      <c r="C1382" s="5">
        <v>45583</v>
      </c>
      <c r="D1382" s="5">
        <v>45584</v>
      </c>
      <c r="E1382" t="s">
        <v>18</v>
      </c>
      <c r="F1382" t="s">
        <v>22</v>
      </c>
      <c r="G1382" t="s">
        <v>26</v>
      </c>
      <c r="H1382" t="s">
        <v>30</v>
      </c>
      <c r="I1382" t="s">
        <v>35</v>
      </c>
      <c r="J1382" t="s">
        <v>39</v>
      </c>
      <c r="K1382" t="s">
        <v>44</v>
      </c>
      <c r="L1382" t="s">
        <v>51</v>
      </c>
      <c r="M1382" s="7">
        <v>51307</v>
      </c>
      <c r="N1382">
        <v>0.08</v>
      </c>
      <c r="O1382" s="7">
        <v>6593</v>
      </c>
      <c r="P1382">
        <v>20</v>
      </c>
      <c r="Q1382" t="s">
        <v>58</v>
      </c>
      <c r="R1382" t="s">
        <v>59</v>
      </c>
      <c r="S1382">
        <f t="shared" si="105"/>
        <v>2024</v>
      </c>
      <c r="T1382" t="str">
        <f t="shared" si="106"/>
        <v>Oct</v>
      </c>
      <c r="U1382">
        <f t="shared" si="107"/>
        <v>6</v>
      </c>
      <c r="V1382">
        <f t="shared" si="108"/>
        <v>7</v>
      </c>
      <c r="W1382" s="9">
        <f t="shared" si="109"/>
        <v>0.12850098427115209</v>
      </c>
    </row>
    <row r="1383" spans="1:23">
      <c r="A1383">
        <v>11382</v>
      </c>
      <c r="B1383" s="5">
        <v>45578</v>
      </c>
      <c r="C1383" s="5">
        <v>45580</v>
      </c>
      <c r="D1383" s="5">
        <v>45583</v>
      </c>
      <c r="E1383" t="s">
        <v>21</v>
      </c>
      <c r="F1383" t="s">
        <v>22</v>
      </c>
      <c r="G1383" t="s">
        <v>26</v>
      </c>
      <c r="H1383" t="s">
        <v>33</v>
      </c>
      <c r="I1383" t="s">
        <v>36</v>
      </c>
      <c r="J1383" t="s">
        <v>38</v>
      </c>
      <c r="K1383" t="s">
        <v>50</v>
      </c>
      <c r="L1383" t="s">
        <v>53</v>
      </c>
      <c r="M1383" s="7">
        <v>29850</v>
      </c>
      <c r="N1383">
        <v>0.31</v>
      </c>
      <c r="O1383" s="7">
        <v>9155</v>
      </c>
      <c r="P1383">
        <v>22</v>
      </c>
      <c r="Q1383" t="s">
        <v>55</v>
      </c>
      <c r="R1383" t="s">
        <v>61</v>
      </c>
      <c r="S1383">
        <f t="shared" si="105"/>
        <v>2024</v>
      </c>
      <c r="T1383" t="str">
        <f t="shared" si="106"/>
        <v>Oct</v>
      </c>
      <c r="U1383">
        <f t="shared" si="107"/>
        <v>2</v>
      </c>
      <c r="V1383">
        <f t="shared" si="108"/>
        <v>5</v>
      </c>
      <c r="W1383" s="9">
        <f t="shared" si="109"/>
        <v>0.3067001675041876</v>
      </c>
    </row>
    <row r="1384" spans="1:23">
      <c r="A1384">
        <v>11383</v>
      </c>
      <c r="B1384" s="5">
        <v>45579</v>
      </c>
      <c r="C1384" s="5">
        <v>45583</v>
      </c>
      <c r="D1384" s="5">
        <v>45587</v>
      </c>
      <c r="E1384" t="s">
        <v>20</v>
      </c>
      <c r="F1384" t="s">
        <v>22</v>
      </c>
      <c r="G1384" t="s">
        <v>28</v>
      </c>
      <c r="H1384" t="s">
        <v>25</v>
      </c>
      <c r="I1384" t="s">
        <v>35</v>
      </c>
      <c r="J1384" t="s">
        <v>40</v>
      </c>
      <c r="K1384" t="s">
        <v>49</v>
      </c>
      <c r="L1384" t="s">
        <v>51</v>
      </c>
      <c r="M1384" s="7">
        <v>8185</v>
      </c>
      <c r="N1384">
        <v>0.26</v>
      </c>
      <c r="O1384" s="7">
        <v>-1631</v>
      </c>
      <c r="P1384">
        <v>18</v>
      </c>
      <c r="Q1384" t="s">
        <v>55</v>
      </c>
      <c r="R1384" t="s">
        <v>59</v>
      </c>
      <c r="S1384">
        <f t="shared" si="105"/>
        <v>2024</v>
      </c>
      <c r="T1384" t="str">
        <f t="shared" si="106"/>
        <v>Oct</v>
      </c>
      <c r="U1384">
        <f t="shared" si="107"/>
        <v>4</v>
      </c>
      <c r="V1384">
        <f t="shared" si="108"/>
        <v>8</v>
      </c>
      <c r="W1384" s="9">
        <f t="shared" si="109"/>
        <v>-0.19926695174098963</v>
      </c>
    </row>
    <row r="1385" spans="1:23">
      <c r="A1385">
        <v>11384</v>
      </c>
      <c r="B1385" s="5">
        <v>45580</v>
      </c>
      <c r="C1385" s="5">
        <v>45587</v>
      </c>
      <c r="D1385" s="5">
        <v>45592</v>
      </c>
      <c r="E1385" t="s">
        <v>19</v>
      </c>
      <c r="F1385" t="s">
        <v>22</v>
      </c>
      <c r="G1385" t="s">
        <v>23</v>
      </c>
      <c r="H1385" t="s">
        <v>33</v>
      </c>
      <c r="I1385" t="s">
        <v>34</v>
      </c>
      <c r="J1385" t="s">
        <v>41</v>
      </c>
      <c r="K1385" t="s">
        <v>49</v>
      </c>
      <c r="L1385" t="s">
        <v>53</v>
      </c>
      <c r="M1385" s="7">
        <v>5486</v>
      </c>
      <c r="N1385">
        <v>0.1</v>
      </c>
      <c r="O1385" s="7">
        <v>768</v>
      </c>
      <c r="P1385">
        <v>14</v>
      </c>
      <c r="Q1385" t="s">
        <v>56</v>
      </c>
      <c r="R1385" t="s">
        <v>61</v>
      </c>
      <c r="S1385">
        <f t="shared" si="105"/>
        <v>2024</v>
      </c>
      <c r="T1385" t="str">
        <f t="shared" si="106"/>
        <v>Oct</v>
      </c>
      <c r="U1385">
        <f t="shared" si="107"/>
        <v>7</v>
      </c>
      <c r="V1385">
        <f t="shared" si="108"/>
        <v>12</v>
      </c>
      <c r="W1385" s="9">
        <f t="shared" si="109"/>
        <v>0.13999270871308786</v>
      </c>
    </row>
    <row r="1386" spans="1:23">
      <c r="A1386">
        <v>11385</v>
      </c>
      <c r="B1386" s="5">
        <v>45581</v>
      </c>
      <c r="C1386" s="5">
        <v>45586</v>
      </c>
      <c r="D1386" s="5">
        <v>45587</v>
      </c>
      <c r="E1386" t="s">
        <v>20</v>
      </c>
      <c r="F1386" t="s">
        <v>22</v>
      </c>
      <c r="G1386" t="s">
        <v>25</v>
      </c>
      <c r="H1386" t="s">
        <v>25</v>
      </c>
      <c r="I1386" t="s">
        <v>34</v>
      </c>
      <c r="J1386" t="s">
        <v>40</v>
      </c>
      <c r="K1386" t="s">
        <v>49</v>
      </c>
      <c r="L1386" t="s">
        <v>53</v>
      </c>
      <c r="M1386" s="7">
        <v>15018</v>
      </c>
      <c r="N1386">
        <v>0.24</v>
      </c>
      <c r="O1386" s="7">
        <v>18534</v>
      </c>
      <c r="P1386">
        <v>7</v>
      </c>
      <c r="Q1386" t="s">
        <v>55</v>
      </c>
      <c r="R1386" t="s">
        <v>60</v>
      </c>
      <c r="S1386">
        <f t="shared" si="105"/>
        <v>2024</v>
      </c>
      <c r="T1386" t="str">
        <f t="shared" si="106"/>
        <v>Oct</v>
      </c>
      <c r="U1386">
        <f t="shared" si="107"/>
        <v>5</v>
      </c>
      <c r="V1386">
        <f t="shared" si="108"/>
        <v>6</v>
      </c>
      <c r="W1386" s="9">
        <f t="shared" si="109"/>
        <v>1.2341190571314422</v>
      </c>
    </row>
    <row r="1387" spans="1:23">
      <c r="A1387">
        <v>11386</v>
      </c>
      <c r="B1387" s="5">
        <v>45582</v>
      </c>
      <c r="C1387" s="5">
        <v>45588</v>
      </c>
      <c r="D1387" s="5">
        <v>45591</v>
      </c>
      <c r="E1387" t="s">
        <v>21</v>
      </c>
      <c r="F1387" t="s">
        <v>22</v>
      </c>
      <c r="G1387" t="s">
        <v>23</v>
      </c>
      <c r="H1387" t="s">
        <v>25</v>
      </c>
      <c r="I1387" t="s">
        <v>36</v>
      </c>
      <c r="J1387" t="s">
        <v>38</v>
      </c>
      <c r="K1387" t="s">
        <v>45</v>
      </c>
      <c r="L1387" t="s">
        <v>51</v>
      </c>
      <c r="M1387" s="7">
        <v>21446</v>
      </c>
      <c r="N1387">
        <v>0.27</v>
      </c>
      <c r="O1387" s="7">
        <v>10394</v>
      </c>
      <c r="P1387">
        <v>2</v>
      </c>
      <c r="Q1387" t="s">
        <v>56</v>
      </c>
      <c r="R1387" t="s">
        <v>61</v>
      </c>
      <c r="S1387">
        <f t="shared" si="105"/>
        <v>2024</v>
      </c>
      <c r="T1387" t="str">
        <f t="shared" si="106"/>
        <v>Oct</v>
      </c>
      <c r="U1387">
        <f t="shared" si="107"/>
        <v>6</v>
      </c>
      <c r="V1387">
        <f t="shared" si="108"/>
        <v>9</v>
      </c>
      <c r="W1387" s="9">
        <f t="shared" si="109"/>
        <v>0.48465914389629766</v>
      </c>
    </row>
    <row r="1388" spans="1:23">
      <c r="A1388">
        <v>11387</v>
      </c>
      <c r="B1388" s="5">
        <v>45583</v>
      </c>
      <c r="C1388" s="5">
        <v>45588</v>
      </c>
      <c r="D1388" s="5">
        <v>45590</v>
      </c>
      <c r="E1388" t="s">
        <v>18</v>
      </c>
      <c r="F1388" t="s">
        <v>22</v>
      </c>
      <c r="G1388" t="s">
        <v>25</v>
      </c>
      <c r="H1388" t="s">
        <v>33</v>
      </c>
      <c r="I1388" t="s">
        <v>35</v>
      </c>
      <c r="J1388" t="s">
        <v>43</v>
      </c>
      <c r="K1388" t="s">
        <v>47</v>
      </c>
      <c r="L1388" t="s">
        <v>51</v>
      </c>
      <c r="M1388" s="7">
        <v>47076</v>
      </c>
      <c r="N1388">
        <v>0.28999999999999998</v>
      </c>
      <c r="O1388" s="7">
        <v>15782</v>
      </c>
      <c r="P1388">
        <v>3</v>
      </c>
      <c r="Q1388" t="s">
        <v>55</v>
      </c>
      <c r="R1388" t="s">
        <v>59</v>
      </c>
      <c r="S1388">
        <f t="shared" si="105"/>
        <v>2024</v>
      </c>
      <c r="T1388" t="str">
        <f t="shared" si="106"/>
        <v>Oct</v>
      </c>
      <c r="U1388">
        <f t="shared" si="107"/>
        <v>5</v>
      </c>
      <c r="V1388">
        <f t="shared" si="108"/>
        <v>7</v>
      </c>
      <c r="W1388" s="9">
        <f t="shared" si="109"/>
        <v>0.3352451355255332</v>
      </c>
    </row>
    <row r="1389" spans="1:23">
      <c r="A1389">
        <v>11388</v>
      </c>
      <c r="B1389" s="5">
        <v>45584</v>
      </c>
      <c r="C1389" s="5">
        <v>45587</v>
      </c>
      <c r="D1389" s="5">
        <v>45589</v>
      </c>
      <c r="E1389" t="s">
        <v>18</v>
      </c>
      <c r="F1389" t="s">
        <v>22</v>
      </c>
      <c r="G1389" t="s">
        <v>28</v>
      </c>
      <c r="H1389" t="s">
        <v>29</v>
      </c>
      <c r="I1389" t="s">
        <v>36</v>
      </c>
      <c r="J1389" t="s">
        <v>42</v>
      </c>
      <c r="K1389" t="s">
        <v>49</v>
      </c>
      <c r="L1389" t="s">
        <v>51</v>
      </c>
      <c r="M1389" s="7">
        <v>10640</v>
      </c>
      <c r="N1389">
        <v>0.11</v>
      </c>
      <c r="O1389" s="7">
        <v>18749</v>
      </c>
      <c r="P1389">
        <v>3</v>
      </c>
      <c r="Q1389" t="s">
        <v>56</v>
      </c>
      <c r="R1389" t="s">
        <v>62</v>
      </c>
      <c r="S1389">
        <f t="shared" si="105"/>
        <v>2024</v>
      </c>
      <c r="T1389" t="str">
        <f t="shared" si="106"/>
        <v>Oct</v>
      </c>
      <c r="U1389">
        <f t="shared" si="107"/>
        <v>3</v>
      </c>
      <c r="V1389">
        <f t="shared" si="108"/>
        <v>5</v>
      </c>
      <c r="W1389" s="9">
        <f t="shared" si="109"/>
        <v>1.762124060150376</v>
      </c>
    </row>
    <row r="1390" spans="1:23">
      <c r="A1390">
        <v>11389</v>
      </c>
      <c r="B1390" s="5">
        <v>45585</v>
      </c>
      <c r="C1390" s="5">
        <v>45592</v>
      </c>
      <c r="D1390" s="5">
        <v>45594</v>
      </c>
      <c r="E1390" t="s">
        <v>19</v>
      </c>
      <c r="F1390" t="s">
        <v>22</v>
      </c>
      <c r="G1390" t="s">
        <v>27</v>
      </c>
      <c r="H1390" t="s">
        <v>31</v>
      </c>
      <c r="I1390" t="s">
        <v>34</v>
      </c>
      <c r="J1390" t="s">
        <v>38</v>
      </c>
      <c r="K1390" t="s">
        <v>45</v>
      </c>
      <c r="L1390" t="s">
        <v>53</v>
      </c>
      <c r="M1390" s="7">
        <v>67939</v>
      </c>
      <c r="N1390">
        <v>0.37</v>
      </c>
      <c r="O1390" s="7">
        <v>15682</v>
      </c>
      <c r="P1390">
        <v>13</v>
      </c>
      <c r="Q1390" t="s">
        <v>57</v>
      </c>
      <c r="R1390" t="s">
        <v>59</v>
      </c>
      <c r="S1390">
        <f t="shared" si="105"/>
        <v>2024</v>
      </c>
      <c r="T1390" t="str">
        <f t="shared" si="106"/>
        <v>Oct</v>
      </c>
      <c r="U1390">
        <f t="shared" si="107"/>
        <v>7</v>
      </c>
      <c r="V1390">
        <f t="shared" si="108"/>
        <v>9</v>
      </c>
      <c r="W1390" s="9">
        <f t="shared" si="109"/>
        <v>0.23082471040197824</v>
      </c>
    </row>
    <row r="1391" spans="1:23">
      <c r="A1391">
        <v>11390</v>
      </c>
      <c r="B1391" s="5">
        <v>45586</v>
      </c>
      <c r="C1391" s="5">
        <v>45590</v>
      </c>
      <c r="D1391" s="5">
        <v>45594</v>
      </c>
      <c r="E1391" t="s">
        <v>18</v>
      </c>
      <c r="F1391" t="s">
        <v>22</v>
      </c>
      <c r="G1391" t="s">
        <v>24</v>
      </c>
      <c r="H1391" t="s">
        <v>32</v>
      </c>
      <c r="I1391" t="s">
        <v>36</v>
      </c>
      <c r="J1391" t="s">
        <v>40</v>
      </c>
      <c r="K1391" t="s">
        <v>44</v>
      </c>
      <c r="L1391" t="s">
        <v>53</v>
      </c>
      <c r="M1391" s="7">
        <v>66663</v>
      </c>
      <c r="N1391">
        <v>0.36</v>
      </c>
      <c r="O1391" s="7">
        <v>8229</v>
      </c>
      <c r="P1391">
        <v>12</v>
      </c>
      <c r="Q1391" t="s">
        <v>54</v>
      </c>
      <c r="R1391" t="s">
        <v>61</v>
      </c>
      <c r="S1391">
        <f t="shared" si="105"/>
        <v>2024</v>
      </c>
      <c r="T1391" t="str">
        <f t="shared" si="106"/>
        <v>Oct</v>
      </c>
      <c r="U1391">
        <f t="shared" si="107"/>
        <v>4</v>
      </c>
      <c r="V1391">
        <f t="shared" si="108"/>
        <v>8</v>
      </c>
      <c r="W1391" s="9">
        <f t="shared" si="109"/>
        <v>0.12344178929841142</v>
      </c>
    </row>
    <row r="1392" spans="1:23">
      <c r="A1392">
        <v>11391</v>
      </c>
      <c r="B1392" s="5">
        <v>45587</v>
      </c>
      <c r="C1392" s="5">
        <v>45591</v>
      </c>
      <c r="D1392" s="5">
        <v>45596</v>
      </c>
      <c r="E1392" t="s">
        <v>20</v>
      </c>
      <c r="F1392" t="s">
        <v>22</v>
      </c>
      <c r="G1392" t="s">
        <v>24</v>
      </c>
      <c r="H1392" t="s">
        <v>32</v>
      </c>
      <c r="I1392" t="s">
        <v>36</v>
      </c>
      <c r="J1392" t="s">
        <v>41</v>
      </c>
      <c r="K1392" t="s">
        <v>44</v>
      </c>
      <c r="L1392" t="s">
        <v>51</v>
      </c>
      <c r="M1392" s="7">
        <v>18925</v>
      </c>
      <c r="N1392">
        <v>0.12</v>
      </c>
      <c r="O1392" s="7">
        <v>-1993</v>
      </c>
      <c r="P1392">
        <v>10</v>
      </c>
      <c r="Q1392" t="s">
        <v>55</v>
      </c>
      <c r="R1392" t="s">
        <v>59</v>
      </c>
      <c r="S1392">
        <f t="shared" si="105"/>
        <v>2024</v>
      </c>
      <c r="T1392" t="str">
        <f t="shared" si="106"/>
        <v>Oct</v>
      </c>
      <c r="U1392">
        <f t="shared" si="107"/>
        <v>4</v>
      </c>
      <c r="V1392">
        <f t="shared" si="108"/>
        <v>9</v>
      </c>
      <c r="W1392" s="9">
        <f t="shared" si="109"/>
        <v>-0.10531043593130779</v>
      </c>
    </row>
    <row r="1393" spans="1:23">
      <c r="A1393">
        <v>11392</v>
      </c>
      <c r="B1393" s="5">
        <v>45588</v>
      </c>
      <c r="C1393" s="5">
        <v>45595</v>
      </c>
      <c r="D1393" s="5">
        <v>45597</v>
      </c>
      <c r="E1393" t="s">
        <v>21</v>
      </c>
      <c r="F1393" t="s">
        <v>22</v>
      </c>
      <c r="G1393" t="s">
        <v>26</v>
      </c>
      <c r="H1393" t="s">
        <v>30</v>
      </c>
      <c r="I1393" t="s">
        <v>36</v>
      </c>
      <c r="J1393" t="s">
        <v>39</v>
      </c>
      <c r="K1393" t="s">
        <v>44</v>
      </c>
      <c r="L1393" t="s">
        <v>51</v>
      </c>
      <c r="M1393" s="7">
        <v>44458</v>
      </c>
      <c r="N1393">
        <v>0.02</v>
      </c>
      <c r="O1393" s="7">
        <v>5860</v>
      </c>
      <c r="P1393">
        <v>4</v>
      </c>
      <c r="Q1393" t="s">
        <v>56</v>
      </c>
      <c r="R1393" t="s">
        <v>62</v>
      </c>
      <c r="S1393">
        <f t="shared" si="105"/>
        <v>2024</v>
      </c>
      <c r="T1393" t="str">
        <f t="shared" si="106"/>
        <v>Oct</v>
      </c>
      <c r="U1393">
        <f t="shared" si="107"/>
        <v>7</v>
      </c>
      <c r="V1393">
        <f t="shared" si="108"/>
        <v>9</v>
      </c>
      <c r="W1393" s="9">
        <f t="shared" si="109"/>
        <v>0.13180979801160647</v>
      </c>
    </row>
    <row r="1394" spans="1:23">
      <c r="A1394">
        <v>11393</v>
      </c>
      <c r="B1394" s="5">
        <v>45589</v>
      </c>
      <c r="C1394" s="5">
        <v>45596</v>
      </c>
      <c r="D1394" s="5">
        <v>45600</v>
      </c>
      <c r="E1394" t="s">
        <v>18</v>
      </c>
      <c r="F1394" t="s">
        <v>22</v>
      </c>
      <c r="G1394" t="s">
        <v>24</v>
      </c>
      <c r="H1394" t="s">
        <v>31</v>
      </c>
      <c r="I1394" t="s">
        <v>34</v>
      </c>
      <c r="J1394" t="s">
        <v>40</v>
      </c>
      <c r="K1394" t="s">
        <v>48</v>
      </c>
      <c r="L1394" t="s">
        <v>51</v>
      </c>
      <c r="M1394" s="7">
        <v>35837</v>
      </c>
      <c r="N1394">
        <v>0.31</v>
      </c>
      <c r="O1394" s="7">
        <v>-1854</v>
      </c>
      <c r="P1394">
        <v>6</v>
      </c>
      <c r="Q1394" t="s">
        <v>54</v>
      </c>
      <c r="R1394" t="s">
        <v>61</v>
      </c>
      <c r="S1394">
        <f t="shared" si="105"/>
        <v>2024</v>
      </c>
      <c r="T1394" t="str">
        <f t="shared" si="106"/>
        <v>Oct</v>
      </c>
      <c r="U1394">
        <f t="shared" si="107"/>
        <v>7</v>
      </c>
      <c r="V1394">
        <f t="shared" si="108"/>
        <v>11</v>
      </c>
      <c r="W1394" s="9">
        <f t="shared" si="109"/>
        <v>-5.1734241147417474E-2</v>
      </c>
    </row>
    <row r="1395" spans="1:23">
      <c r="A1395">
        <v>11394</v>
      </c>
      <c r="B1395" s="5">
        <v>45590</v>
      </c>
      <c r="C1395" s="5">
        <v>45593</v>
      </c>
      <c r="D1395" s="5">
        <v>45598</v>
      </c>
      <c r="E1395" t="s">
        <v>21</v>
      </c>
      <c r="F1395" t="s">
        <v>22</v>
      </c>
      <c r="G1395" t="s">
        <v>24</v>
      </c>
      <c r="H1395" t="s">
        <v>30</v>
      </c>
      <c r="I1395" t="s">
        <v>34</v>
      </c>
      <c r="J1395" t="s">
        <v>40</v>
      </c>
      <c r="K1395" t="s">
        <v>47</v>
      </c>
      <c r="L1395" t="s">
        <v>51</v>
      </c>
      <c r="M1395" s="7">
        <v>49932</v>
      </c>
      <c r="N1395">
        <v>0.17</v>
      </c>
      <c r="O1395" s="7">
        <v>14182</v>
      </c>
      <c r="P1395">
        <v>6</v>
      </c>
      <c r="Q1395" t="s">
        <v>56</v>
      </c>
      <c r="R1395" t="s">
        <v>60</v>
      </c>
      <c r="S1395">
        <f t="shared" si="105"/>
        <v>2024</v>
      </c>
      <c r="T1395" t="str">
        <f t="shared" si="106"/>
        <v>Oct</v>
      </c>
      <c r="U1395">
        <f t="shared" si="107"/>
        <v>3</v>
      </c>
      <c r="V1395">
        <f t="shared" si="108"/>
        <v>8</v>
      </c>
      <c r="W1395" s="9">
        <f t="shared" si="109"/>
        <v>0.28402627573499961</v>
      </c>
    </row>
    <row r="1396" spans="1:23">
      <c r="A1396">
        <v>11395</v>
      </c>
      <c r="B1396" s="5">
        <v>45591</v>
      </c>
      <c r="C1396" s="5">
        <v>45596</v>
      </c>
      <c r="D1396" s="5">
        <v>45599</v>
      </c>
      <c r="E1396" t="s">
        <v>18</v>
      </c>
      <c r="F1396" t="s">
        <v>22</v>
      </c>
      <c r="G1396" t="s">
        <v>27</v>
      </c>
      <c r="H1396" t="s">
        <v>30</v>
      </c>
      <c r="I1396" t="s">
        <v>34</v>
      </c>
      <c r="J1396" t="s">
        <v>43</v>
      </c>
      <c r="K1396" t="s">
        <v>45</v>
      </c>
      <c r="L1396" t="s">
        <v>53</v>
      </c>
      <c r="M1396" s="7">
        <v>53307</v>
      </c>
      <c r="N1396">
        <v>0.38</v>
      </c>
      <c r="O1396" s="7">
        <v>-345</v>
      </c>
      <c r="P1396">
        <v>8</v>
      </c>
      <c r="Q1396" t="s">
        <v>56</v>
      </c>
      <c r="R1396" t="s">
        <v>62</v>
      </c>
      <c r="S1396">
        <f t="shared" si="105"/>
        <v>2024</v>
      </c>
      <c r="T1396" t="str">
        <f t="shared" si="106"/>
        <v>Oct</v>
      </c>
      <c r="U1396">
        <f t="shared" si="107"/>
        <v>5</v>
      </c>
      <c r="V1396">
        <f t="shared" si="108"/>
        <v>8</v>
      </c>
      <c r="W1396" s="9">
        <f t="shared" si="109"/>
        <v>-6.471945523102032E-3</v>
      </c>
    </row>
    <row r="1397" spans="1:23">
      <c r="A1397">
        <v>11396</v>
      </c>
      <c r="B1397" s="5">
        <v>45592</v>
      </c>
      <c r="C1397" s="5">
        <v>45595</v>
      </c>
      <c r="D1397" s="5">
        <v>45596</v>
      </c>
      <c r="E1397" t="s">
        <v>18</v>
      </c>
      <c r="F1397" t="s">
        <v>22</v>
      </c>
      <c r="G1397" t="s">
        <v>23</v>
      </c>
      <c r="H1397" t="s">
        <v>31</v>
      </c>
      <c r="I1397" t="s">
        <v>35</v>
      </c>
      <c r="J1397" t="s">
        <v>41</v>
      </c>
      <c r="K1397" t="s">
        <v>46</v>
      </c>
      <c r="L1397" t="s">
        <v>51</v>
      </c>
      <c r="M1397" s="7">
        <v>53312</v>
      </c>
      <c r="N1397">
        <v>0.13</v>
      </c>
      <c r="O1397" s="7">
        <v>-1347</v>
      </c>
      <c r="P1397">
        <v>20</v>
      </c>
      <c r="Q1397" t="s">
        <v>57</v>
      </c>
      <c r="R1397" t="s">
        <v>62</v>
      </c>
      <c r="S1397">
        <f t="shared" si="105"/>
        <v>2024</v>
      </c>
      <c r="T1397" t="str">
        <f t="shared" si="106"/>
        <v>Oct</v>
      </c>
      <c r="U1397">
        <f t="shared" si="107"/>
        <v>3</v>
      </c>
      <c r="V1397">
        <f t="shared" si="108"/>
        <v>4</v>
      </c>
      <c r="W1397" s="9">
        <f t="shared" si="109"/>
        <v>-2.5266356542617045E-2</v>
      </c>
    </row>
    <row r="1398" spans="1:23">
      <c r="A1398">
        <v>11397</v>
      </c>
      <c r="B1398" s="5">
        <v>45593</v>
      </c>
      <c r="C1398" s="5">
        <v>45596</v>
      </c>
      <c r="D1398" s="5">
        <v>45601</v>
      </c>
      <c r="E1398" t="s">
        <v>21</v>
      </c>
      <c r="F1398" t="s">
        <v>22</v>
      </c>
      <c r="G1398" t="s">
        <v>25</v>
      </c>
      <c r="H1398" t="s">
        <v>29</v>
      </c>
      <c r="I1398" t="s">
        <v>35</v>
      </c>
      <c r="J1398" t="s">
        <v>37</v>
      </c>
      <c r="K1398" t="s">
        <v>47</v>
      </c>
      <c r="L1398" t="s">
        <v>53</v>
      </c>
      <c r="M1398" s="7">
        <v>34367</v>
      </c>
      <c r="N1398">
        <v>0.05</v>
      </c>
      <c r="O1398" s="7">
        <v>8432</v>
      </c>
      <c r="P1398">
        <v>16</v>
      </c>
      <c r="Q1398" t="s">
        <v>58</v>
      </c>
      <c r="R1398" t="s">
        <v>62</v>
      </c>
      <c r="S1398">
        <f t="shared" si="105"/>
        <v>2024</v>
      </c>
      <c r="T1398" t="str">
        <f t="shared" si="106"/>
        <v>Oct</v>
      </c>
      <c r="U1398">
        <f t="shared" si="107"/>
        <v>3</v>
      </c>
      <c r="V1398">
        <f t="shared" si="108"/>
        <v>8</v>
      </c>
      <c r="W1398" s="9">
        <f t="shared" si="109"/>
        <v>0.24535164547385574</v>
      </c>
    </row>
    <row r="1399" spans="1:23">
      <c r="A1399">
        <v>11398</v>
      </c>
      <c r="B1399" s="5">
        <v>45594</v>
      </c>
      <c r="C1399" s="5">
        <v>45596</v>
      </c>
      <c r="D1399" s="5">
        <v>45598</v>
      </c>
      <c r="E1399" t="s">
        <v>20</v>
      </c>
      <c r="F1399" t="s">
        <v>22</v>
      </c>
      <c r="G1399" t="s">
        <v>25</v>
      </c>
      <c r="H1399" t="s">
        <v>31</v>
      </c>
      <c r="I1399" t="s">
        <v>34</v>
      </c>
      <c r="J1399" t="s">
        <v>43</v>
      </c>
      <c r="K1399" t="s">
        <v>45</v>
      </c>
      <c r="L1399" t="s">
        <v>52</v>
      </c>
      <c r="M1399" s="7">
        <v>10089</v>
      </c>
      <c r="N1399">
        <v>0.14000000000000001</v>
      </c>
      <c r="O1399" s="7">
        <v>18261</v>
      </c>
      <c r="P1399">
        <v>8</v>
      </c>
      <c r="Q1399" t="s">
        <v>58</v>
      </c>
      <c r="R1399" t="s">
        <v>62</v>
      </c>
      <c r="S1399">
        <f t="shared" si="105"/>
        <v>2024</v>
      </c>
      <c r="T1399" t="str">
        <f t="shared" si="106"/>
        <v>Oct</v>
      </c>
      <c r="U1399">
        <f t="shared" si="107"/>
        <v>2</v>
      </c>
      <c r="V1399">
        <f t="shared" si="108"/>
        <v>4</v>
      </c>
      <c r="W1399" s="9">
        <f t="shared" si="109"/>
        <v>1.8099910793933986</v>
      </c>
    </row>
    <row r="1400" spans="1:23">
      <c r="A1400">
        <v>11399</v>
      </c>
      <c r="B1400" s="5">
        <v>45595</v>
      </c>
      <c r="C1400" s="5">
        <v>45597</v>
      </c>
      <c r="D1400" s="5">
        <v>45601</v>
      </c>
      <c r="E1400" t="s">
        <v>21</v>
      </c>
      <c r="F1400" t="s">
        <v>22</v>
      </c>
      <c r="G1400" t="s">
        <v>23</v>
      </c>
      <c r="H1400" t="s">
        <v>32</v>
      </c>
      <c r="I1400" t="s">
        <v>34</v>
      </c>
      <c r="J1400" t="s">
        <v>37</v>
      </c>
      <c r="K1400" t="s">
        <v>44</v>
      </c>
      <c r="L1400" t="s">
        <v>53</v>
      </c>
      <c r="M1400" s="7">
        <v>23950</v>
      </c>
      <c r="N1400">
        <v>0.02</v>
      </c>
      <c r="O1400" s="7">
        <v>16943</v>
      </c>
      <c r="P1400">
        <v>10</v>
      </c>
      <c r="Q1400" t="s">
        <v>58</v>
      </c>
      <c r="R1400" t="s">
        <v>60</v>
      </c>
      <c r="S1400">
        <f t="shared" si="105"/>
        <v>2024</v>
      </c>
      <c r="T1400" t="str">
        <f t="shared" si="106"/>
        <v>Oct</v>
      </c>
      <c r="U1400">
        <f t="shared" si="107"/>
        <v>2</v>
      </c>
      <c r="V1400">
        <f t="shared" si="108"/>
        <v>6</v>
      </c>
      <c r="W1400" s="9">
        <f t="shared" si="109"/>
        <v>0.70743215031315243</v>
      </c>
    </row>
    <row r="1401" spans="1:23">
      <c r="A1401">
        <v>11400</v>
      </c>
      <c r="B1401" s="5">
        <v>45596</v>
      </c>
      <c r="C1401" s="5">
        <v>45601</v>
      </c>
      <c r="D1401" s="5">
        <v>45603</v>
      </c>
      <c r="E1401" t="s">
        <v>19</v>
      </c>
      <c r="F1401" t="s">
        <v>22</v>
      </c>
      <c r="G1401" t="s">
        <v>24</v>
      </c>
      <c r="H1401" t="s">
        <v>31</v>
      </c>
      <c r="I1401" t="s">
        <v>36</v>
      </c>
      <c r="J1401" t="s">
        <v>42</v>
      </c>
      <c r="K1401" t="s">
        <v>48</v>
      </c>
      <c r="L1401" t="s">
        <v>52</v>
      </c>
      <c r="M1401" s="7">
        <v>14649</v>
      </c>
      <c r="N1401">
        <v>0.28000000000000003</v>
      </c>
      <c r="O1401" s="7">
        <v>19713</v>
      </c>
      <c r="P1401">
        <v>14</v>
      </c>
      <c r="Q1401" t="s">
        <v>57</v>
      </c>
      <c r="R1401" t="s">
        <v>60</v>
      </c>
      <c r="S1401">
        <f t="shared" si="105"/>
        <v>2024</v>
      </c>
      <c r="T1401" t="str">
        <f t="shared" si="106"/>
        <v>Oct</v>
      </c>
      <c r="U1401">
        <f t="shared" si="107"/>
        <v>5</v>
      </c>
      <c r="V1401">
        <f t="shared" si="108"/>
        <v>7</v>
      </c>
      <c r="W1401" s="9">
        <f t="shared" si="109"/>
        <v>1.3456891255375794</v>
      </c>
    </row>
    <row r="1402" spans="1:23">
      <c r="A1402">
        <v>11401</v>
      </c>
      <c r="B1402" s="5">
        <v>45597</v>
      </c>
      <c r="C1402" s="5">
        <v>45601</v>
      </c>
      <c r="D1402" s="5">
        <v>45606</v>
      </c>
      <c r="E1402" t="s">
        <v>21</v>
      </c>
      <c r="F1402" t="s">
        <v>22</v>
      </c>
      <c r="G1402" t="s">
        <v>28</v>
      </c>
      <c r="H1402" t="s">
        <v>25</v>
      </c>
      <c r="I1402" t="s">
        <v>35</v>
      </c>
      <c r="J1402" t="s">
        <v>42</v>
      </c>
      <c r="K1402" t="s">
        <v>45</v>
      </c>
      <c r="L1402" t="s">
        <v>53</v>
      </c>
      <c r="M1402" s="7">
        <v>54106</v>
      </c>
      <c r="N1402">
        <v>0.17</v>
      </c>
      <c r="O1402" s="7">
        <v>16718</v>
      </c>
      <c r="P1402">
        <v>15</v>
      </c>
      <c r="Q1402" t="s">
        <v>55</v>
      </c>
      <c r="R1402" t="s">
        <v>61</v>
      </c>
      <c r="S1402">
        <f t="shared" si="105"/>
        <v>2024</v>
      </c>
      <c r="T1402" t="str">
        <f t="shared" si="106"/>
        <v>Nov</v>
      </c>
      <c r="U1402">
        <f t="shared" si="107"/>
        <v>4</v>
      </c>
      <c r="V1402">
        <f t="shared" si="108"/>
        <v>9</v>
      </c>
      <c r="W1402" s="9">
        <f t="shared" si="109"/>
        <v>0.30898606439211918</v>
      </c>
    </row>
    <row r="1403" spans="1:23">
      <c r="A1403">
        <v>11402</v>
      </c>
      <c r="B1403" s="5">
        <v>45598</v>
      </c>
      <c r="C1403" s="5">
        <v>45600</v>
      </c>
      <c r="D1403" s="5">
        <v>45602</v>
      </c>
      <c r="E1403" t="s">
        <v>18</v>
      </c>
      <c r="F1403" t="s">
        <v>22</v>
      </c>
      <c r="G1403" t="s">
        <v>26</v>
      </c>
      <c r="H1403" t="s">
        <v>31</v>
      </c>
      <c r="I1403" t="s">
        <v>34</v>
      </c>
      <c r="J1403" t="s">
        <v>43</v>
      </c>
      <c r="K1403" t="s">
        <v>49</v>
      </c>
      <c r="L1403" t="s">
        <v>51</v>
      </c>
      <c r="M1403" s="7">
        <v>26747</v>
      </c>
      <c r="N1403">
        <v>0.04</v>
      </c>
      <c r="O1403" s="7">
        <v>19666</v>
      </c>
      <c r="P1403">
        <v>3</v>
      </c>
      <c r="Q1403" t="s">
        <v>56</v>
      </c>
      <c r="R1403" t="s">
        <v>60</v>
      </c>
      <c r="S1403">
        <f t="shared" si="105"/>
        <v>2024</v>
      </c>
      <c r="T1403" t="str">
        <f t="shared" si="106"/>
        <v>Nov</v>
      </c>
      <c r="U1403">
        <f t="shared" si="107"/>
        <v>2</v>
      </c>
      <c r="V1403">
        <f t="shared" si="108"/>
        <v>4</v>
      </c>
      <c r="W1403" s="9">
        <f t="shared" si="109"/>
        <v>0.73526002916214905</v>
      </c>
    </row>
    <row r="1404" spans="1:23">
      <c r="A1404">
        <v>11403</v>
      </c>
      <c r="B1404" s="5">
        <v>45599</v>
      </c>
      <c r="C1404" s="5">
        <v>45604</v>
      </c>
      <c r="D1404" s="5">
        <v>45605</v>
      </c>
      <c r="E1404" t="s">
        <v>21</v>
      </c>
      <c r="F1404" t="s">
        <v>22</v>
      </c>
      <c r="G1404" t="s">
        <v>23</v>
      </c>
      <c r="H1404" t="s">
        <v>25</v>
      </c>
      <c r="I1404" t="s">
        <v>36</v>
      </c>
      <c r="J1404" t="s">
        <v>42</v>
      </c>
      <c r="K1404" t="s">
        <v>46</v>
      </c>
      <c r="L1404" t="s">
        <v>51</v>
      </c>
      <c r="M1404" s="7">
        <v>54491</v>
      </c>
      <c r="N1404">
        <v>0.08</v>
      </c>
      <c r="O1404" s="7">
        <v>4064</v>
      </c>
      <c r="P1404">
        <v>1</v>
      </c>
      <c r="Q1404" t="s">
        <v>58</v>
      </c>
      <c r="R1404" t="s">
        <v>62</v>
      </c>
      <c r="S1404">
        <f t="shared" si="105"/>
        <v>2024</v>
      </c>
      <c r="T1404" t="str">
        <f t="shared" si="106"/>
        <v>Nov</v>
      </c>
      <c r="U1404">
        <f t="shared" si="107"/>
        <v>5</v>
      </c>
      <c r="V1404">
        <f t="shared" si="108"/>
        <v>6</v>
      </c>
      <c r="W1404" s="9">
        <f t="shared" si="109"/>
        <v>7.4581123488282469E-2</v>
      </c>
    </row>
    <row r="1405" spans="1:23">
      <c r="A1405">
        <v>11404</v>
      </c>
      <c r="B1405" s="5">
        <v>45600</v>
      </c>
      <c r="C1405" s="5">
        <v>45606</v>
      </c>
      <c r="D1405" s="5">
        <v>45611</v>
      </c>
      <c r="E1405" t="s">
        <v>19</v>
      </c>
      <c r="F1405" t="s">
        <v>22</v>
      </c>
      <c r="G1405" t="s">
        <v>24</v>
      </c>
      <c r="H1405" t="s">
        <v>25</v>
      </c>
      <c r="I1405" t="s">
        <v>34</v>
      </c>
      <c r="J1405" t="s">
        <v>37</v>
      </c>
      <c r="K1405" t="s">
        <v>44</v>
      </c>
      <c r="L1405" t="s">
        <v>51</v>
      </c>
      <c r="M1405" s="7">
        <v>6249</v>
      </c>
      <c r="N1405">
        <v>0.16</v>
      </c>
      <c r="O1405" s="7">
        <v>16334</v>
      </c>
      <c r="P1405">
        <v>9</v>
      </c>
      <c r="Q1405" t="s">
        <v>58</v>
      </c>
      <c r="R1405" t="s">
        <v>62</v>
      </c>
      <c r="S1405">
        <f t="shared" si="105"/>
        <v>2024</v>
      </c>
      <c r="T1405" t="str">
        <f t="shared" si="106"/>
        <v>Nov</v>
      </c>
      <c r="U1405">
        <f t="shared" si="107"/>
        <v>6</v>
      </c>
      <c r="V1405">
        <f t="shared" si="108"/>
        <v>11</v>
      </c>
      <c r="W1405" s="9">
        <f t="shared" si="109"/>
        <v>2.6138582173147702</v>
      </c>
    </row>
    <row r="1406" spans="1:23">
      <c r="A1406">
        <v>11405</v>
      </c>
      <c r="B1406" s="5">
        <v>45601</v>
      </c>
      <c r="C1406" s="5">
        <v>45606</v>
      </c>
      <c r="D1406" s="5">
        <v>45611</v>
      </c>
      <c r="E1406" t="s">
        <v>20</v>
      </c>
      <c r="F1406" t="s">
        <v>22</v>
      </c>
      <c r="G1406" t="s">
        <v>24</v>
      </c>
      <c r="H1406" t="s">
        <v>33</v>
      </c>
      <c r="I1406" t="s">
        <v>35</v>
      </c>
      <c r="J1406" t="s">
        <v>41</v>
      </c>
      <c r="K1406" t="s">
        <v>48</v>
      </c>
      <c r="L1406" t="s">
        <v>52</v>
      </c>
      <c r="M1406" s="7">
        <v>70294</v>
      </c>
      <c r="N1406">
        <v>0.03</v>
      </c>
      <c r="O1406" s="7">
        <v>18830</v>
      </c>
      <c r="P1406">
        <v>8</v>
      </c>
      <c r="Q1406" t="s">
        <v>55</v>
      </c>
      <c r="R1406" t="s">
        <v>59</v>
      </c>
      <c r="S1406">
        <f t="shared" si="105"/>
        <v>2024</v>
      </c>
      <c r="T1406" t="str">
        <f t="shared" si="106"/>
        <v>Nov</v>
      </c>
      <c r="U1406">
        <f t="shared" si="107"/>
        <v>5</v>
      </c>
      <c r="V1406">
        <f t="shared" si="108"/>
        <v>10</v>
      </c>
      <c r="W1406" s="9">
        <f t="shared" si="109"/>
        <v>0.26787492531368251</v>
      </c>
    </row>
    <row r="1407" spans="1:23">
      <c r="A1407">
        <v>11406</v>
      </c>
      <c r="B1407" s="5">
        <v>45602</v>
      </c>
      <c r="C1407" s="5">
        <v>45605</v>
      </c>
      <c r="D1407" s="5">
        <v>45606</v>
      </c>
      <c r="E1407" t="s">
        <v>18</v>
      </c>
      <c r="F1407" t="s">
        <v>22</v>
      </c>
      <c r="G1407" t="s">
        <v>28</v>
      </c>
      <c r="H1407" t="s">
        <v>32</v>
      </c>
      <c r="I1407" t="s">
        <v>36</v>
      </c>
      <c r="J1407" t="s">
        <v>40</v>
      </c>
      <c r="K1407" t="s">
        <v>50</v>
      </c>
      <c r="L1407" t="s">
        <v>52</v>
      </c>
      <c r="M1407" s="7">
        <v>10214</v>
      </c>
      <c r="N1407">
        <v>0.31</v>
      </c>
      <c r="O1407" s="7">
        <v>-1581</v>
      </c>
      <c r="P1407">
        <v>6</v>
      </c>
      <c r="Q1407" t="s">
        <v>57</v>
      </c>
      <c r="R1407" t="s">
        <v>61</v>
      </c>
      <c r="S1407">
        <f t="shared" si="105"/>
        <v>2024</v>
      </c>
      <c r="T1407" t="str">
        <f t="shared" si="106"/>
        <v>Nov</v>
      </c>
      <c r="U1407">
        <f t="shared" si="107"/>
        <v>3</v>
      </c>
      <c r="V1407">
        <f t="shared" si="108"/>
        <v>4</v>
      </c>
      <c r="W1407" s="9">
        <f t="shared" si="109"/>
        <v>-0.15478754650479734</v>
      </c>
    </row>
    <row r="1408" spans="1:23">
      <c r="A1408">
        <v>11407</v>
      </c>
      <c r="B1408" s="5">
        <v>45603</v>
      </c>
      <c r="C1408" s="5">
        <v>45606</v>
      </c>
      <c r="D1408" s="5">
        <v>45609</v>
      </c>
      <c r="E1408" t="s">
        <v>19</v>
      </c>
      <c r="F1408" t="s">
        <v>22</v>
      </c>
      <c r="G1408" t="s">
        <v>24</v>
      </c>
      <c r="H1408" t="s">
        <v>25</v>
      </c>
      <c r="I1408" t="s">
        <v>34</v>
      </c>
      <c r="J1408" t="s">
        <v>42</v>
      </c>
      <c r="K1408" t="s">
        <v>44</v>
      </c>
      <c r="L1408" t="s">
        <v>52</v>
      </c>
      <c r="M1408" s="7">
        <v>18609</v>
      </c>
      <c r="N1408">
        <v>0.06</v>
      </c>
      <c r="O1408" s="7">
        <v>9628</v>
      </c>
      <c r="P1408">
        <v>5</v>
      </c>
      <c r="Q1408" t="s">
        <v>55</v>
      </c>
      <c r="R1408" t="s">
        <v>59</v>
      </c>
      <c r="S1408">
        <f t="shared" si="105"/>
        <v>2024</v>
      </c>
      <c r="T1408" t="str">
        <f t="shared" si="106"/>
        <v>Nov</v>
      </c>
      <c r="U1408">
        <f t="shared" si="107"/>
        <v>3</v>
      </c>
      <c r="V1408">
        <f t="shared" si="108"/>
        <v>6</v>
      </c>
      <c r="W1408" s="9">
        <f t="shared" si="109"/>
        <v>0.5173840614756301</v>
      </c>
    </row>
    <row r="1409" spans="1:23">
      <c r="A1409">
        <v>11408</v>
      </c>
      <c r="B1409" s="5">
        <v>45604</v>
      </c>
      <c r="C1409" s="5">
        <v>45607</v>
      </c>
      <c r="D1409" s="5">
        <v>45612</v>
      </c>
      <c r="E1409" t="s">
        <v>19</v>
      </c>
      <c r="F1409" t="s">
        <v>22</v>
      </c>
      <c r="G1409" t="s">
        <v>23</v>
      </c>
      <c r="H1409" t="s">
        <v>32</v>
      </c>
      <c r="I1409" t="s">
        <v>35</v>
      </c>
      <c r="J1409" t="s">
        <v>40</v>
      </c>
      <c r="K1409" t="s">
        <v>44</v>
      </c>
      <c r="L1409" t="s">
        <v>53</v>
      </c>
      <c r="M1409" s="7">
        <v>46301</v>
      </c>
      <c r="N1409">
        <v>0.13</v>
      </c>
      <c r="O1409" s="7">
        <v>2541</v>
      </c>
      <c r="P1409">
        <v>23</v>
      </c>
      <c r="Q1409" t="s">
        <v>58</v>
      </c>
      <c r="R1409" t="s">
        <v>59</v>
      </c>
      <c r="S1409">
        <f t="shared" si="105"/>
        <v>2024</v>
      </c>
      <c r="T1409" t="str">
        <f t="shared" si="106"/>
        <v>Nov</v>
      </c>
      <c r="U1409">
        <f t="shared" si="107"/>
        <v>3</v>
      </c>
      <c r="V1409">
        <f t="shared" si="108"/>
        <v>8</v>
      </c>
      <c r="W1409" s="9">
        <f t="shared" si="109"/>
        <v>5.488002418954234E-2</v>
      </c>
    </row>
    <row r="1410" spans="1:23">
      <c r="A1410">
        <v>11409</v>
      </c>
      <c r="B1410" s="5">
        <v>45605</v>
      </c>
      <c r="C1410" s="5">
        <v>45611</v>
      </c>
      <c r="D1410" s="5">
        <v>45615</v>
      </c>
      <c r="E1410" t="s">
        <v>18</v>
      </c>
      <c r="F1410" t="s">
        <v>22</v>
      </c>
      <c r="G1410" t="s">
        <v>26</v>
      </c>
      <c r="H1410" t="s">
        <v>29</v>
      </c>
      <c r="I1410" t="s">
        <v>36</v>
      </c>
      <c r="J1410" t="s">
        <v>41</v>
      </c>
      <c r="K1410" t="s">
        <v>50</v>
      </c>
      <c r="L1410" t="s">
        <v>52</v>
      </c>
      <c r="M1410" s="7">
        <v>28871</v>
      </c>
      <c r="N1410">
        <v>0</v>
      </c>
      <c r="O1410" s="7">
        <v>6935</v>
      </c>
      <c r="P1410">
        <v>18</v>
      </c>
      <c r="Q1410" t="s">
        <v>58</v>
      </c>
      <c r="R1410" t="s">
        <v>59</v>
      </c>
      <c r="S1410">
        <f t="shared" si="105"/>
        <v>2024</v>
      </c>
      <c r="T1410" t="str">
        <f t="shared" si="106"/>
        <v>Nov</v>
      </c>
      <c r="U1410">
        <f t="shared" si="107"/>
        <v>6</v>
      </c>
      <c r="V1410">
        <f t="shared" si="108"/>
        <v>10</v>
      </c>
      <c r="W1410" s="9">
        <f t="shared" si="109"/>
        <v>0.24020643552353574</v>
      </c>
    </row>
    <row r="1411" spans="1:23">
      <c r="A1411">
        <v>11410</v>
      </c>
      <c r="B1411" s="5">
        <v>45606</v>
      </c>
      <c r="C1411" s="5">
        <v>45612</v>
      </c>
      <c r="D1411" s="5">
        <v>45614</v>
      </c>
      <c r="E1411" t="s">
        <v>19</v>
      </c>
      <c r="F1411" t="s">
        <v>22</v>
      </c>
      <c r="G1411" t="s">
        <v>25</v>
      </c>
      <c r="H1411" t="s">
        <v>32</v>
      </c>
      <c r="I1411" t="s">
        <v>35</v>
      </c>
      <c r="J1411" t="s">
        <v>39</v>
      </c>
      <c r="K1411" t="s">
        <v>46</v>
      </c>
      <c r="L1411" t="s">
        <v>53</v>
      </c>
      <c r="M1411" s="7">
        <v>46850</v>
      </c>
      <c r="N1411">
        <v>0.04</v>
      </c>
      <c r="O1411" s="7">
        <v>569</v>
      </c>
      <c r="P1411">
        <v>1</v>
      </c>
      <c r="Q1411" t="s">
        <v>58</v>
      </c>
      <c r="R1411" t="s">
        <v>62</v>
      </c>
      <c r="S1411">
        <f t="shared" ref="S1411:S1474" si="110">YEAR(B1411)</f>
        <v>2024</v>
      </c>
      <c r="T1411" t="str">
        <f t="shared" ref="T1411:T1474" si="111">TEXT(B1411,"mmm")</f>
        <v>Nov</v>
      </c>
      <c r="U1411">
        <f t="shared" ref="U1411:U1474" si="112">C1411-B1411</f>
        <v>6</v>
      </c>
      <c r="V1411">
        <f t="shared" ref="V1411:V1474" si="113">D1411-B1411</f>
        <v>8</v>
      </c>
      <c r="W1411" s="9">
        <f t="shared" ref="W1411:W1474" si="114">IFERROR(O1411/M1411,0)</f>
        <v>1.2145144076840982E-2</v>
      </c>
    </row>
    <row r="1412" spans="1:23">
      <c r="A1412">
        <v>11411</v>
      </c>
      <c r="B1412" s="5">
        <v>45607</v>
      </c>
      <c r="C1412" s="5">
        <v>45609</v>
      </c>
      <c r="D1412" s="5">
        <v>45614</v>
      </c>
      <c r="E1412" t="s">
        <v>20</v>
      </c>
      <c r="F1412" t="s">
        <v>22</v>
      </c>
      <c r="G1412" t="s">
        <v>25</v>
      </c>
      <c r="H1412" t="s">
        <v>29</v>
      </c>
      <c r="I1412" t="s">
        <v>35</v>
      </c>
      <c r="J1412" t="s">
        <v>39</v>
      </c>
      <c r="K1412" t="s">
        <v>44</v>
      </c>
      <c r="L1412" t="s">
        <v>51</v>
      </c>
      <c r="M1412" s="7">
        <v>66847</v>
      </c>
      <c r="N1412">
        <v>0.18</v>
      </c>
      <c r="O1412" s="7">
        <v>7196</v>
      </c>
      <c r="P1412">
        <v>8</v>
      </c>
      <c r="Q1412" t="s">
        <v>56</v>
      </c>
      <c r="R1412" t="s">
        <v>62</v>
      </c>
      <c r="S1412">
        <f t="shared" si="110"/>
        <v>2024</v>
      </c>
      <c r="T1412" t="str">
        <f t="shared" si="111"/>
        <v>Nov</v>
      </c>
      <c r="U1412">
        <f t="shared" si="112"/>
        <v>2</v>
      </c>
      <c r="V1412">
        <f t="shared" si="113"/>
        <v>7</v>
      </c>
      <c r="W1412" s="9">
        <f t="shared" si="114"/>
        <v>0.10764880996903377</v>
      </c>
    </row>
    <row r="1413" spans="1:23">
      <c r="A1413">
        <v>11412</v>
      </c>
      <c r="B1413" s="5">
        <v>45608</v>
      </c>
      <c r="C1413" s="5">
        <v>45613</v>
      </c>
      <c r="D1413" s="5">
        <v>45616</v>
      </c>
      <c r="E1413" t="s">
        <v>20</v>
      </c>
      <c r="F1413" t="s">
        <v>22</v>
      </c>
      <c r="G1413" t="s">
        <v>24</v>
      </c>
      <c r="H1413" t="s">
        <v>29</v>
      </c>
      <c r="I1413" t="s">
        <v>36</v>
      </c>
      <c r="J1413" t="s">
        <v>42</v>
      </c>
      <c r="K1413" t="s">
        <v>49</v>
      </c>
      <c r="L1413" t="s">
        <v>53</v>
      </c>
      <c r="M1413" s="7">
        <v>69604</v>
      </c>
      <c r="N1413">
        <v>0.23</v>
      </c>
      <c r="O1413" s="7">
        <v>4562</v>
      </c>
      <c r="P1413">
        <v>8</v>
      </c>
      <c r="Q1413" t="s">
        <v>55</v>
      </c>
      <c r="R1413" t="s">
        <v>60</v>
      </c>
      <c r="S1413">
        <f t="shared" si="110"/>
        <v>2024</v>
      </c>
      <c r="T1413" t="str">
        <f t="shared" si="111"/>
        <v>Nov</v>
      </c>
      <c r="U1413">
        <f t="shared" si="112"/>
        <v>5</v>
      </c>
      <c r="V1413">
        <f t="shared" si="113"/>
        <v>8</v>
      </c>
      <c r="W1413" s="9">
        <f t="shared" si="114"/>
        <v>6.554221021780357E-2</v>
      </c>
    </row>
    <row r="1414" spans="1:23">
      <c r="A1414">
        <v>11413</v>
      </c>
      <c r="B1414" s="5">
        <v>45609</v>
      </c>
      <c r="C1414" s="5">
        <v>45612</v>
      </c>
      <c r="D1414" s="5">
        <v>45613</v>
      </c>
      <c r="E1414" t="s">
        <v>21</v>
      </c>
      <c r="F1414" t="s">
        <v>22</v>
      </c>
      <c r="G1414" t="s">
        <v>26</v>
      </c>
      <c r="H1414" t="s">
        <v>25</v>
      </c>
      <c r="I1414" t="s">
        <v>34</v>
      </c>
      <c r="J1414" t="s">
        <v>37</v>
      </c>
      <c r="K1414" t="s">
        <v>45</v>
      </c>
      <c r="L1414" t="s">
        <v>51</v>
      </c>
      <c r="M1414" s="7">
        <v>57373</v>
      </c>
      <c r="N1414">
        <v>0.26</v>
      </c>
      <c r="O1414" s="7">
        <v>-1668</v>
      </c>
      <c r="P1414">
        <v>5</v>
      </c>
      <c r="Q1414" t="s">
        <v>58</v>
      </c>
      <c r="R1414" t="s">
        <v>59</v>
      </c>
      <c r="S1414">
        <f t="shared" si="110"/>
        <v>2024</v>
      </c>
      <c r="T1414" t="str">
        <f t="shared" si="111"/>
        <v>Nov</v>
      </c>
      <c r="U1414">
        <f t="shared" si="112"/>
        <v>3</v>
      </c>
      <c r="V1414">
        <f t="shared" si="113"/>
        <v>4</v>
      </c>
      <c r="W1414" s="9">
        <f t="shared" si="114"/>
        <v>-2.9072908859568088E-2</v>
      </c>
    </row>
    <row r="1415" spans="1:23">
      <c r="A1415">
        <v>11414</v>
      </c>
      <c r="B1415" s="5">
        <v>45610</v>
      </c>
      <c r="C1415" s="5">
        <v>45614</v>
      </c>
      <c r="D1415" s="5">
        <v>45619</v>
      </c>
      <c r="E1415" t="s">
        <v>20</v>
      </c>
      <c r="F1415" t="s">
        <v>22</v>
      </c>
      <c r="G1415" t="s">
        <v>25</v>
      </c>
      <c r="H1415" t="s">
        <v>32</v>
      </c>
      <c r="I1415" t="s">
        <v>34</v>
      </c>
      <c r="J1415" t="s">
        <v>40</v>
      </c>
      <c r="K1415" t="s">
        <v>48</v>
      </c>
      <c r="L1415" t="s">
        <v>53</v>
      </c>
      <c r="M1415" s="7">
        <v>64404</v>
      </c>
      <c r="N1415">
        <v>0.21</v>
      </c>
      <c r="O1415" s="7">
        <v>6561</v>
      </c>
      <c r="P1415">
        <v>2</v>
      </c>
      <c r="Q1415" t="s">
        <v>56</v>
      </c>
      <c r="R1415" t="s">
        <v>59</v>
      </c>
      <c r="S1415">
        <f t="shared" si="110"/>
        <v>2024</v>
      </c>
      <c r="T1415" t="str">
        <f t="shared" si="111"/>
        <v>Nov</v>
      </c>
      <c r="U1415">
        <f t="shared" si="112"/>
        <v>4</v>
      </c>
      <c r="V1415">
        <f t="shared" si="113"/>
        <v>9</v>
      </c>
      <c r="W1415" s="9">
        <f t="shared" si="114"/>
        <v>0.10187255449972052</v>
      </c>
    </row>
    <row r="1416" spans="1:23">
      <c r="A1416">
        <v>11415</v>
      </c>
      <c r="B1416" s="5">
        <v>45611</v>
      </c>
      <c r="C1416" s="5">
        <v>45616</v>
      </c>
      <c r="D1416" s="5">
        <v>45618</v>
      </c>
      <c r="E1416" t="s">
        <v>20</v>
      </c>
      <c r="F1416" t="s">
        <v>22</v>
      </c>
      <c r="G1416" t="s">
        <v>28</v>
      </c>
      <c r="H1416" t="s">
        <v>33</v>
      </c>
      <c r="I1416" t="s">
        <v>35</v>
      </c>
      <c r="J1416" t="s">
        <v>42</v>
      </c>
      <c r="K1416" t="s">
        <v>44</v>
      </c>
      <c r="L1416" t="s">
        <v>53</v>
      </c>
      <c r="M1416" s="7">
        <v>8767</v>
      </c>
      <c r="N1416">
        <v>0</v>
      </c>
      <c r="O1416" s="7">
        <v>16742</v>
      </c>
      <c r="P1416">
        <v>24</v>
      </c>
      <c r="Q1416" t="s">
        <v>56</v>
      </c>
      <c r="R1416" t="s">
        <v>60</v>
      </c>
      <c r="S1416">
        <f t="shared" si="110"/>
        <v>2024</v>
      </c>
      <c r="T1416" t="str">
        <f t="shared" si="111"/>
        <v>Nov</v>
      </c>
      <c r="U1416">
        <f t="shared" si="112"/>
        <v>5</v>
      </c>
      <c r="V1416">
        <f t="shared" si="113"/>
        <v>7</v>
      </c>
      <c r="W1416" s="9">
        <f t="shared" si="114"/>
        <v>1.9096612296110413</v>
      </c>
    </row>
    <row r="1417" spans="1:23">
      <c r="A1417">
        <v>11416</v>
      </c>
      <c r="B1417" s="5">
        <v>45612</v>
      </c>
      <c r="C1417" s="5">
        <v>45615</v>
      </c>
      <c r="D1417" s="5">
        <v>45617</v>
      </c>
      <c r="E1417" t="s">
        <v>19</v>
      </c>
      <c r="F1417" t="s">
        <v>22</v>
      </c>
      <c r="G1417" t="s">
        <v>28</v>
      </c>
      <c r="H1417" t="s">
        <v>32</v>
      </c>
      <c r="I1417" t="s">
        <v>36</v>
      </c>
      <c r="J1417" t="s">
        <v>42</v>
      </c>
      <c r="K1417" t="s">
        <v>45</v>
      </c>
      <c r="L1417" t="s">
        <v>53</v>
      </c>
      <c r="M1417" s="7">
        <v>46915</v>
      </c>
      <c r="N1417">
        <v>0.28000000000000003</v>
      </c>
      <c r="O1417" s="7">
        <v>4794</v>
      </c>
      <c r="P1417">
        <v>16</v>
      </c>
      <c r="Q1417" t="s">
        <v>56</v>
      </c>
      <c r="R1417" t="s">
        <v>62</v>
      </c>
      <c r="S1417">
        <f t="shared" si="110"/>
        <v>2024</v>
      </c>
      <c r="T1417" t="str">
        <f t="shared" si="111"/>
        <v>Nov</v>
      </c>
      <c r="U1417">
        <f t="shared" si="112"/>
        <v>3</v>
      </c>
      <c r="V1417">
        <f t="shared" si="113"/>
        <v>5</v>
      </c>
      <c r="W1417" s="9">
        <f t="shared" si="114"/>
        <v>0.1021848023020356</v>
      </c>
    </row>
    <row r="1418" spans="1:23">
      <c r="A1418">
        <v>11417</v>
      </c>
      <c r="B1418" s="5">
        <v>45613</v>
      </c>
      <c r="C1418" s="5">
        <v>45616</v>
      </c>
      <c r="D1418" s="5">
        <v>45617</v>
      </c>
      <c r="E1418" t="s">
        <v>21</v>
      </c>
      <c r="F1418" t="s">
        <v>22</v>
      </c>
      <c r="G1418" t="s">
        <v>24</v>
      </c>
      <c r="H1418" t="s">
        <v>29</v>
      </c>
      <c r="I1418" t="s">
        <v>34</v>
      </c>
      <c r="J1418" t="s">
        <v>41</v>
      </c>
      <c r="K1418" t="s">
        <v>47</v>
      </c>
      <c r="L1418" t="s">
        <v>52</v>
      </c>
      <c r="M1418" s="7">
        <v>36625</v>
      </c>
      <c r="N1418">
        <v>0.25</v>
      </c>
      <c r="O1418" s="7">
        <v>15391</v>
      </c>
      <c r="P1418">
        <v>1</v>
      </c>
      <c r="Q1418" t="s">
        <v>55</v>
      </c>
      <c r="R1418" t="s">
        <v>60</v>
      </c>
      <c r="S1418">
        <f t="shared" si="110"/>
        <v>2024</v>
      </c>
      <c r="T1418" t="str">
        <f t="shared" si="111"/>
        <v>Nov</v>
      </c>
      <c r="U1418">
        <f t="shared" si="112"/>
        <v>3</v>
      </c>
      <c r="V1418">
        <f t="shared" si="113"/>
        <v>4</v>
      </c>
      <c r="W1418" s="9">
        <f t="shared" si="114"/>
        <v>0.42023208191126282</v>
      </c>
    </row>
    <row r="1419" spans="1:23">
      <c r="A1419">
        <v>11418</v>
      </c>
      <c r="B1419" s="5">
        <v>45614</v>
      </c>
      <c r="C1419" s="5">
        <v>45616</v>
      </c>
      <c r="D1419" s="5">
        <v>45619</v>
      </c>
      <c r="E1419" t="s">
        <v>20</v>
      </c>
      <c r="F1419" t="s">
        <v>22</v>
      </c>
      <c r="G1419" t="s">
        <v>27</v>
      </c>
      <c r="H1419" t="s">
        <v>33</v>
      </c>
      <c r="I1419" t="s">
        <v>36</v>
      </c>
      <c r="J1419" t="s">
        <v>43</v>
      </c>
      <c r="K1419" t="s">
        <v>47</v>
      </c>
      <c r="L1419" t="s">
        <v>51</v>
      </c>
      <c r="M1419" s="7">
        <v>5293</v>
      </c>
      <c r="N1419">
        <v>0.08</v>
      </c>
      <c r="O1419" s="7">
        <v>9837</v>
      </c>
      <c r="P1419">
        <v>13</v>
      </c>
      <c r="Q1419" t="s">
        <v>57</v>
      </c>
      <c r="R1419" t="s">
        <v>59</v>
      </c>
      <c r="S1419">
        <f t="shared" si="110"/>
        <v>2024</v>
      </c>
      <c r="T1419" t="str">
        <f t="shared" si="111"/>
        <v>Nov</v>
      </c>
      <c r="U1419">
        <f t="shared" si="112"/>
        <v>2</v>
      </c>
      <c r="V1419">
        <f t="shared" si="113"/>
        <v>5</v>
      </c>
      <c r="W1419" s="9">
        <f t="shared" si="114"/>
        <v>1.8584923483846589</v>
      </c>
    </row>
    <row r="1420" spans="1:23">
      <c r="A1420">
        <v>11419</v>
      </c>
      <c r="B1420" s="5">
        <v>45615</v>
      </c>
      <c r="C1420" s="5">
        <v>45617</v>
      </c>
      <c r="D1420" s="5">
        <v>45622</v>
      </c>
      <c r="E1420" t="s">
        <v>19</v>
      </c>
      <c r="F1420" t="s">
        <v>22</v>
      </c>
      <c r="G1420" t="s">
        <v>24</v>
      </c>
      <c r="H1420" t="s">
        <v>31</v>
      </c>
      <c r="I1420" t="s">
        <v>36</v>
      </c>
      <c r="J1420" t="s">
        <v>40</v>
      </c>
      <c r="K1420" t="s">
        <v>46</v>
      </c>
      <c r="L1420" t="s">
        <v>51</v>
      </c>
      <c r="M1420" s="7">
        <v>57037</v>
      </c>
      <c r="N1420">
        <v>0.15</v>
      </c>
      <c r="O1420" s="7">
        <v>6504</v>
      </c>
      <c r="P1420">
        <v>2</v>
      </c>
      <c r="Q1420" t="s">
        <v>57</v>
      </c>
      <c r="R1420" t="s">
        <v>60</v>
      </c>
      <c r="S1420">
        <f t="shared" si="110"/>
        <v>2024</v>
      </c>
      <c r="T1420" t="str">
        <f t="shared" si="111"/>
        <v>Nov</v>
      </c>
      <c r="U1420">
        <f t="shared" si="112"/>
        <v>2</v>
      </c>
      <c r="V1420">
        <f t="shared" si="113"/>
        <v>7</v>
      </c>
      <c r="W1420" s="9">
        <f t="shared" si="114"/>
        <v>0.11403124287743044</v>
      </c>
    </row>
    <row r="1421" spans="1:23">
      <c r="A1421">
        <v>11420</v>
      </c>
      <c r="B1421" s="5">
        <v>45616</v>
      </c>
      <c r="C1421" s="5">
        <v>45621</v>
      </c>
      <c r="D1421" s="5">
        <v>45626</v>
      </c>
      <c r="E1421" t="s">
        <v>20</v>
      </c>
      <c r="F1421" t="s">
        <v>22</v>
      </c>
      <c r="G1421" t="s">
        <v>24</v>
      </c>
      <c r="H1421" t="s">
        <v>31</v>
      </c>
      <c r="I1421" t="s">
        <v>36</v>
      </c>
      <c r="J1421" t="s">
        <v>43</v>
      </c>
      <c r="K1421" t="s">
        <v>46</v>
      </c>
      <c r="L1421" t="s">
        <v>52</v>
      </c>
      <c r="M1421" s="7">
        <v>71403</v>
      </c>
      <c r="N1421">
        <v>0.16</v>
      </c>
      <c r="O1421" s="7">
        <v>18294</v>
      </c>
      <c r="P1421">
        <v>24</v>
      </c>
      <c r="Q1421" t="s">
        <v>56</v>
      </c>
      <c r="R1421" t="s">
        <v>59</v>
      </c>
      <c r="S1421">
        <f t="shared" si="110"/>
        <v>2024</v>
      </c>
      <c r="T1421" t="str">
        <f t="shared" si="111"/>
        <v>Nov</v>
      </c>
      <c r="U1421">
        <f t="shared" si="112"/>
        <v>5</v>
      </c>
      <c r="V1421">
        <f t="shared" si="113"/>
        <v>10</v>
      </c>
      <c r="W1421" s="9">
        <f t="shared" si="114"/>
        <v>0.25620772236460654</v>
      </c>
    </row>
    <row r="1422" spans="1:23">
      <c r="A1422">
        <v>11421</v>
      </c>
      <c r="B1422" s="5">
        <v>45617</v>
      </c>
      <c r="C1422" s="5">
        <v>45623</v>
      </c>
      <c r="D1422" s="5">
        <v>45624</v>
      </c>
      <c r="E1422" t="s">
        <v>20</v>
      </c>
      <c r="F1422" t="s">
        <v>22</v>
      </c>
      <c r="G1422" t="s">
        <v>28</v>
      </c>
      <c r="H1422" t="s">
        <v>33</v>
      </c>
      <c r="I1422" t="s">
        <v>36</v>
      </c>
      <c r="J1422" t="s">
        <v>42</v>
      </c>
      <c r="K1422" t="s">
        <v>44</v>
      </c>
      <c r="L1422" t="s">
        <v>52</v>
      </c>
      <c r="M1422" s="7">
        <v>19012</v>
      </c>
      <c r="N1422">
        <v>0.01</v>
      </c>
      <c r="O1422" s="7">
        <v>7729</v>
      </c>
      <c r="P1422">
        <v>24</v>
      </c>
      <c r="Q1422" t="s">
        <v>57</v>
      </c>
      <c r="R1422" t="s">
        <v>62</v>
      </c>
      <c r="S1422">
        <f t="shared" si="110"/>
        <v>2024</v>
      </c>
      <c r="T1422" t="str">
        <f t="shared" si="111"/>
        <v>Nov</v>
      </c>
      <c r="U1422">
        <f t="shared" si="112"/>
        <v>6</v>
      </c>
      <c r="V1422">
        <f t="shared" si="113"/>
        <v>7</v>
      </c>
      <c r="W1422" s="9">
        <f t="shared" si="114"/>
        <v>0.40653271617925518</v>
      </c>
    </row>
    <row r="1423" spans="1:23">
      <c r="A1423">
        <v>11422</v>
      </c>
      <c r="B1423" s="5">
        <v>45618</v>
      </c>
      <c r="C1423" s="5">
        <v>45625</v>
      </c>
      <c r="D1423" s="5">
        <v>45630</v>
      </c>
      <c r="E1423" t="s">
        <v>18</v>
      </c>
      <c r="F1423" t="s">
        <v>22</v>
      </c>
      <c r="G1423" t="s">
        <v>26</v>
      </c>
      <c r="H1423" t="s">
        <v>30</v>
      </c>
      <c r="I1423" t="s">
        <v>36</v>
      </c>
      <c r="J1423" t="s">
        <v>43</v>
      </c>
      <c r="K1423" t="s">
        <v>49</v>
      </c>
      <c r="L1423" t="s">
        <v>52</v>
      </c>
      <c r="M1423" s="7">
        <v>53844</v>
      </c>
      <c r="N1423">
        <v>0.35</v>
      </c>
      <c r="O1423" s="7">
        <v>19864</v>
      </c>
      <c r="P1423">
        <v>19</v>
      </c>
      <c r="Q1423" t="s">
        <v>54</v>
      </c>
      <c r="R1423" t="s">
        <v>61</v>
      </c>
      <c r="S1423">
        <f t="shared" si="110"/>
        <v>2024</v>
      </c>
      <c r="T1423" t="str">
        <f t="shared" si="111"/>
        <v>Nov</v>
      </c>
      <c r="U1423">
        <f t="shared" si="112"/>
        <v>7</v>
      </c>
      <c r="V1423">
        <f t="shared" si="113"/>
        <v>12</v>
      </c>
      <c r="W1423" s="9">
        <f t="shared" si="114"/>
        <v>0.36891761384741106</v>
      </c>
    </row>
    <row r="1424" spans="1:23">
      <c r="A1424">
        <v>11423</v>
      </c>
      <c r="B1424" s="5">
        <v>45619</v>
      </c>
      <c r="C1424" s="5">
        <v>45624</v>
      </c>
      <c r="D1424" s="5">
        <v>45627</v>
      </c>
      <c r="E1424" t="s">
        <v>19</v>
      </c>
      <c r="F1424" t="s">
        <v>22</v>
      </c>
      <c r="G1424" t="s">
        <v>27</v>
      </c>
      <c r="H1424" t="s">
        <v>33</v>
      </c>
      <c r="I1424" t="s">
        <v>35</v>
      </c>
      <c r="J1424" t="s">
        <v>40</v>
      </c>
      <c r="K1424" t="s">
        <v>45</v>
      </c>
      <c r="L1424" t="s">
        <v>51</v>
      </c>
      <c r="M1424" s="7">
        <v>20577</v>
      </c>
      <c r="N1424">
        <v>0.3</v>
      </c>
      <c r="O1424" s="7">
        <v>7385</v>
      </c>
      <c r="P1424">
        <v>3</v>
      </c>
      <c r="Q1424" t="s">
        <v>55</v>
      </c>
      <c r="R1424" t="s">
        <v>62</v>
      </c>
      <c r="S1424">
        <f t="shared" si="110"/>
        <v>2024</v>
      </c>
      <c r="T1424" t="str">
        <f t="shared" si="111"/>
        <v>Nov</v>
      </c>
      <c r="U1424">
        <f t="shared" si="112"/>
        <v>5</v>
      </c>
      <c r="V1424">
        <f t="shared" si="113"/>
        <v>8</v>
      </c>
      <c r="W1424" s="9">
        <f t="shared" si="114"/>
        <v>0.35889585459493611</v>
      </c>
    </row>
    <row r="1425" spans="1:23">
      <c r="A1425">
        <v>11424</v>
      </c>
      <c r="B1425" s="5">
        <v>45620</v>
      </c>
      <c r="C1425" s="5">
        <v>45625</v>
      </c>
      <c r="D1425" s="5">
        <v>45626</v>
      </c>
      <c r="E1425" t="s">
        <v>19</v>
      </c>
      <c r="F1425" t="s">
        <v>22</v>
      </c>
      <c r="G1425" t="s">
        <v>24</v>
      </c>
      <c r="H1425" t="s">
        <v>25</v>
      </c>
      <c r="I1425" t="s">
        <v>36</v>
      </c>
      <c r="J1425" t="s">
        <v>43</v>
      </c>
      <c r="K1425" t="s">
        <v>47</v>
      </c>
      <c r="L1425" t="s">
        <v>51</v>
      </c>
      <c r="M1425" s="7">
        <v>72120</v>
      </c>
      <c r="N1425">
        <v>0.15</v>
      </c>
      <c r="O1425" s="7">
        <v>-333</v>
      </c>
      <c r="P1425">
        <v>10</v>
      </c>
      <c r="Q1425" t="s">
        <v>58</v>
      </c>
      <c r="R1425" t="s">
        <v>59</v>
      </c>
      <c r="S1425">
        <f t="shared" si="110"/>
        <v>2024</v>
      </c>
      <c r="T1425" t="str">
        <f t="shared" si="111"/>
        <v>Nov</v>
      </c>
      <c r="U1425">
        <f t="shared" si="112"/>
        <v>5</v>
      </c>
      <c r="V1425">
        <f t="shared" si="113"/>
        <v>6</v>
      </c>
      <c r="W1425" s="9">
        <f t="shared" si="114"/>
        <v>-4.6173044925124796E-3</v>
      </c>
    </row>
    <row r="1426" spans="1:23">
      <c r="A1426">
        <v>11425</v>
      </c>
      <c r="B1426" s="5">
        <v>45621</v>
      </c>
      <c r="C1426" s="5">
        <v>45627</v>
      </c>
      <c r="D1426" s="5">
        <v>45632</v>
      </c>
      <c r="E1426" t="s">
        <v>19</v>
      </c>
      <c r="F1426" t="s">
        <v>22</v>
      </c>
      <c r="G1426" t="s">
        <v>25</v>
      </c>
      <c r="H1426" t="s">
        <v>32</v>
      </c>
      <c r="I1426" t="s">
        <v>35</v>
      </c>
      <c r="J1426" t="s">
        <v>38</v>
      </c>
      <c r="K1426" t="s">
        <v>46</v>
      </c>
      <c r="L1426" t="s">
        <v>52</v>
      </c>
      <c r="M1426" s="7">
        <v>37014</v>
      </c>
      <c r="N1426">
        <v>0.23</v>
      </c>
      <c r="O1426" s="7">
        <v>9934</v>
      </c>
      <c r="P1426">
        <v>14</v>
      </c>
      <c r="Q1426" t="s">
        <v>57</v>
      </c>
      <c r="R1426" t="s">
        <v>59</v>
      </c>
      <c r="S1426">
        <f t="shared" si="110"/>
        <v>2024</v>
      </c>
      <c r="T1426" t="str">
        <f t="shared" si="111"/>
        <v>Nov</v>
      </c>
      <c r="U1426">
        <f t="shared" si="112"/>
        <v>6</v>
      </c>
      <c r="V1426">
        <f t="shared" si="113"/>
        <v>11</v>
      </c>
      <c r="W1426" s="9">
        <f t="shared" si="114"/>
        <v>0.26838493542983738</v>
      </c>
    </row>
    <row r="1427" spans="1:23">
      <c r="A1427">
        <v>11426</v>
      </c>
      <c r="B1427" s="5">
        <v>45622</v>
      </c>
      <c r="C1427" s="5">
        <v>45625</v>
      </c>
      <c r="D1427" s="5">
        <v>45630</v>
      </c>
      <c r="E1427" t="s">
        <v>21</v>
      </c>
      <c r="F1427" t="s">
        <v>22</v>
      </c>
      <c r="G1427" t="s">
        <v>27</v>
      </c>
      <c r="H1427" t="s">
        <v>33</v>
      </c>
      <c r="I1427" t="s">
        <v>34</v>
      </c>
      <c r="J1427" t="s">
        <v>41</v>
      </c>
      <c r="K1427" t="s">
        <v>45</v>
      </c>
      <c r="L1427" t="s">
        <v>53</v>
      </c>
      <c r="M1427" s="7">
        <v>49861</v>
      </c>
      <c r="N1427">
        <v>0.25</v>
      </c>
      <c r="O1427" s="7">
        <v>5404</v>
      </c>
      <c r="P1427">
        <v>11</v>
      </c>
      <c r="Q1427" t="s">
        <v>54</v>
      </c>
      <c r="R1427" t="s">
        <v>62</v>
      </c>
      <c r="S1427">
        <f t="shared" si="110"/>
        <v>2024</v>
      </c>
      <c r="T1427" t="str">
        <f t="shared" si="111"/>
        <v>Nov</v>
      </c>
      <c r="U1427">
        <f t="shared" si="112"/>
        <v>3</v>
      </c>
      <c r="V1427">
        <f t="shared" si="113"/>
        <v>8</v>
      </c>
      <c r="W1427" s="9">
        <f t="shared" si="114"/>
        <v>0.10838130001403903</v>
      </c>
    </row>
    <row r="1428" spans="1:23">
      <c r="A1428">
        <v>11427</v>
      </c>
      <c r="B1428" s="5">
        <v>45623</v>
      </c>
      <c r="C1428" s="5">
        <v>45628</v>
      </c>
      <c r="D1428" s="5">
        <v>45631</v>
      </c>
      <c r="E1428" t="s">
        <v>21</v>
      </c>
      <c r="F1428" t="s">
        <v>22</v>
      </c>
      <c r="G1428" t="s">
        <v>23</v>
      </c>
      <c r="H1428" t="s">
        <v>29</v>
      </c>
      <c r="I1428" t="s">
        <v>34</v>
      </c>
      <c r="J1428" t="s">
        <v>40</v>
      </c>
      <c r="K1428" t="s">
        <v>48</v>
      </c>
      <c r="L1428" t="s">
        <v>52</v>
      </c>
      <c r="M1428" s="7">
        <v>38220</v>
      </c>
      <c r="N1428">
        <v>0.1</v>
      </c>
      <c r="O1428" s="7">
        <v>17670</v>
      </c>
      <c r="P1428">
        <v>22</v>
      </c>
      <c r="Q1428" t="s">
        <v>54</v>
      </c>
      <c r="R1428" t="s">
        <v>59</v>
      </c>
      <c r="S1428">
        <f t="shared" si="110"/>
        <v>2024</v>
      </c>
      <c r="T1428" t="str">
        <f t="shared" si="111"/>
        <v>Nov</v>
      </c>
      <c r="U1428">
        <f t="shared" si="112"/>
        <v>5</v>
      </c>
      <c r="V1428">
        <f t="shared" si="113"/>
        <v>8</v>
      </c>
      <c r="W1428" s="9">
        <f t="shared" si="114"/>
        <v>0.46232339089481944</v>
      </c>
    </row>
    <row r="1429" spans="1:23">
      <c r="A1429">
        <v>11428</v>
      </c>
      <c r="B1429" s="5">
        <v>45624</v>
      </c>
      <c r="C1429" s="5">
        <v>45628</v>
      </c>
      <c r="D1429" s="5">
        <v>45629</v>
      </c>
      <c r="E1429" t="s">
        <v>21</v>
      </c>
      <c r="F1429" t="s">
        <v>22</v>
      </c>
      <c r="G1429" t="s">
        <v>23</v>
      </c>
      <c r="H1429" t="s">
        <v>32</v>
      </c>
      <c r="I1429" t="s">
        <v>36</v>
      </c>
      <c r="J1429" t="s">
        <v>43</v>
      </c>
      <c r="K1429" t="s">
        <v>45</v>
      </c>
      <c r="L1429" t="s">
        <v>53</v>
      </c>
      <c r="M1429" s="7">
        <v>35840</v>
      </c>
      <c r="N1429">
        <v>0.11</v>
      </c>
      <c r="O1429" s="7">
        <v>12545</v>
      </c>
      <c r="P1429">
        <v>1</v>
      </c>
      <c r="Q1429" t="s">
        <v>57</v>
      </c>
      <c r="R1429" t="s">
        <v>59</v>
      </c>
      <c r="S1429">
        <f t="shared" si="110"/>
        <v>2024</v>
      </c>
      <c r="T1429" t="str">
        <f t="shared" si="111"/>
        <v>Nov</v>
      </c>
      <c r="U1429">
        <f t="shared" si="112"/>
        <v>4</v>
      </c>
      <c r="V1429">
        <f t="shared" si="113"/>
        <v>5</v>
      </c>
      <c r="W1429" s="9">
        <f t="shared" si="114"/>
        <v>0.3500279017857143</v>
      </c>
    </row>
    <row r="1430" spans="1:23">
      <c r="A1430">
        <v>11429</v>
      </c>
      <c r="B1430" s="5">
        <v>45625</v>
      </c>
      <c r="C1430" s="5">
        <v>45627</v>
      </c>
      <c r="D1430" s="5">
        <v>45632</v>
      </c>
      <c r="E1430" t="s">
        <v>18</v>
      </c>
      <c r="F1430" t="s">
        <v>22</v>
      </c>
      <c r="G1430" t="s">
        <v>24</v>
      </c>
      <c r="H1430" t="s">
        <v>29</v>
      </c>
      <c r="I1430" t="s">
        <v>35</v>
      </c>
      <c r="J1430" t="s">
        <v>42</v>
      </c>
      <c r="K1430" t="s">
        <v>50</v>
      </c>
      <c r="L1430" t="s">
        <v>52</v>
      </c>
      <c r="M1430" s="7">
        <v>47346</v>
      </c>
      <c r="N1430">
        <v>7.0000000000000007E-2</v>
      </c>
      <c r="O1430" s="7">
        <v>-1925</v>
      </c>
      <c r="P1430">
        <v>2</v>
      </c>
      <c r="Q1430" t="s">
        <v>55</v>
      </c>
      <c r="R1430" t="s">
        <v>59</v>
      </c>
      <c r="S1430">
        <f t="shared" si="110"/>
        <v>2024</v>
      </c>
      <c r="T1430" t="str">
        <f t="shared" si="111"/>
        <v>Nov</v>
      </c>
      <c r="U1430">
        <f t="shared" si="112"/>
        <v>2</v>
      </c>
      <c r="V1430">
        <f t="shared" si="113"/>
        <v>7</v>
      </c>
      <c r="W1430" s="9">
        <f t="shared" si="114"/>
        <v>-4.0658133738858612E-2</v>
      </c>
    </row>
    <row r="1431" spans="1:23">
      <c r="A1431">
        <v>11430</v>
      </c>
      <c r="B1431" s="5">
        <v>45626</v>
      </c>
      <c r="C1431" s="5">
        <v>45633</v>
      </c>
      <c r="D1431" s="5">
        <v>45637</v>
      </c>
      <c r="E1431" t="s">
        <v>19</v>
      </c>
      <c r="F1431" t="s">
        <v>22</v>
      </c>
      <c r="G1431" t="s">
        <v>25</v>
      </c>
      <c r="H1431" t="s">
        <v>31</v>
      </c>
      <c r="I1431" t="s">
        <v>36</v>
      </c>
      <c r="J1431" t="s">
        <v>38</v>
      </c>
      <c r="K1431" t="s">
        <v>49</v>
      </c>
      <c r="L1431" t="s">
        <v>53</v>
      </c>
      <c r="M1431" s="7">
        <v>74157</v>
      </c>
      <c r="N1431">
        <v>0.26</v>
      </c>
      <c r="O1431" s="7">
        <v>17620</v>
      </c>
      <c r="P1431">
        <v>19</v>
      </c>
      <c r="Q1431" t="s">
        <v>56</v>
      </c>
      <c r="R1431" t="s">
        <v>62</v>
      </c>
      <c r="S1431">
        <f t="shared" si="110"/>
        <v>2024</v>
      </c>
      <c r="T1431" t="str">
        <f t="shared" si="111"/>
        <v>Nov</v>
      </c>
      <c r="U1431">
        <f t="shared" si="112"/>
        <v>7</v>
      </c>
      <c r="V1431">
        <f t="shared" si="113"/>
        <v>11</v>
      </c>
      <c r="W1431" s="9">
        <f t="shared" si="114"/>
        <v>0.23760400231940343</v>
      </c>
    </row>
    <row r="1432" spans="1:23">
      <c r="A1432">
        <v>11431</v>
      </c>
      <c r="B1432" s="5">
        <v>45627</v>
      </c>
      <c r="C1432" s="5">
        <v>45632</v>
      </c>
      <c r="D1432" s="5">
        <v>45634</v>
      </c>
      <c r="E1432" t="s">
        <v>18</v>
      </c>
      <c r="F1432" t="s">
        <v>22</v>
      </c>
      <c r="G1432" t="s">
        <v>28</v>
      </c>
      <c r="H1432" t="s">
        <v>25</v>
      </c>
      <c r="I1432" t="s">
        <v>36</v>
      </c>
      <c r="J1432" t="s">
        <v>43</v>
      </c>
      <c r="K1432" t="s">
        <v>45</v>
      </c>
      <c r="L1432" t="s">
        <v>51</v>
      </c>
      <c r="M1432" s="7">
        <v>43221</v>
      </c>
      <c r="N1432">
        <v>0.24</v>
      </c>
      <c r="O1432" s="7">
        <v>9755</v>
      </c>
      <c r="P1432">
        <v>12</v>
      </c>
      <c r="Q1432" t="s">
        <v>55</v>
      </c>
      <c r="R1432" t="s">
        <v>61</v>
      </c>
      <c r="S1432">
        <f t="shared" si="110"/>
        <v>2024</v>
      </c>
      <c r="T1432" t="str">
        <f t="shared" si="111"/>
        <v>Dec</v>
      </c>
      <c r="U1432">
        <f t="shared" si="112"/>
        <v>5</v>
      </c>
      <c r="V1432">
        <f t="shared" si="113"/>
        <v>7</v>
      </c>
      <c r="W1432" s="9">
        <f t="shared" si="114"/>
        <v>0.22570046967909119</v>
      </c>
    </row>
    <row r="1433" spans="1:23">
      <c r="A1433">
        <v>11432</v>
      </c>
      <c r="B1433" s="5">
        <v>45628</v>
      </c>
      <c r="C1433" s="5">
        <v>45630</v>
      </c>
      <c r="D1433" s="5">
        <v>45632</v>
      </c>
      <c r="E1433" t="s">
        <v>21</v>
      </c>
      <c r="F1433" t="s">
        <v>22</v>
      </c>
      <c r="G1433" t="s">
        <v>24</v>
      </c>
      <c r="H1433" t="s">
        <v>32</v>
      </c>
      <c r="I1433" t="s">
        <v>35</v>
      </c>
      <c r="J1433" t="s">
        <v>37</v>
      </c>
      <c r="K1433" t="s">
        <v>48</v>
      </c>
      <c r="L1433" t="s">
        <v>53</v>
      </c>
      <c r="M1433" s="7">
        <v>17373</v>
      </c>
      <c r="N1433">
        <v>0.16</v>
      </c>
      <c r="O1433" s="7">
        <v>6775</v>
      </c>
      <c r="P1433">
        <v>22</v>
      </c>
      <c r="Q1433" t="s">
        <v>58</v>
      </c>
      <c r="R1433" t="s">
        <v>62</v>
      </c>
      <c r="S1433">
        <f t="shared" si="110"/>
        <v>2024</v>
      </c>
      <c r="T1433" t="str">
        <f t="shared" si="111"/>
        <v>Dec</v>
      </c>
      <c r="U1433">
        <f t="shared" si="112"/>
        <v>2</v>
      </c>
      <c r="V1433">
        <f t="shared" si="113"/>
        <v>4</v>
      </c>
      <c r="W1433" s="9">
        <f t="shared" si="114"/>
        <v>0.38997294652621883</v>
      </c>
    </row>
    <row r="1434" spans="1:23">
      <c r="A1434">
        <v>11433</v>
      </c>
      <c r="B1434" s="5">
        <v>45629</v>
      </c>
      <c r="C1434" s="5">
        <v>45635</v>
      </c>
      <c r="D1434" s="5">
        <v>45637</v>
      </c>
      <c r="E1434" t="s">
        <v>21</v>
      </c>
      <c r="F1434" t="s">
        <v>22</v>
      </c>
      <c r="G1434" t="s">
        <v>27</v>
      </c>
      <c r="H1434" t="s">
        <v>25</v>
      </c>
      <c r="I1434" t="s">
        <v>34</v>
      </c>
      <c r="J1434" t="s">
        <v>42</v>
      </c>
      <c r="K1434" t="s">
        <v>48</v>
      </c>
      <c r="L1434" t="s">
        <v>52</v>
      </c>
      <c r="M1434" s="7">
        <v>21278</v>
      </c>
      <c r="N1434">
        <v>0.08</v>
      </c>
      <c r="O1434" s="7">
        <v>6807</v>
      </c>
      <c r="P1434">
        <v>9</v>
      </c>
      <c r="Q1434" t="s">
        <v>56</v>
      </c>
      <c r="R1434" t="s">
        <v>60</v>
      </c>
      <c r="S1434">
        <f t="shared" si="110"/>
        <v>2024</v>
      </c>
      <c r="T1434" t="str">
        <f t="shared" si="111"/>
        <v>Dec</v>
      </c>
      <c r="U1434">
        <f t="shared" si="112"/>
        <v>6</v>
      </c>
      <c r="V1434">
        <f t="shared" si="113"/>
        <v>8</v>
      </c>
      <c r="W1434" s="9">
        <f t="shared" si="114"/>
        <v>0.31990788607951876</v>
      </c>
    </row>
    <row r="1435" spans="1:23">
      <c r="A1435">
        <v>11434</v>
      </c>
      <c r="B1435" s="5">
        <v>45630</v>
      </c>
      <c r="C1435" s="5">
        <v>45637</v>
      </c>
      <c r="D1435" s="5">
        <v>45641</v>
      </c>
      <c r="E1435" t="s">
        <v>20</v>
      </c>
      <c r="F1435" t="s">
        <v>22</v>
      </c>
      <c r="G1435" t="s">
        <v>25</v>
      </c>
      <c r="H1435" t="s">
        <v>33</v>
      </c>
      <c r="I1435" t="s">
        <v>36</v>
      </c>
      <c r="J1435" t="s">
        <v>38</v>
      </c>
      <c r="K1435" t="s">
        <v>47</v>
      </c>
      <c r="L1435" t="s">
        <v>51</v>
      </c>
      <c r="M1435" s="7">
        <v>25615</v>
      </c>
      <c r="N1435">
        <v>0.01</v>
      </c>
      <c r="O1435" s="7">
        <v>17544</v>
      </c>
      <c r="P1435">
        <v>23</v>
      </c>
      <c r="Q1435" t="s">
        <v>56</v>
      </c>
      <c r="R1435" t="s">
        <v>60</v>
      </c>
      <c r="S1435">
        <f t="shared" si="110"/>
        <v>2024</v>
      </c>
      <c r="T1435" t="str">
        <f t="shared" si="111"/>
        <v>Dec</v>
      </c>
      <c r="U1435">
        <f t="shared" si="112"/>
        <v>7</v>
      </c>
      <c r="V1435">
        <f t="shared" si="113"/>
        <v>11</v>
      </c>
      <c r="W1435" s="9">
        <f t="shared" si="114"/>
        <v>0.68491118485262537</v>
      </c>
    </row>
    <row r="1436" spans="1:23">
      <c r="A1436">
        <v>11435</v>
      </c>
      <c r="B1436" s="5">
        <v>45631</v>
      </c>
      <c r="C1436" s="5">
        <v>45635</v>
      </c>
      <c r="D1436" s="5">
        <v>45639</v>
      </c>
      <c r="E1436" t="s">
        <v>20</v>
      </c>
      <c r="F1436" t="s">
        <v>22</v>
      </c>
      <c r="G1436" t="s">
        <v>26</v>
      </c>
      <c r="H1436" t="s">
        <v>25</v>
      </c>
      <c r="I1436" t="s">
        <v>36</v>
      </c>
      <c r="J1436" t="s">
        <v>38</v>
      </c>
      <c r="K1436" t="s">
        <v>45</v>
      </c>
      <c r="L1436" t="s">
        <v>52</v>
      </c>
      <c r="M1436" s="7">
        <v>27048</v>
      </c>
      <c r="N1436">
        <v>0.2</v>
      </c>
      <c r="O1436" s="7">
        <v>15537</v>
      </c>
      <c r="P1436">
        <v>16</v>
      </c>
      <c r="Q1436" t="s">
        <v>54</v>
      </c>
      <c r="R1436" t="s">
        <v>61</v>
      </c>
      <c r="S1436">
        <f t="shared" si="110"/>
        <v>2024</v>
      </c>
      <c r="T1436" t="str">
        <f t="shared" si="111"/>
        <v>Dec</v>
      </c>
      <c r="U1436">
        <f t="shared" si="112"/>
        <v>4</v>
      </c>
      <c r="V1436">
        <f t="shared" si="113"/>
        <v>8</v>
      </c>
      <c r="W1436" s="9">
        <f t="shared" si="114"/>
        <v>0.57442324755989349</v>
      </c>
    </row>
    <row r="1437" spans="1:23">
      <c r="A1437">
        <v>11436</v>
      </c>
      <c r="B1437" s="5">
        <v>45632</v>
      </c>
      <c r="C1437" s="5">
        <v>45636</v>
      </c>
      <c r="D1437" s="5">
        <v>45639</v>
      </c>
      <c r="E1437" t="s">
        <v>19</v>
      </c>
      <c r="F1437" t="s">
        <v>22</v>
      </c>
      <c r="G1437" t="s">
        <v>27</v>
      </c>
      <c r="H1437" t="s">
        <v>29</v>
      </c>
      <c r="I1437" t="s">
        <v>36</v>
      </c>
      <c r="J1437" t="s">
        <v>42</v>
      </c>
      <c r="K1437" t="s">
        <v>47</v>
      </c>
      <c r="L1437" t="s">
        <v>53</v>
      </c>
      <c r="M1437" s="7">
        <v>71844</v>
      </c>
      <c r="N1437">
        <v>0.03</v>
      </c>
      <c r="O1437" s="7">
        <v>13330</v>
      </c>
      <c r="P1437">
        <v>2</v>
      </c>
      <c r="Q1437" t="s">
        <v>54</v>
      </c>
      <c r="R1437" t="s">
        <v>62</v>
      </c>
      <c r="S1437">
        <f t="shared" si="110"/>
        <v>2024</v>
      </c>
      <c r="T1437" t="str">
        <f t="shared" si="111"/>
        <v>Dec</v>
      </c>
      <c r="U1437">
        <f t="shared" si="112"/>
        <v>4</v>
      </c>
      <c r="V1437">
        <f t="shared" si="113"/>
        <v>7</v>
      </c>
      <c r="W1437" s="9">
        <f t="shared" si="114"/>
        <v>0.18554089415956795</v>
      </c>
    </row>
    <row r="1438" spans="1:23">
      <c r="A1438">
        <v>11437</v>
      </c>
      <c r="B1438" s="5">
        <v>45633</v>
      </c>
      <c r="C1438" s="5">
        <v>45638</v>
      </c>
      <c r="D1438" s="5">
        <v>45643</v>
      </c>
      <c r="E1438" t="s">
        <v>21</v>
      </c>
      <c r="F1438" t="s">
        <v>22</v>
      </c>
      <c r="G1438" t="s">
        <v>25</v>
      </c>
      <c r="H1438" t="s">
        <v>25</v>
      </c>
      <c r="I1438" t="s">
        <v>36</v>
      </c>
      <c r="J1438" t="s">
        <v>38</v>
      </c>
      <c r="K1438" t="s">
        <v>45</v>
      </c>
      <c r="L1438" t="s">
        <v>51</v>
      </c>
      <c r="M1438" s="7">
        <v>1407</v>
      </c>
      <c r="N1438">
        <v>0.06</v>
      </c>
      <c r="O1438" s="7">
        <v>3309</v>
      </c>
      <c r="P1438">
        <v>18</v>
      </c>
      <c r="Q1438" t="s">
        <v>58</v>
      </c>
      <c r="R1438" t="s">
        <v>60</v>
      </c>
      <c r="S1438">
        <f t="shared" si="110"/>
        <v>2024</v>
      </c>
      <c r="T1438" t="str">
        <f t="shared" si="111"/>
        <v>Dec</v>
      </c>
      <c r="U1438">
        <f t="shared" si="112"/>
        <v>5</v>
      </c>
      <c r="V1438">
        <f t="shared" si="113"/>
        <v>10</v>
      </c>
      <c r="W1438" s="9">
        <f t="shared" si="114"/>
        <v>2.35181236673774</v>
      </c>
    </row>
    <row r="1439" spans="1:23">
      <c r="A1439">
        <v>11438</v>
      </c>
      <c r="B1439" s="5">
        <v>45634</v>
      </c>
      <c r="C1439" s="5">
        <v>45641</v>
      </c>
      <c r="D1439" s="5">
        <v>45645</v>
      </c>
      <c r="E1439" t="s">
        <v>19</v>
      </c>
      <c r="F1439" t="s">
        <v>22</v>
      </c>
      <c r="G1439" t="s">
        <v>23</v>
      </c>
      <c r="H1439" t="s">
        <v>29</v>
      </c>
      <c r="I1439" t="s">
        <v>34</v>
      </c>
      <c r="J1439" t="s">
        <v>40</v>
      </c>
      <c r="K1439" t="s">
        <v>46</v>
      </c>
      <c r="L1439" t="s">
        <v>52</v>
      </c>
      <c r="M1439" s="7">
        <v>9685</v>
      </c>
      <c r="N1439">
        <v>0.21</v>
      </c>
      <c r="O1439" s="7">
        <v>16819</v>
      </c>
      <c r="P1439">
        <v>16</v>
      </c>
      <c r="Q1439" t="s">
        <v>54</v>
      </c>
      <c r="R1439" t="s">
        <v>62</v>
      </c>
      <c r="S1439">
        <f t="shared" si="110"/>
        <v>2024</v>
      </c>
      <c r="T1439" t="str">
        <f t="shared" si="111"/>
        <v>Dec</v>
      </c>
      <c r="U1439">
        <f t="shared" si="112"/>
        <v>7</v>
      </c>
      <c r="V1439">
        <f t="shared" si="113"/>
        <v>11</v>
      </c>
      <c r="W1439" s="9">
        <f t="shared" si="114"/>
        <v>1.7366029943211152</v>
      </c>
    </row>
    <row r="1440" spans="1:23">
      <c r="A1440">
        <v>11439</v>
      </c>
      <c r="B1440" s="5">
        <v>45635</v>
      </c>
      <c r="C1440" s="5">
        <v>45642</v>
      </c>
      <c r="D1440" s="5">
        <v>45643</v>
      </c>
      <c r="E1440" t="s">
        <v>21</v>
      </c>
      <c r="F1440" t="s">
        <v>22</v>
      </c>
      <c r="G1440" t="s">
        <v>23</v>
      </c>
      <c r="H1440" t="s">
        <v>29</v>
      </c>
      <c r="I1440" t="s">
        <v>34</v>
      </c>
      <c r="J1440" t="s">
        <v>42</v>
      </c>
      <c r="K1440" t="s">
        <v>48</v>
      </c>
      <c r="L1440" t="s">
        <v>52</v>
      </c>
      <c r="M1440" s="7">
        <v>33432</v>
      </c>
      <c r="N1440">
        <v>0.34</v>
      </c>
      <c r="O1440" s="7">
        <v>7194</v>
      </c>
      <c r="P1440">
        <v>20</v>
      </c>
      <c r="Q1440" t="s">
        <v>56</v>
      </c>
      <c r="R1440" t="s">
        <v>60</v>
      </c>
      <c r="S1440">
        <f t="shared" si="110"/>
        <v>2024</v>
      </c>
      <c r="T1440" t="str">
        <f t="shared" si="111"/>
        <v>Dec</v>
      </c>
      <c r="U1440">
        <f t="shared" si="112"/>
        <v>7</v>
      </c>
      <c r="V1440">
        <f t="shared" si="113"/>
        <v>8</v>
      </c>
      <c r="W1440" s="9">
        <f t="shared" si="114"/>
        <v>0.21518305814788227</v>
      </c>
    </row>
    <row r="1441" spans="1:23">
      <c r="A1441">
        <v>11440</v>
      </c>
      <c r="B1441" s="5">
        <v>45636</v>
      </c>
      <c r="C1441" s="5">
        <v>45643</v>
      </c>
      <c r="D1441" s="5">
        <v>45647</v>
      </c>
      <c r="E1441" t="s">
        <v>19</v>
      </c>
      <c r="F1441" t="s">
        <v>22</v>
      </c>
      <c r="G1441" t="s">
        <v>24</v>
      </c>
      <c r="H1441" t="s">
        <v>29</v>
      </c>
      <c r="I1441" t="s">
        <v>34</v>
      </c>
      <c r="J1441" t="s">
        <v>41</v>
      </c>
      <c r="K1441" t="s">
        <v>45</v>
      </c>
      <c r="L1441" t="s">
        <v>51</v>
      </c>
      <c r="M1441" s="7">
        <v>28008</v>
      </c>
      <c r="N1441">
        <v>0.21</v>
      </c>
      <c r="O1441" s="7">
        <v>3709</v>
      </c>
      <c r="P1441">
        <v>18</v>
      </c>
      <c r="Q1441" t="s">
        <v>56</v>
      </c>
      <c r="R1441" t="s">
        <v>59</v>
      </c>
      <c r="S1441">
        <f t="shared" si="110"/>
        <v>2024</v>
      </c>
      <c r="T1441" t="str">
        <f t="shared" si="111"/>
        <v>Dec</v>
      </c>
      <c r="U1441">
        <f t="shared" si="112"/>
        <v>7</v>
      </c>
      <c r="V1441">
        <f t="shared" si="113"/>
        <v>11</v>
      </c>
      <c r="W1441" s="9">
        <f t="shared" si="114"/>
        <v>0.13242644958583261</v>
      </c>
    </row>
    <row r="1442" spans="1:23">
      <c r="A1442">
        <v>11441</v>
      </c>
      <c r="B1442" s="5">
        <v>45637</v>
      </c>
      <c r="C1442" s="5">
        <v>45641</v>
      </c>
      <c r="D1442" s="5">
        <v>45644</v>
      </c>
      <c r="E1442" t="s">
        <v>21</v>
      </c>
      <c r="F1442" t="s">
        <v>22</v>
      </c>
      <c r="G1442" t="s">
        <v>27</v>
      </c>
      <c r="H1442" t="s">
        <v>33</v>
      </c>
      <c r="I1442" t="s">
        <v>36</v>
      </c>
      <c r="J1442" t="s">
        <v>38</v>
      </c>
      <c r="K1442" t="s">
        <v>48</v>
      </c>
      <c r="L1442" t="s">
        <v>53</v>
      </c>
      <c r="M1442" s="7">
        <v>31984</v>
      </c>
      <c r="N1442">
        <v>0.17</v>
      </c>
      <c r="O1442" s="7">
        <v>5333</v>
      </c>
      <c r="P1442">
        <v>22</v>
      </c>
      <c r="Q1442" t="s">
        <v>55</v>
      </c>
      <c r="R1442" t="s">
        <v>61</v>
      </c>
      <c r="S1442">
        <f t="shared" si="110"/>
        <v>2024</v>
      </c>
      <c r="T1442" t="str">
        <f t="shared" si="111"/>
        <v>Dec</v>
      </c>
      <c r="U1442">
        <f t="shared" si="112"/>
        <v>4</v>
      </c>
      <c r="V1442">
        <f t="shared" si="113"/>
        <v>7</v>
      </c>
      <c r="W1442" s="9">
        <f t="shared" si="114"/>
        <v>0.16673961980990495</v>
      </c>
    </row>
    <row r="1443" spans="1:23">
      <c r="A1443">
        <v>11442</v>
      </c>
      <c r="B1443" s="5">
        <v>45638</v>
      </c>
      <c r="C1443" s="5">
        <v>45643</v>
      </c>
      <c r="D1443" s="5">
        <v>45645</v>
      </c>
      <c r="E1443" t="s">
        <v>21</v>
      </c>
      <c r="F1443" t="s">
        <v>22</v>
      </c>
      <c r="G1443" t="s">
        <v>28</v>
      </c>
      <c r="H1443" t="s">
        <v>29</v>
      </c>
      <c r="I1443" t="s">
        <v>36</v>
      </c>
      <c r="J1443" t="s">
        <v>39</v>
      </c>
      <c r="K1443" t="s">
        <v>47</v>
      </c>
      <c r="L1443" t="s">
        <v>52</v>
      </c>
      <c r="M1443" s="7">
        <v>37832</v>
      </c>
      <c r="N1443">
        <v>0.11</v>
      </c>
      <c r="O1443" s="7">
        <v>5577</v>
      </c>
      <c r="P1443">
        <v>23</v>
      </c>
      <c r="Q1443" t="s">
        <v>56</v>
      </c>
      <c r="R1443" t="s">
        <v>59</v>
      </c>
      <c r="S1443">
        <f t="shared" si="110"/>
        <v>2024</v>
      </c>
      <c r="T1443" t="str">
        <f t="shared" si="111"/>
        <v>Dec</v>
      </c>
      <c r="U1443">
        <f t="shared" si="112"/>
        <v>5</v>
      </c>
      <c r="V1443">
        <f t="shared" si="113"/>
        <v>7</v>
      </c>
      <c r="W1443" s="9">
        <f t="shared" si="114"/>
        <v>0.14741488686825968</v>
      </c>
    </row>
    <row r="1444" spans="1:23">
      <c r="A1444">
        <v>11443</v>
      </c>
      <c r="B1444" s="5">
        <v>45639</v>
      </c>
      <c r="C1444" s="5">
        <v>45643</v>
      </c>
      <c r="D1444" s="5">
        <v>45648</v>
      </c>
      <c r="E1444" t="s">
        <v>21</v>
      </c>
      <c r="F1444" t="s">
        <v>22</v>
      </c>
      <c r="G1444" t="s">
        <v>24</v>
      </c>
      <c r="H1444" t="s">
        <v>33</v>
      </c>
      <c r="I1444" t="s">
        <v>35</v>
      </c>
      <c r="J1444" t="s">
        <v>37</v>
      </c>
      <c r="K1444" t="s">
        <v>46</v>
      </c>
      <c r="L1444" t="s">
        <v>53</v>
      </c>
      <c r="M1444" s="7">
        <v>40748</v>
      </c>
      <c r="N1444">
        <v>0.09</v>
      </c>
      <c r="O1444" s="7">
        <v>14585</v>
      </c>
      <c r="P1444">
        <v>10</v>
      </c>
      <c r="Q1444" t="s">
        <v>56</v>
      </c>
      <c r="R1444" t="s">
        <v>60</v>
      </c>
      <c r="S1444">
        <f t="shared" si="110"/>
        <v>2024</v>
      </c>
      <c r="T1444" t="str">
        <f t="shared" si="111"/>
        <v>Dec</v>
      </c>
      <c r="U1444">
        <f t="shared" si="112"/>
        <v>4</v>
      </c>
      <c r="V1444">
        <f t="shared" si="113"/>
        <v>9</v>
      </c>
      <c r="W1444" s="9">
        <f t="shared" si="114"/>
        <v>0.35793167762834988</v>
      </c>
    </row>
    <row r="1445" spans="1:23">
      <c r="A1445">
        <v>11444</v>
      </c>
      <c r="B1445" s="5">
        <v>45640</v>
      </c>
      <c r="C1445" s="5">
        <v>45645</v>
      </c>
      <c r="D1445" s="5">
        <v>45650</v>
      </c>
      <c r="E1445" t="s">
        <v>19</v>
      </c>
      <c r="F1445" t="s">
        <v>22</v>
      </c>
      <c r="G1445" t="s">
        <v>24</v>
      </c>
      <c r="H1445" t="s">
        <v>32</v>
      </c>
      <c r="I1445" t="s">
        <v>34</v>
      </c>
      <c r="J1445" t="s">
        <v>41</v>
      </c>
      <c r="K1445" t="s">
        <v>49</v>
      </c>
      <c r="L1445" t="s">
        <v>53</v>
      </c>
      <c r="M1445" s="7">
        <v>20087</v>
      </c>
      <c r="N1445">
        <v>0.19</v>
      </c>
      <c r="O1445" s="7">
        <v>-865</v>
      </c>
      <c r="P1445">
        <v>6</v>
      </c>
      <c r="Q1445" t="s">
        <v>57</v>
      </c>
      <c r="R1445" t="s">
        <v>62</v>
      </c>
      <c r="S1445">
        <f t="shared" si="110"/>
        <v>2024</v>
      </c>
      <c r="T1445" t="str">
        <f t="shared" si="111"/>
        <v>Dec</v>
      </c>
      <c r="U1445">
        <f t="shared" si="112"/>
        <v>5</v>
      </c>
      <c r="V1445">
        <f t="shared" si="113"/>
        <v>10</v>
      </c>
      <c r="W1445" s="9">
        <f t="shared" si="114"/>
        <v>-4.306267735351222E-2</v>
      </c>
    </row>
    <row r="1446" spans="1:23">
      <c r="A1446">
        <v>11445</v>
      </c>
      <c r="B1446" s="5">
        <v>45641</v>
      </c>
      <c r="C1446" s="5">
        <v>45648</v>
      </c>
      <c r="D1446" s="5">
        <v>45651</v>
      </c>
      <c r="E1446" t="s">
        <v>19</v>
      </c>
      <c r="F1446" t="s">
        <v>22</v>
      </c>
      <c r="G1446" t="s">
        <v>27</v>
      </c>
      <c r="H1446" t="s">
        <v>33</v>
      </c>
      <c r="I1446" t="s">
        <v>35</v>
      </c>
      <c r="J1446" t="s">
        <v>43</v>
      </c>
      <c r="K1446" t="s">
        <v>47</v>
      </c>
      <c r="L1446" t="s">
        <v>51</v>
      </c>
      <c r="M1446" s="7">
        <v>67110</v>
      </c>
      <c r="N1446">
        <v>0.36</v>
      </c>
      <c r="O1446" s="7">
        <v>12717</v>
      </c>
      <c r="P1446">
        <v>2</v>
      </c>
      <c r="Q1446" t="s">
        <v>54</v>
      </c>
      <c r="R1446" t="s">
        <v>60</v>
      </c>
      <c r="S1446">
        <f t="shared" si="110"/>
        <v>2024</v>
      </c>
      <c r="T1446" t="str">
        <f t="shared" si="111"/>
        <v>Dec</v>
      </c>
      <c r="U1446">
        <f t="shared" si="112"/>
        <v>7</v>
      </c>
      <c r="V1446">
        <f t="shared" si="113"/>
        <v>10</v>
      </c>
      <c r="W1446" s="9">
        <f t="shared" si="114"/>
        <v>0.18949485918641037</v>
      </c>
    </row>
    <row r="1447" spans="1:23">
      <c r="A1447">
        <v>11446</v>
      </c>
      <c r="B1447" s="5">
        <v>45642</v>
      </c>
      <c r="C1447" s="5">
        <v>45648</v>
      </c>
      <c r="D1447" s="5">
        <v>45652</v>
      </c>
      <c r="E1447" t="s">
        <v>18</v>
      </c>
      <c r="F1447" t="s">
        <v>22</v>
      </c>
      <c r="G1447" t="s">
        <v>23</v>
      </c>
      <c r="H1447" t="s">
        <v>32</v>
      </c>
      <c r="I1447" t="s">
        <v>35</v>
      </c>
      <c r="J1447" t="s">
        <v>41</v>
      </c>
      <c r="K1447" t="s">
        <v>44</v>
      </c>
      <c r="L1447" t="s">
        <v>53</v>
      </c>
      <c r="M1447" s="7">
        <v>11895</v>
      </c>
      <c r="N1447">
        <v>0.17</v>
      </c>
      <c r="O1447" s="7">
        <v>1365</v>
      </c>
      <c r="P1447">
        <v>3</v>
      </c>
      <c r="Q1447" t="s">
        <v>57</v>
      </c>
      <c r="R1447" t="s">
        <v>62</v>
      </c>
      <c r="S1447">
        <f t="shared" si="110"/>
        <v>2024</v>
      </c>
      <c r="T1447" t="str">
        <f t="shared" si="111"/>
        <v>Dec</v>
      </c>
      <c r="U1447">
        <f t="shared" si="112"/>
        <v>6</v>
      </c>
      <c r="V1447">
        <f t="shared" si="113"/>
        <v>10</v>
      </c>
      <c r="W1447" s="9">
        <f t="shared" si="114"/>
        <v>0.11475409836065574</v>
      </c>
    </row>
    <row r="1448" spans="1:23">
      <c r="A1448">
        <v>11447</v>
      </c>
      <c r="B1448" s="5">
        <v>45643</v>
      </c>
      <c r="C1448" s="5">
        <v>45645</v>
      </c>
      <c r="D1448" s="5">
        <v>45647</v>
      </c>
      <c r="E1448" t="s">
        <v>21</v>
      </c>
      <c r="F1448" t="s">
        <v>22</v>
      </c>
      <c r="G1448" t="s">
        <v>27</v>
      </c>
      <c r="H1448" t="s">
        <v>30</v>
      </c>
      <c r="I1448" t="s">
        <v>34</v>
      </c>
      <c r="J1448" t="s">
        <v>41</v>
      </c>
      <c r="K1448" t="s">
        <v>48</v>
      </c>
      <c r="L1448" t="s">
        <v>53</v>
      </c>
      <c r="M1448" s="7">
        <v>6677</v>
      </c>
      <c r="N1448">
        <v>0.11</v>
      </c>
      <c r="O1448" s="7">
        <v>5646</v>
      </c>
      <c r="P1448">
        <v>9</v>
      </c>
      <c r="Q1448" t="s">
        <v>54</v>
      </c>
      <c r="R1448" t="s">
        <v>62</v>
      </c>
      <c r="S1448">
        <f t="shared" si="110"/>
        <v>2024</v>
      </c>
      <c r="T1448" t="str">
        <f t="shared" si="111"/>
        <v>Dec</v>
      </c>
      <c r="U1448">
        <f t="shared" si="112"/>
        <v>2</v>
      </c>
      <c r="V1448">
        <f t="shared" si="113"/>
        <v>4</v>
      </c>
      <c r="W1448" s="9">
        <f t="shared" si="114"/>
        <v>0.84558933652838097</v>
      </c>
    </row>
    <row r="1449" spans="1:23">
      <c r="A1449">
        <v>11448</v>
      </c>
      <c r="B1449" s="5">
        <v>45644</v>
      </c>
      <c r="C1449" s="5">
        <v>45648</v>
      </c>
      <c r="D1449" s="5">
        <v>45652</v>
      </c>
      <c r="E1449" t="s">
        <v>18</v>
      </c>
      <c r="F1449" t="s">
        <v>22</v>
      </c>
      <c r="G1449" t="s">
        <v>28</v>
      </c>
      <c r="H1449" t="s">
        <v>29</v>
      </c>
      <c r="I1449" t="s">
        <v>36</v>
      </c>
      <c r="J1449" t="s">
        <v>37</v>
      </c>
      <c r="K1449" t="s">
        <v>44</v>
      </c>
      <c r="L1449" t="s">
        <v>53</v>
      </c>
      <c r="M1449" s="7">
        <v>12581</v>
      </c>
      <c r="N1449">
        <v>0.14000000000000001</v>
      </c>
      <c r="O1449" s="7">
        <v>19488</v>
      </c>
      <c r="P1449">
        <v>7</v>
      </c>
      <c r="Q1449" t="s">
        <v>57</v>
      </c>
      <c r="R1449" t="s">
        <v>61</v>
      </c>
      <c r="S1449">
        <f t="shared" si="110"/>
        <v>2024</v>
      </c>
      <c r="T1449" t="str">
        <f t="shared" si="111"/>
        <v>Dec</v>
      </c>
      <c r="U1449">
        <f t="shared" si="112"/>
        <v>4</v>
      </c>
      <c r="V1449">
        <f t="shared" si="113"/>
        <v>8</v>
      </c>
      <c r="W1449" s="9">
        <f t="shared" si="114"/>
        <v>1.5490024640330657</v>
      </c>
    </row>
    <row r="1450" spans="1:23">
      <c r="A1450">
        <v>11449</v>
      </c>
      <c r="B1450" s="5">
        <v>45645</v>
      </c>
      <c r="C1450" s="5">
        <v>45649</v>
      </c>
      <c r="D1450" s="5">
        <v>45653</v>
      </c>
      <c r="E1450" t="s">
        <v>19</v>
      </c>
      <c r="F1450" t="s">
        <v>22</v>
      </c>
      <c r="G1450" t="s">
        <v>27</v>
      </c>
      <c r="H1450" t="s">
        <v>31</v>
      </c>
      <c r="I1450" t="s">
        <v>35</v>
      </c>
      <c r="J1450" t="s">
        <v>40</v>
      </c>
      <c r="K1450" t="s">
        <v>48</v>
      </c>
      <c r="L1450" t="s">
        <v>53</v>
      </c>
      <c r="M1450" s="7">
        <v>32632</v>
      </c>
      <c r="N1450">
        <v>0.4</v>
      </c>
      <c r="O1450" s="7">
        <v>5624</v>
      </c>
      <c r="P1450">
        <v>20</v>
      </c>
      <c r="Q1450" t="s">
        <v>55</v>
      </c>
      <c r="R1450" t="s">
        <v>59</v>
      </c>
      <c r="S1450">
        <f t="shared" si="110"/>
        <v>2024</v>
      </c>
      <c r="T1450" t="str">
        <f t="shared" si="111"/>
        <v>Dec</v>
      </c>
      <c r="U1450">
        <f t="shared" si="112"/>
        <v>4</v>
      </c>
      <c r="V1450">
        <f t="shared" si="113"/>
        <v>8</v>
      </c>
      <c r="W1450" s="9">
        <f t="shared" si="114"/>
        <v>0.17234616327531257</v>
      </c>
    </row>
    <row r="1451" spans="1:23">
      <c r="A1451">
        <v>11450</v>
      </c>
      <c r="B1451" s="5">
        <v>45646</v>
      </c>
      <c r="C1451" s="5">
        <v>45651</v>
      </c>
      <c r="D1451" s="5">
        <v>45656</v>
      </c>
      <c r="E1451" t="s">
        <v>21</v>
      </c>
      <c r="F1451" t="s">
        <v>22</v>
      </c>
      <c r="G1451" t="s">
        <v>24</v>
      </c>
      <c r="H1451" t="s">
        <v>33</v>
      </c>
      <c r="I1451" t="s">
        <v>35</v>
      </c>
      <c r="J1451" t="s">
        <v>42</v>
      </c>
      <c r="K1451" t="s">
        <v>45</v>
      </c>
      <c r="L1451" t="s">
        <v>53</v>
      </c>
      <c r="M1451" s="7">
        <v>66919</v>
      </c>
      <c r="N1451">
        <v>0.16</v>
      </c>
      <c r="O1451" s="7">
        <v>9049</v>
      </c>
      <c r="P1451">
        <v>7</v>
      </c>
      <c r="Q1451" t="s">
        <v>54</v>
      </c>
      <c r="R1451" t="s">
        <v>62</v>
      </c>
      <c r="S1451">
        <f t="shared" si="110"/>
        <v>2024</v>
      </c>
      <c r="T1451" t="str">
        <f t="shared" si="111"/>
        <v>Dec</v>
      </c>
      <c r="U1451">
        <f t="shared" si="112"/>
        <v>5</v>
      </c>
      <c r="V1451">
        <f t="shared" si="113"/>
        <v>10</v>
      </c>
      <c r="W1451" s="9">
        <f t="shared" si="114"/>
        <v>0.13522318026270566</v>
      </c>
    </row>
    <row r="1452" spans="1:23">
      <c r="A1452">
        <v>11451</v>
      </c>
      <c r="B1452" s="5">
        <v>45647</v>
      </c>
      <c r="C1452" s="5">
        <v>45653</v>
      </c>
      <c r="D1452" s="5">
        <v>45655</v>
      </c>
      <c r="E1452" t="s">
        <v>18</v>
      </c>
      <c r="F1452" t="s">
        <v>22</v>
      </c>
      <c r="G1452" t="s">
        <v>25</v>
      </c>
      <c r="H1452" t="s">
        <v>25</v>
      </c>
      <c r="I1452" t="s">
        <v>34</v>
      </c>
      <c r="J1452" t="s">
        <v>41</v>
      </c>
      <c r="K1452" t="s">
        <v>45</v>
      </c>
      <c r="L1452" t="s">
        <v>51</v>
      </c>
      <c r="M1452" s="7">
        <v>28013</v>
      </c>
      <c r="N1452">
        <v>0.22</v>
      </c>
      <c r="O1452" s="7">
        <v>7727</v>
      </c>
      <c r="P1452">
        <v>19</v>
      </c>
      <c r="Q1452" t="s">
        <v>54</v>
      </c>
      <c r="R1452" t="s">
        <v>61</v>
      </c>
      <c r="S1452">
        <f t="shared" si="110"/>
        <v>2024</v>
      </c>
      <c r="T1452" t="str">
        <f t="shared" si="111"/>
        <v>Dec</v>
      </c>
      <c r="U1452">
        <f t="shared" si="112"/>
        <v>6</v>
      </c>
      <c r="V1452">
        <f t="shared" si="113"/>
        <v>8</v>
      </c>
      <c r="W1452" s="9">
        <f t="shared" si="114"/>
        <v>0.27583621889836862</v>
      </c>
    </row>
    <row r="1453" spans="1:23">
      <c r="A1453">
        <v>11452</v>
      </c>
      <c r="B1453" s="5">
        <v>45648</v>
      </c>
      <c r="C1453" s="5">
        <v>45651</v>
      </c>
      <c r="D1453" s="5">
        <v>45653</v>
      </c>
      <c r="E1453" t="s">
        <v>18</v>
      </c>
      <c r="F1453" t="s">
        <v>22</v>
      </c>
      <c r="G1453" t="s">
        <v>24</v>
      </c>
      <c r="H1453" t="s">
        <v>31</v>
      </c>
      <c r="I1453" t="s">
        <v>34</v>
      </c>
      <c r="J1453" t="s">
        <v>43</v>
      </c>
      <c r="K1453" t="s">
        <v>48</v>
      </c>
      <c r="L1453" t="s">
        <v>52</v>
      </c>
      <c r="M1453" s="7">
        <v>29811</v>
      </c>
      <c r="N1453">
        <v>0.35</v>
      </c>
      <c r="O1453" s="7">
        <v>6479</v>
      </c>
      <c r="P1453">
        <v>6</v>
      </c>
      <c r="Q1453" t="s">
        <v>54</v>
      </c>
      <c r="R1453" t="s">
        <v>62</v>
      </c>
      <c r="S1453">
        <f t="shared" si="110"/>
        <v>2024</v>
      </c>
      <c r="T1453" t="str">
        <f t="shared" si="111"/>
        <v>Dec</v>
      </c>
      <c r="U1453">
        <f t="shared" si="112"/>
        <v>3</v>
      </c>
      <c r="V1453">
        <f t="shared" si="113"/>
        <v>5</v>
      </c>
      <c r="W1453" s="9">
        <f t="shared" si="114"/>
        <v>0.21733588272785215</v>
      </c>
    </row>
    <row r="1454" spans="1:23">
      <c r="A1454">
        <v>11453</v>
      </c>
      <c r="B1454" s="5">
        <v>45649</v>
      </c>
      <c r="C1454" s="5">
        <v>45654</v>
      </c>
      <c r="D1454" s="5">
        <v>45656</v>
      </c>
      <c r="E1454" t="s">
        <v>18</v>
      </c>
      <c r="F1454" t="s">
        <v>22</v>
      </c>
      <c r="G1454" t="s">
        <v>24</v>
      </c>
      <c r="H1454" t="s">
        <v>30</v>
      </c>
      <c r="I1454" t="s">
        <v>36</v>
      </c>
      <c r="J1454" t="s">
        <v>42</v>
      </c>
      <c r="K1454" t="s">
        <v>50</v>
      </c>
      <c r="L1454" t="s">
        <v>52</v>
      </c>
      <c r="M1454" s="7">
        <v>1446</v>
      </c>
      <c r="N1454">
        <v>0.33</v>
      </c>
      <c r="O1454" s="7">
        <v>-295</v>
      </c>
      <c r="P1454">
        <v>6</v>
      </c>
      <c r="Q1454" t="s">
        <v>58</v>
      </c>
      <c r="R1454" t="s">
        <v>61</v>
      </c>
      <c r="S1454">
        <f t="shared" si="110"/>
        <v>2024</v>
      </c>
      <c r="T1454" t="str">
        <f t="shared" si="111"/>
        <v>Dec</v>
      </c>
      <c r="U1454">
        <f t="shared" si="112"/>
        <v>5</v>
      </c>
      <c r="V1454">
        <f t="shared" si="113"/>
        <v>7</v>
      </c>
      <c r="W1454" s="9">
        <f t="shared" si="114"/>
        <v>-0.20401106500691563</v>
      </c>
    </row>
    <row r="1455" spans="1:23">
      <c r="A1455">
        <v>11454</v>
      </c>
      <c r="B1455" s="5">
        <v>45650</v>
      </c>
      <c r="C1455" s="5">
        <v>45653</v>
      </c>
      <c r="D1455" s="5">
        <v>45654</v>
      </c>
      <c r="E1455" t="s">
        <v>21</v>
      </c>
      <c r="F1455" t="s">
        <v>22</v>
      </c>
      <c r="G1455" t="s">
        <v>26</v>
      </c>
      <c r="H1455" t="s">
        <v>30</v>
      </c>
      <c r="I1455" t="s">
        <v>34</v>
      </c>
      <c r="J1455" t="s">
        <v>37</v>
      </c>
      <c r="K1455" t="s">
        <v>46</v>
      </c>
      <c r="L1455" t="s">
        <v>52</v>
      </c>
      <c r="M1455" s="7">
        <v>35963</v>
      </c>
      <c r="N1455">
        <v>0.27</v>
      </c>
      <c r="O1455" s="7">
        <v>12996</v>
      </c>
      <c r="P1455">
        <v>6</v>
      </c>
      <c r="Q1455" t="s">
        <v>55</v>
      </c>
      <c r="R1455" t="s">
        <v>61</v>
      </c>
      <c r="S1455">
        <f t="shared" si="110"/>
        <v>2024</v>
      </c>
      <c r="T1455" t="str">
        <f t="shared" si="111"/>
        <v>Dec</v>
      </c>
      <c r="U1455">
        <f t="shared" si="112"/>
        <v>3</v>
      </c>
      <c r="V1455">
        <f t="shared" si="113"/>
        <v>4</v>
      </c>
      <c r="W1455" s="9">
        <f t="shared" si="114"/>
        <v>0.36137140950421265</v>
      </c>
    </row>
    <row r="1456" spans="1:23">
      <c r="A1456">
        <v>11455</v>
      </c>
      <c r="B1456" s="5">
        <v>45651</v>
      </c>
      <c r="C1456" s="5">
        <v>45655</v>
      </c>
      <c r="D1456" s="5">
        <v>45660</v>
      </c>
      <c r="E1456" t="s">
        <v>19</v>
      </c>
      <c r="F1456" t="s">
        <v>22</v>
      </c>
      <c r="G1456" t="s">
        <v>28</v>
      </c>
      <c r="H1456" t="s">
        <v>29</v>
      </c>
      <c r="I1456" t="s">
        <v>35</v>
      </c>
      <c r="J1456" t="s">
        <v>40</v>
      </c>
      <c r="K1456" t="s">
        <v>44</v>
      </c>
      <c r="L1456" t="s">
        <v>53</v>
      </c>
      <c r="M1456" s="7">
        <v>53067</v>
      </c>
      <c r="N1456">
        <v>0.09</v>
      </c>
      <c r="O1456" s="7">
        <v>606</v>
      </c>
      <c r="P1456">
        <v>17</v>
      </c>
      <c r="Q1456" t="s">
        <v>58</v>
      </c>
      <c r="R1456" t="s">
        <v>62</v>
      </c>
      <c r="S1456">
        <f t="shared" si="110"/>
        <v>2024</v>
      </c>
      <c r="T1456" t="str">
        <f t="shared" si="111"/>
        <v>Dec</v>
      </c>
      <c r="U1456">
        <f t="shared" si="112"/>
        <v>4</v>
      </c>
      <c r="V1456">
        <f t="shared" si="113"/>
        <v>9</v>
      </c>
      <c r="W1456" s="9">
        <f t="shared" si="114"/>
        <v>1.1419526259257165E-2</v>
      </c>
    </row>
    <row r="1457" spans="1:23">
      <c r="A1457">
        <v>11456</v>
      </c>
      <c r="B1457" s="5">
        <v>45652</v>
      </c>
      <c r="C1457" s="5">
        <v>45655</v>
      </c>
      <c r="D1457" s="5">
        <v>45656</v>
      </c>
      <c r="E1457" t="s">
        <v>18</v>
      </c>
      <c r="F1457" t="s">
        <v>22</v>
      </c>
      <c r="G1457" t="s">
        <v>25</v>
      </c>
      <c r="H1457" t="s">
        <v>30</v>
      </c>
      <c r="I1457" t="s">
        <v>34</v>
      </c>
      <c r="J1457" t="s">
        <v>37</v>
      </c>
      <c r="K1457" t="s">
        <v>44</v>
      </c>
      <c r="L1457" t="s">
        <v>51</v>
      </c>
      <c r="M1457" s="7">
        <v>64042</v>
      </c>
      <c r="N1457">
        <v>0.08</v>
      </c>
      <c r="O1457" s="7">
        <v>5073</v>
      </c>
      <c r="P1457">
        <v>15</v>
      </c>
      <c r="Q1457" t="s">
        <v>56</v>
      </c>
      <c r="R1457" t="s">
        <v>60</v>
      </c>
      <c r="S1457">
        <f t="shared" si="110"/>
        <v>2024</v>
      </c>
      <c r="T1457" t="str">
        <f t="shared" si="111"/>
        <v>Dec</v>
      </c>
      <c r="U1457">
        <f t="shared" si="112"/>
        <v>3</v>
      </c>
      <c r="V1457">
        <f t="shared" si="113"/>
        <v>4</v>
      </c>
      <c r="W1457" s="9">
        <f t="shared" si="114"/>
        <v>7.9213641048062208E-2</v>
      </c>
    </row>
    <row r="1458" spans="1:23">
      <c r="A1458">
        <v>11457</v>
      </c>
      <c r="B1458" s="5">
        <v>45653</v>
      </c>
      <c r="C1458" s="5">
        <v>45657</v>
      </c>
      <c r="D1458" s="5">
        <v>45658</v>
      </c>
      <c r="E1458" t="s">
        <v>19</v>
      </c>
      <c r="F1458" t="s">
        <v>22</v>
      </c>
      <c r="G1458" t="s">
        <v>23</v>
      </c>
      <c r="H1458" t="s">
        <v>25</v>
      </c>
      <c r="I1458" t="s">
        <v>34</v>
      </c>
      <c r="J1458" t="s">
        <v>39</v>
      </c>
      <c r="K1458" t="s">
        <v>45</v>
      </c>
      <c r="L1458" t="s">
        <v>51</v>
      </c>
      <c r="M1458" s="7">
        <v>25860</v>
      </c>
      <c r="N1458">
        <v>0.17</v>
      </c>
      <c r="O1458" s="7">
        <v>2739</v>
      </c>
      <c r="P1458">
        <v>9</v>
      </c>
      <c r="Q1458" t="s">
        <v>55</v>
      </c>
      <c r="R1458" t="s">
        <v>62</v>
      </c>
      <c r="S1458">
        <f t="shared" si="110"/>
        <v>2024</v>
      </c>
      <c r="T1458" t="str">
        <f t="shared" si="111"/>
        <v>Dec</v>
      </c>
      <c r="U1458">
        <f t="shared" si="112"/>
        <v>4</v>
      </c>
      <c r="V1458">
        <f t="shared" si="113"/>
        <v>5</v>
      </c>
      <c r="W1458" s="9">
        <f t="shared" si="114"/>
        <v>0.10591647331786543</v>
      </c>
    </row>
    <row r="1459" spans="1:23">
      <c r="A1459">
        <v>11458</v>
      </c>
      <c r="B1459" s="5">
        <v>45654</v>
      </c>
      <c r="C1459" s="5">
        <v>45657</v>
      </c>
      <c r="D1459" s="5">
        <v>45661</v>
      </c>
      <c r="E1459" t="s">
        <v>20</v>
      </c>
      <c r="F1459" t="s">
        <v>22</v>
      </c>
      <c r="G1459" t="s">
        <v>25</v>
      </c>
      <c r="H1459" t="s">
        <v>32</v>
      </c>
      <c r="I1459" t="s">
        <v>34</v>
      </c>
      <c r="J1459" t="s">
        <v>41</v>
      </c>
      <c r="K1459" t="s">
        <v>50</v>
      </c>
      <c r="L1459" t="s">
        <v>53</v>
      </c>
      <c r="M1459" s="7">
        <v>42354</v>
      </c>
      <c r="N1459">
        <v>0.1</v>
      </c>
      <c r="O1459" s="7">
        <v>15917</v>
      </c>
      <c r="P1459">
        <v>7</v>
      </c>
      <c r="Q1459" t="s">
        <v>57</v>
      </c>
      <c r="R1459" t="s">
        <v>62</v>
      </c>
      <c r="S1459">
        <f t="shared" si="110"/>
        <v>2024</v>
      </c>
      <c r="T1459" t="str">
        <f t="shared" si="111"/>
        <v>Dec</v>
      </c>
      <c r="U1459">
        <f t="shared" si="112"/>
        <v>3</v>
      </c>
      <c r="V1459">
        <f t="shared" si="113"/>
        <v>7</v>
      </c>
      <c r="W1459" s="9">
        <f t="shared" si="114"/>
        <v>0.37580866033904708</v>
      </c>
    </row>
    <row r="1460" spans="1:23">
      <c r="A1460">
        <v>11459</v>
      </c>
      <c r="B1460" s="5">
        <v>45655</v>
      </c>
      <c r="C1460" s="5">
        <v>45657</v>
      </c>
      <c r="D1460" s="5">
        <v>45662</v>
      </c>
      <c r="E1460" t="s">
        <v>21</v>
      </c>
      <c r="F1460" t="s">
        <v>22</v>
      </c>
      <c r="G1460" t="s">
        <v>28</v>
      </c>
      <c r="H1460" t="s">
        <v>30</v>
      </c>
      <c r="I1460" t="s">
        <v>35</v>
      </c>
      <c r="J1460" t="s">
        <v>37</v>
      </c>
      <c r="K1460" t="s">
        <v>45</v>
      </c>
      <c r="L1460" t="s">
        <v>53</v>
      </c>
      <c r="M1460" s="7">
        <v>23293</v>
      </c>
      <c r="N1460">
        <v>0.31</v>
      </c>
      <c r="O1460" s="7">
        <v>3851</v>
      </c>
      <c r="P1460">
        <v>3</v>
      </c>
      <c r="Q1460" t="s">
        <v>57</v>
      </c>
      <c r="R1460" t="s">
        <v>62</v>
      </c>
      <c r="S1460">
        <f t="shared" si="110"/>
        <v>2024</v>
      </c>
      <c r="T1460" t="str">
        <f t="shared" si="111"/>
        <v>Dec</v>
      </c>
      <c r="U1460">
        <f t="shared" si="112"/>
        <v>2</v>
      </c>
      <c r="V1460">
        <f t="shared" si="113"/>
        <v>7</v>
      </c>
      <c r="W1460" s="9">
        <f t="shared" si="114"/>
        <v>0.16532863950543081</v>
      </c>
    </row>
    <row r="1461" spans="1:23">
      <c r="A1461">
        <v>11460</v>
      </c>
      <c r="B1461" s="5">
        <v>45656</v>
      </c>
      <c r="C1461" s="5">
        <v>45658</v>
      </c>
      <c r="D1461" s="5">
        <v>45660</v>
      </c>
      <c r="E1461" t="s">
        <v>21</v>
      </c>
      <c r="F1461" t="s">
        <v>22</v>
      </c>
      <c r="G1461" t="s">
        <v>24</v>
      </c>
      <c r="H1461" t="s">
        <v>29</v>
      </c>
      <c r="I1461" t="s">
        <v>34</v>
      </c>
      <c r="J1461" t="s">
        <v>39</v>
      </c>
      <c r="K1461" t="s">
        <v>45</v>
      </c>
      <c r="L1461" t="s">
        <v>51</v>
      </c>
      <c r="M1461" s="7">
        <v>60771</v>
      </c>
      <c r="N1461">
        <v>0.05</v>
      </c>
      <c r="O1461" s="7">
        <v>8959</v>
      </c>
      <c r="P1461">
        <v>8</v>
      </c>
      <c r="Q1461" t="s">
        <v>55</v>
      </c>
      <c r="R1461" t="s">
        <v>59</v>
      </c>
      <c r="S1461">
        <f t="shared" si="110"/>
        <v>2024</v>
      </c>
      <c r="T1461" t="str">
        <f t="shared" si="111"/>
        <v>Dec</v>
      </c>
      <c r="U1461">
        <f t="shared" si="112"/>
        <v>2</v>
      </c>
      <c r="V1461">
        <f t="shared" si="113"/>
        <v>4</v>
      </c>
      <c r="W1461" s="9">
        <f t="shared" si="114"/>
        <v>0.14742229023711967</v>
      </c>
    </row>
    <row r="1462" spans="1:23">
      <c r="A1462">
        <v>11461</v>
      </c>
      <c r="B1462" s="5">
        <v>45657</v>
      </c>
      <c r="C1462" s="5">
        <v>45659</v>
      </c>
      <c r="D1462" s="5">
        <v>45664</v>
      </c>
      <c r="E1462" t="s">
        <v>19</v>
      </c>
      <c r="F1462" t="s">
        <v>22</v>
      </c>
      <c r="G1462" t="s">
        <v>25</v>
      </c>
      <c r="H1462" t="s">
        <v>25</v>
      </c>
      <c r="I1462" t="s">
        <v>34</v>
      </c>
      <c r="J1462" t="s">
        <v>41</v>
      </c>
      <c r="K1462" t="s">
        <v>45</v>
      </c>
      <c r="L1462" t="s">
        <v>53</v>
      </c>
      <c r="M1462" s="7">
        <v>72683</v>
      </c>
      <c r="N1462">
        <v>0.33</v>
      </c>
      <c r="O1462" s="7">
        <v>6933</v>
      </c>
      <c r="P1462">
        <v>9</v>
      </c>
      <c r="Q1462" t="s">
        <v>58</v>
      </c>
      <c r="R1462" t="s">
        <v>62</v>
      </c>
      <c r="S1462">
        <f t="shared" si="110"/>
        <v>2024</v>
      </c>
      <c r="T1462" t="str">
        <f t="shared" si="111"/>
        <v>Dec</v>
      </c>
      <c r="U1462">
        <f t="shared" si="112"/>
        <v>2</v>
      </c>
      <c r="V1462">
        <f t="shared" si="113"/>
        <v>7</v>
      </c>
      <c r="W1462" s="9">
        <f t="shared" si="114"/>
        <v>9.5386816724681148E-2</v>
      </c>
    </row>
    <row r="1463" spans="1:23">
      <c r="A1463">
        <v>11462</v>
      </c>
      <c r="B1463" s="5">
        <v>45658</v>
      </c>
      <c r="C1463" s="5">
        <v>45661</v>
      </c>
      <c r="D1463" s="5">
        <v>45666</v>
      </c>
      <c r="E1463" t="s">
        <v>20</v>
      </c>
      <c r="F1463" t="s">
        <v>22</v>
      </c>
      <c r="G1463" t="s">
        <v>28</v>
      </c>
      <c r="H1463" t="s">
        <v>31</v>
      </c>
      <c r="I1463" t="s">
        <v>36</v>
      </c>
      <c r="J1463" t="s">
        <v>42</v>
      </c>
      <c r="K1463" t="s">
        <v>49</v>
      </c>
      <c r="L1463" t="s">
        <v>52</v>
      </c>
      <c r="M1463" s="7">
        <v>27329</v>
      </c>
      <c r="N1463">
        <v>0.22</v>
      </c>
      <c r="O1463" s="7">
        <v>13700</v>
      </c>
      <c r="P1463">
        <v>14</v>
      </c>
      <c r="Q1463" t="s">
        <v>58</v>
      </c>
      <c r="R1463" t="s">
        <v>59</v>
      </c>
      <c r="S1463">
        <f t="shared" si="110"/>
        <v>2025</v>
      </c>
      <c r="T1463" t="str">
        <f t="shared" si="111"/>
        <v>Jan</v>
      </c>
      <c r="U1463">
        <f t="shared" si="112"/>
        <v>3</v>
      </c>
      <c r="V1463">
        <f t="shared" si="113"/>
        <v>8</v>
      </c>
      <c r="W1463" s="9">
        <f t="shared" si="114"/>
        <v>0.50129898642467707</v>
      </c>
    </row>
    <row r="1464" spans="1:23">
      <c r="A1464">
        <v>11463</v>
      </c>
      <c r="B1464" s="5">
        <v>45659</v>
      </c>
      <c r="C1464" s="5">
        <v>45665</v>
      </c>
      <c r="D1464" s="5">
        <v>45670</v>
      </c>
      <c r="E1464" t="s">
        <v>19</v>
      </c>
      <c r="F1464" t="s">
        <v>22</v>
      </c>
      <c r="G1464" t="s">
        <v>27</v>
      </c>
      <c r="H1464" t="s">
        <v>32</v>
      </c>
      <c r="I1464" t="s">
        <v>36</v>
      </c>
      <c r="J1464" t="s">
        <v>38</v>
      </c>
      <c r="K1464" t="s">
        <v>49</v>
      </c>
      <c r="L1464" t="s">
        <v>51</v>
      </c>
      <c r="M1464" s="7">
        <v>61855</v>
      </c>
      <c r="N1464">
        <v>0.15</v>
      </c>
      <c r="O1464" s="7">
        <v>1010</v>
      </c>
      <c r="P1464">
        <v>21</v>
      </c>
      <c r="Q1464" t="s">
        <v>57</v>
      </c>
      <c r="R1464" t="s">
        <v>61</v>
      </c>
      <c r="S1464">
        <f t="shared" si="110"/>
        <v>2025</v>
      </c>
      <c r="T1464" t="str">
        <f t="shared" si="111"/>
        <v>Jan</v>
      </c>
      <c r="U1464">
        <f t="shared" si="112"/>
        <v>6</v>
      </c>
      <c r="V1464">
        <f t="shared" si="113"/>
        <v>11</v>
      </c>
      <c r="W1464" s="9">
        <f t="shared" si="114"/>
        <v>1.6328510225527445E-2</v>
      </c>
    </row>
    <row r="1465" spans="1:23">
      <c r="A1465">
        <v>11464</v>
      </c>
      <c r="B1465" s="5">
        <v>45660</v>
      </c>
      <c r="C1465" s="5">
        <v>45665</v>
      </c>
      <c r="D1465" s="5">
        <v>45666</v>
      </c>
      <c r="E1465" t="s">
        <v>21</v>
      </c>
      <c r="F1465" t="s">
        <v>22</v>
      </c>
      <c r="G1465" t="s">
        <v>23</v>
      </c>
      <c r="H1465" t="s">
        <v>30</v>
      </c>
      <c r="I1465" t="s">
        <v>36</v>
      </c>
      <c r="J1465" t="s">
        <v>39</v>
      </c>
      <c r="K1465" t="s">
        <v>46</v>
      </c>
      <c r="L1465" t="s">
        <v>53</v>
      </c>
      <c r="M1465" s="7">
        <v>15033</v>
      </c>
      <c r="N1465">
        <v>0.08</v>
      </c>
      <c r="O1465" s="7">
        <v>401</v>
      </c>
      <c r="P1465">
        <v>7</v>
      </c>
      <c r="Q1465" t="s">
        <v>56</v>
      </c>
      <c r="R1465" t="s">
        <v>61</v>
      </c>
      <c r="S1465">
        <f t="shared" si="110"/>
        <v>2025</v>
      </c>
      <c r="T1465" t="str">
        <f t="shared" si="111"/>
        <v>Jan</v>
      </c>
      <c r="U1465">
        <f t="shared" si="112"/>
        <v>5</v>
      </c>
      <c r="V1465">
        <f t="shared" si="113"/>
        <v>6</v>
      </c>
      <c r="W1465" s="9">
        <f t="shared" si="114"/>
        <v>2.6674649105301668E-2</v>
      </c>
    </row>
    <row r="1466" spans="1:23">
      <c r="A1466">
        <v>11465</v>
      </c>
      <c r="B1466" s="5">
        <v>45661</v>
      </c>
      <c r="C1466" s="5">
        <v>45667</v>
      </c>
      <c r="D1466" s="5">
        <v>45672</v>
      </c>
      <c r="E1466" t="s">
        <v>18</v>
      </c>
      <c r="F1466" t="s">
        <v>22</v>
      </c>
      <c r="G1466" t="s">
        <v>26</v>
      </c>
      <c r="H1466" t="s">
        <v>33</v>
      </c>
      <c r="I1466" t="s">
        <v>35</v>
      </c>
      <c r="J1466" t="s">
        <v>40</v>
      </c>
      <c r="K1466" t="s">
        <v>46</v>
      </c>
      <c r="L1466" t="s">
        <v>51</v>
      </c>
      <c r="M1466" s="7">
        <v>35277</v>
      </c>
      <c r="N1466">
        <v>0.01</v>
      </c>
      <c r="O1466" s="7">
        <v>4920</v>
      </c>
      <c r="P1466">
        <v>22</v>
      </c>
      <c r="Q1466" t="s">
        <v>58</v>
      </c>
      <c r="R1466" t="s">
        <v>60</v>
      </c>
      <c r="S1466">
        <f t="shared" si="110"/>
        <v>2025</v>
      </c>
      <c r="T1466" t="str">
        <f t="shared" si="111"/>
        <v>Jan</v>
      </c>
      <c r="U1466">
        <f t="shared" si="112"/>
        <v>6</v>
      </c>
      <c r="V1466">
        <f t="shared" si="113"/>
        <v>11</v>
      </c>
      <c r="W1466" s="9">
        <f t="shared" si="114"/>
        <v>0.13946764180627605</v>
      </c>
    </row>
    <row r="1467" spans="1:23">
      <c r="A1467">
        <v>11466</v>
      </c>
      <c r="B1467" s="5">
        <v>45662</v>
      </c>
      <c r="C1467" s="5">
        <v>45666</v>
      </c>
      <c r="D1467" s="5">
        <v>45668</v>
      </c>
      <c r="E1467" t="s">
        <v>18</v>
      </c>
      <c r="F1467" t="s">
        <v>22</v>
      </c>
      <c r="G1467" t="s">
        <v>27</v>
      </c>
      <c r="H1467" t="s">
        <v>30</v>
      </c>
      <c r="I1467" t="s">
        <v>36</v>
      </c>
      <c r="J1467" t="s">
        <v>37</v>
      </c>
      <c r="K1467" t="s">
        <v>50</v>
      </c>
      <c r="L1467" t="s">
        <v>51</v>
      </c>
      <c r="M1467" s="7">
        <v>6791</v>
      </c>
      <c r="N1467">
        <v>0.18</v>
      </c>
      <c r="O1467" s="7">
        <v>7280</v>
      </c>
      <c r="P1467">
        <v>6</v>
      </c>
      <c r="Q1467" t="s">
        <v>58</v>
      </c>
      <c r="R1467" t="s">
        <v>59</v>
      </c>
      <c r="S1467">
        <f t="shared" si="110"/>
        <v>2025</v>
      </c>
      <c r="T1467" t="str">
        <f t="shared" si="111"/>
        <v>Jan</v>
      </c>
      <c r="U1467">
        <f t="shared" si="112"/>
        <v>4</v>
      </c>
      <c r="V1467">
        <f t="shared" si="113"/>
        <v>6</v>
      </c>
      <c r="W1467" s="9">
        <f t="shared" si="114"/>
        <v>1.0720070681784715</v>
      </c>
    </row>
    <row r="1468" spans="1:23">
      <c r="A1468">
        <v>11467</v>
      </c>
      <c r="B1468" s="5">
        <v>45663</v>
      </c>
      <c r="C1468" s="5">
        <v>45670</v>
      </c>
      <c r="D1468" s="5">
        <v>45675</v>
      </c>
      <c r="E1468" t="s">
        <v>20</v>
      </c>
      <c r="F1468" t="s">
        <v>22</v>
      </c>
      <c r="G1468" t="s">
        <v>25</v>
      </c>
      <c r="H1468" t="s">
        <v>31</v>
      </c>
      <c r="I1468" t="s">
        <v>35</v>
      </c>
      <c r="J1468" t="s">
        <v>38</v>
      </c>
      <c r="K1468" t="s">
        <v>48</v>
      </c>
      <c r="L1468" t="s">
        <v>53</v>
      </c>
      <c r="M1468" s="7">
        <v>38308</v>
      </c>
      <c r="N1468">
        <v>0.19</v>
      </c>
      <c r="O1468" s="7">
        <v>16331</v>
      </c>
      <c r="P1468">
        <v>13</v>
      </c>
      <c r="Q1468" t="s">
        <v>54</v>
      </c>
      <c r="R1468" t="s">
        <v>62</v>
      </c>
      <c r="S1468">
        <f t="shared" si="110"/>
        <v>2025</v>
      </c>
      <c r="T1468" t="str">
        <f t="shared" si="111"/>
        <v>Jan</v>
      </c>
      <c r="U1468">
        <f t="shared" si="112"/>
        <v>7</v>
      </c>
      <c r="V1468">
        <f t="shared" si="113"/>
        <v>12</v>
      </c>
      <c r="W1468" s="9">
        <f t="shared" si="114"/>
        <v>0.42630782082071628</v>
      </c>
    </row>
    <row r="1469" spans="1:23">
      <c r="A1469">
        <v>11468</v>
      </c>
      <c r="B1469" s="5">
        <v>45664</v>
      </c>
      <c r="C1469" s="5">
        <v>45669</v>
      </c>
      <c r="D1469" s="5">
        <v>45671</v>
      </c>
      <c r="E1469" t="s">
        <v>21</v>
      </c>
      <c r="F1469" t="s">
        <v>22</v>
      </c>
      <c r="G1469" t="s">
        <v>25</v>
      </c>
      <c r="H1469" t="s">
        <v>30</v>
      </c>
      <c r="I1469" t="s">
        <v>35</v>
      </c>
      <c r="J1469" t="s">
        <v>40</v>
      </c>
      <c r="K1469" t="s">
        <v>47</v>
      </c>
      <c r="L1469" t="s">
        <v>53</v>
      </c>
      <c r="M1469" s="7">
        <v>68381</v>
      </c>
      <c r="N1469">
        <v>0.01</v>
      </c>
      <c r="O1469" s="7">
        <v>16641</v>
      </c>
      <c r="P1469">
        <v>14</v>
      </c>
      <c r="Q1469" t="s">
        <v>56</v>
      </c>
      <c r="R1469" t="s">
        <v>62</v>
      </c>
      <c r="S1469">
        <f t="shared" si="110"/>
        <v>2025</v>
      </c>
      <c r="T1469" t="str">
        <f t="shared" si="111"/>
        <v>Jan</v>
      </c>
      <c r="U1469">
        <f t="shared" si="112"/>
        <v>5</v>
      </c>
      <c r="V1469">
        <f t="shared" si="113"/>
        <v>7</v>
      </c>
      <c r="W1469" s="9">
        <f t="shared" si="114"/>
        <v>0.24335707287111918</v>
      </c>
    </row>
    <row r="1470" spans="1:23">
      <c r="A1470">
        <v>11469</v>
      </c>
      <c r="B1470" s="5">
        <v>45665</v>
      </c>
      <c r="C1470" s="5">
        <v>45669</v>
      </c>
      <c r="D1470" s="5">
        <v>45674</v>
      </c>
      <c r="E1470" t="s">
        <v>19</v>
      </c>
      <c r="F1470" t="s">
        <v>22</v>
      </c>
      <c r="G1470" t="s">
        <v>28</v>
      </c>
      <c r="H1470" t="s">
        <v>29</v>
      </c>
      <c r="I1470" t="s">
        <v>36</v>
      </c>
      <c r="J1470" t="s">
        <v>43</v>
      </c>
      <c r="K1470" t="s">
        <v>49</v>
      </c>
      <c r="L1470" t="s">
        <v>53</v>
      </c>
      <c r="M1470" s="7">
        <v>54039</v>
      </c>
      <c r="N1470">
        <v>0.33</v>
      </c>
      <c r="O1470" s="7">
        <v>9405</v>
      </c>
      <c r="P1470">
        <v>2</v>
      </c>
      <c r="Q1470" t="s">
        <v>55</v>
      </c>
      <c r="R1470" t="s">
        <v>61</v>
      </c>
      <c r="S1470">
        <f t="shared" si="110"/>
        <v>2025</v>
      </c>
      <c r="T1470" t="str">
        <f t="shared" si="111"/>
        <v>Jan</v>
      </c>
      <c r="U1470">
        <f t="shared" si="112"/>
        <v>4</v>
      </c>
      <c r="V1470">
        <f t="shared" si="113"/>
        <v>9</v>
      </c>
      <c r="W1470" s="9">
        <f t="shared" si="114"/>
        <v>0.17404097041025926</v>
      </c>
    </row>
    <row r="1471" spans="1:23">
      <c r="A1471">
        <v>11470</v>
      </c>
      <c r="B1471" s="5">
        <v>45666</v>
      </c>
      <c r="C1471" s="5">
        <v>45670</v>
      </c>
      <c r="D1471" s="5">
        <v>45674</v>
      </c>
      <c r="E1471" t="s">
        <v>19</v>
      </c>
      <c r="F1471" t="s">
        <v>22</v>
      </c>
      <c r="G1471" t="s">
        <v>24</v>
      </c>
      <c r="H1471" t="s">
        <v>31</v>
      </c>
      <c r="I1471" t="s">
        <v>36</v>
      </c>
      <c r="J1471" t="s">
        <v>37</v>
      </c>
      <c r="K1471" t="s">
        <v>48</v>
      </c>
      <c r="L1471" t="s">
        <v>51</v>
      </c>
      <c r="M1471" s="7">
        <v>26896</v>
      </c>
      <c r="N1471">
        <v>0.12</v>
      </c>
      <c r="O1471" s="7">
        <v>17472</v>
      </c>
      <c r="P1471">
        <v>4</v>
      </c>
      <c r="Q1471" t="s">
        <v>54</v>
      </c>
      <c r="R1471" t="s">
        <v>61</v>
      </c>
      <c r="S1471">
        <f t="shared" si="110"/>
        <v>2025</v>
      </c>
      <c r="T1471" t="str">
        <f t="shared" si="111"/>
        <v>Jan</v>
      </c>
      <c r="U1471">
        <f t="shared" si="112"/>
        <v>4</v>
      </c>
      <c r="V1471">
        <f t="shared" si="113"/>
        <v>8</v>
      </c>
      <c r="W1471" s="9">
        <f t="shared" si="114"/>
        <v>0.6496133254015467</v>
      </c>
    </row>
    <row r="1472" spans="1:23">
      <c r="A1472">
        <v>11471</v>
      </c>
      <c r="B1472" s="5">
        <v>45667</v>
      </c>
      <c r="C1472" s="5">
        <v>45672</v>
      </c>
      <c r="D1472" s="5">
        <v>45677</v>
      </c>
      <c r="E1472" t="s">
        <v>18</v>
      </c>
      <c r="F1472" t="s">
        <v>22</v>
      </c>
      <c r="G1472" t="s">
        <v>27</v>
      </c>
      <c r="H1472" t="s">
        <v>33</v>
      </c>
      <c r="I1472" t="s">
        <v>36</v>
      </c>
      <c r="J1472" t="s">
        <v>39</v>
      </c>
      <c r="K1472" t="s">
        <v>50</v>
      </c>
      <c r="L1472" t="s">
        <v>51</v>
      </c>
      <c r="M1472" s="7">
        <v>66832</v>
      </c>
      <c r="N1472">
        <v>0.36</v>
      </c>
      <c r="O1472" s="7">
        <v>17136</v>
      </c>
      <c r="P1472">
        <v>22</v>
      </c>
      <c r="Q1472" t="s">
        <v>58</v>
      </c>
      <c r="R1472" t="s">
        <v>61</v>
      </c>
      <c r="S1472">
        <f t="shared" si="110"/>
        <v>2025</v>
      </c>
      <c r="T1472" t="str">
        <f t="shared" si="111"/>
        <v>Jan</v>
      </c>
      <c r="U1472">
        <f t="shared" si="112"/>
        <v>5</v>
      </c>
      <c r="V1472">
        <f t="shared" si="113"/>
        <v>10</v>
      </c>
      <c r="W1472" s="9">
        <f t="shared" si="114"/>
        <v>0.25640411778788602</v>
      </c>
    </row>
    <row r="1473" spans="1:23">
      <c r="A1473">
        <v>11472</v>
      </c>
      <c r="B1473" s="5">
        <v>45668</v>
      </c>
      <c r="C1473" s="5">
        <v>45674</v>
      </c>
      <c r="D1473" s="5">
        <v>45679</v>
      </c>
      <c r="E1473" t="s">
        <v>21</v>
      </c>
      <c r="F1473" t="s">
        <v>22</v>
      </c>
      <c r="G1473" t="s">
        <v>25</v>
      </c>
      <c r="H1473" t="s">
        <v>32</v>
      </c>
      <c r="I1473" t="s">
        <v>36</v>
      </c>
      <c r="J1473" t="s">
        <v>43</v>
      </c>
      <c r="K1473" t="s">
        <v>50</v>
      </c>
      <c r="L1473" t="s">
        <v>52</v>
      </c>
      <c r="M1473" s="7">
        <v>24317</v>
      </c>
      <c r="N1473">
        <v>0.01</v>
      </c>
      <c r="O1473" s="7">
        <v>9873</v>
      </c>
      <c r="P1473">
        <v>5</v>
      </c>
      <c r="Q1473" t="s">
        <v>57</v>
      </c>
      <c r="R1473" t="s">
        <v>62</v>
      </c>
      <c r="S1473">
        <f t="shared" si="110"/>
        <v>2025</v>
      </c>
      <c r="T1473" t="str">
        <f t="shared" si="111"/>
        <v>Jan</v>
      </c>
      <c r="U1473">
        <f t="shared" si="112"/>
        <v>6</v>
      </c>
      <c r="V1473">
        <f t="shared" si="113"/>
        <v>11</v>
      </c>
      <c r="W1473" s="9">
        <f t="shared" si="114"/>
        <v>0.40601225480116793</v>
      </c>
    </row>
    <row r="1474" spans="1:23">
      <c r="A1474">
        <v>11473</v>
      </c>
      <c r="B1474" s="5">
        <v>45669</v>
      </c>
      <c r="C1474" s="5">
        <v>45675</v>
      </c>
      <c r="D1474" s="5">
        <v>45679</v>
      </c>
      <c r="E1474" t="s">
        <v>18</v>
      </c>
      <c r="F1474" t="s">
        <v>22</v>
      </c>
      <c r="G1474" t="s">
        <v>28</v>
      </c>
      <c r="H1474" t="s">
        <v>29</v>
      </c>
      <c r="I1474" t="s">
        <v>35</v>
      </c>
      <c r="J1474" t="s">
        <v>38</v>
      </c>
      <c r="K1474" t="s">
        <v>46</v>
      </c>
      <c r="L1474" t="s">
        <v>51</v>
      </c>
      <c r="M1474" s="7">
        <v>18668</v>
      </c>
      <c r="N1474">
        <v>0.01</v>
      </c>
      <c r="O1474" s="7">
        <v>14609</v>
      </c>
      <c r="P1474">
        <v>17</v>
      </c>
      <c r="Q1474" t="s">
        <v>54</v>
      </c>
      <c r="R1474" t="s">
        <v>60</v>
      </c>
      <c r="S1474">
        <f t="shared" si="110"/>
        <v>2025</v>
      </c>
      <c r="T1474" t="str">
        <f t="shared" si="111"/>
        <v>Jan</v>
      </c>
      <c r="U1474">
        <f t="shared" si="112"/>
        <v>6</v>
      </c>
      <c r="V1474">
        <f t="shared" si="113"/>
        <v>10</v>
      </c>
      <c r="W1474" s="9">
        <f t="shared" si="114"/>
        <v>0.78256910220698517</v>
      </c>
    </row>
    <row r="1475" spans="1:23">
      <c r="A1475">
        <v>11474</v>
      </c>
      <c r="B1475" s="5">
        <v>45670</v>
      </c>
      <c r="C1475" s="5">
        <v>45675</v>
      </c>
      <c r="D1475" s="5">
        <v>45678</v>
      </c>
      <c r="E1475" t="s">
        <v>18</v>
      </c>
      <c r="F1475" t="s">
        <v>22</v>
      </c>
      <c r="G1475" t="s">
        <v>23</v>
      </c>
      <c r="H1475" t="s">
        <v>32</v>
      </c>
      <c r="I1475" t="s">
        <v>35</v>
      </c>
      <c r="J1475" t="s">
        <v>40</v>
      </c>
      <c r="K1475" t="s">
        <v>48</v>
      </c>
      <c r="L1475" t="s">
        <v>53</v>
      </c>
      <c r="M1475" s="7">
        <v>26691</v>
      </c>
      <c r="N1475">
        <v>0.24</v>
      </c>
      <c r="O1475" s="7">
        <v>4247</v>
      </c>
      <c r="P1475">
        <v>2</v>
      </c>
      <c r="Q1475" t="s">
        <v>55</v>
      </c>
      <c r="R1475" t="s">
        <v>60</v>
      </c>
      <c r="S1475">
        <f t="shared" ref="S1475:S1538" si="115">YEAR(B1475)</f>
        <v>2025</v>
      </c>
      <c r="T1475" t="str">
        <f t="shared" ref="T1475:T1538" si="116">TEXT(B1475,"mmm")</f>
        <v>Jan</v>
      </c>
      <c r="U1475">
        <f t="shared" ref="U1475:U1538" si="117">C1475-B1475</f>
        <v>5</v>
      </c>
      <c r="V1475">
        <f t="shared" ref="V1475:V1538" si="118">D1475-B1475</f>
        <v>8</v>
      </c>
      <c r="W1475" s="9">
        <f t="shared" ref="W1475:W1538" si="119">IFERROR(O1475/M1475,0)</f>
        <v>0.15911730545876887</v>
      </c>
    </row>
    <row r="1476" spans="1:23">
      <c r="A1476">
        <v>11475</v>
      </c>
      <c r="B1476" s="5">
        <v>45671</v>
      </c>
      <c r="C1476" s="5">
        <v>45674</v>
      </c>
      <c r="D1476" s="5">
        <v>45676</v>
      </c>
      <c r="E1476" t="s">
        <v>19</v>
      </c>
      <c r="F1476" t="s">
        <v>22</v>
      </c>
      <c r="G1476" t="s">
        <v>24</v>
      </c>
      <c r="H1476" t="s">
        <v>29</v>
      </c>
      <c r="I1476" t="s">
        <v>35</v>
      </c>
      <c r="J1476" t="s">
        <v>42</v>
      </c>
      <c r="K1476" t="s">
        <v>47</v>
      </c>
      <c r="L1476" t="s">
        <v>52</v>
      </c>
      <c r="M1476" s="7">
        <v>64516</v>
      </c>
      <c r="N1476">
        <v>0.28000000000000003</v>
      </c>
      <c r="O1476" s="7">
        <v>8417</v>
      </c>
      <c r="P1476">
        <v>15</v>
      </c>
      <c r="Q1476" t="s">
        <v>55</v>
      </c>
      <c r="R1476" t="s">
        <v>62</v>
      </c>
      <c r="S1476">
        <f t="shared" si="115"/>
        <v>2025</v>
      </c>
      <c r="T1476" t="str">
        <f t="shared" si="116"/>
        <v>Jan</v>
      </c>
      <c r="U1476">
        <f t="shared" si="117"/>
        <v>3</v>
      </c>
      <c r="V1476">
        <f t="shared" si="118"/>
        <v>5</v>
      </c>
      <c r="W1476" s="9">
        <f t="shared" si="119"/>
        <v>0.13046376092752185</v>
      </c>
    </row>
    <row r="1477" spans="1:23">
      <c r="A1477">
        <v>11476</v>
      </c>
      <c r="B1477" s="5">
        <v>45672</v>
      </c>
      <c r="C1477" s="5">
        <v>45677</v>
      </c>
      <c r="D1477" s="5">
        <v>45681</v>
      </c>
      <c r="E1477" t="s">
        <v>18</v>
      </c>
      <c r="F1477" t="s">
        <v>22</v>
      </c>
      <c r="G1477" t="s">
        <v>26</v>
      </c>
      <c r="H1477" t="s">
        <v>32</v>
      </c>
      <c r="I1477" t="s">
        <v>34</v>
      </c>
      <c r="J1477" t="s">
        <v>38</v>
      </c>
      <c r="K1477" t="s">
        <v>45</v>
      </c>
      <c r="L1477" t="s">
        <v>52</v>
      </c>
      <c r="M1477" s="7">
        <v>3373</v>
      </c>
      <c r="N1477">
        <v>0.32</v>
      </c>
      <c r="O1477" s="7">
        <v>4896</v>
      </c>
      <c r="P1477">
        <v>14</v>
      </c>
      <c r="Q1477" t="s">
        <v>58</v>
      </c>
      <c r="R1477" t="s">
        <v>59</v>
      </c>
      <c r="S1477">
        <f t="shared" si="115"/>
        <v>2025</v>
      </c>
      <c r="T1477" t="str">
        <f t="shared" si="116"/>
        <v>Jan</v>
      </c>
      <c r="U1477">
        <f t="shared" si="117"/>
        <v>5</v>
      </c>
      <c r="V1477">
        <f t="shared" si="118"/>
        <v>9</v>
      </c>
      <c r="W1477" s="9">
        <f t="shared" si="119"/>
        <v>1.4515268307144975</v>
      </c>
    </row>
    <row r="1478" spans="1:23">
      <c r="A1478">
        <v>11477</v>
      </c>
      <c r="B1478" s="5">
        <v>45673</v>
      </c>
      <c r="C1478" s="5">
        <v>45676</v>
      </c>
      <c r="D1478" s="5">
        <v>45680</v>
      </c>
      <c r="E1478" t="s">
        <v>20</v>
      </c>
      <c r="F1478" t="s">
        <v>22</v>
      </c>
      <c r="G1478" t="s">
        <v>25</v>
      </c>
      <c r="H1478" t="s">
        <v>31</v>
      </c>
      <c r="I1478" t="s">
        <v>34</v>
      </c>
      <c r="J1478" t="s">
        <v>40</v>
      </c>
      <c r="K1478" t="s">
        <v>49</v>
      </c>
      <c r="L1478" t="s">
        <v>51</v>
      </c>
      <c r="M1478" s="7">
        <v>1743</v>
      </c>
      <c r="N1478">
        <v>0.18</v>
      </c>
      <c r="O1478" s="7">
        <v>4705</v>
      </c>
      <c r="P1478">
        <v>21</v>
      </c>
      <c r="Q1478" t="s">
        <v>55</v>
      </c>
      <c r="R1478" t="s">
        <v>61</v>
      </c>
      <c r="S1478">
        <f t="shared" si="115"/>
        <v>2025</v>
      </c>
      <c r="T1478" t="str">
        <f t="shared" si="116"/>
        <v>Jan</v>
      </c>
      <c r="U1478">
        <f t="shared" si="117"/>
        <v>3</v>
      </c>
      <c r="V1478">
        <f t="shared" si="118"/>
        <v>7</v>
      </c>
      <c r="W1478" s="9">
        <f t="shared" si="119"/>
        <v>2.6993689041881814</v>
      </c>
    </row>
    <row r="1479" spans="1:23">
      <c r="A1479">
        <v>11478</v>
      </c>
      <c r="B1479" s="5">
        <v>45674</v>
      </c>
      <c r="C1479" s="5">
        <v>45681</v>
      </c>
      <c r="D1479" s="5">
        <v>45686</v>
      </c>
      <c r="E1479" t="s">
        <v>19</v>
      </c>
      <c r="F1479" t="s">
        <v>22</v>
      </c>
      <c r="G1479" t="s">
        <v>25</v>
      </c>
      <c r="H1479" t="s">
        <v>30</v>
      </c>
      <c r="I1479" t="s">
        <v>35</v>
      </c>
      <c r="J1479" t="s">
        <v>42</v>
      </c>
      <c r="K1479" t="s">
        <v>44</v>
      </c>
      <c r="L1479" t="s">
        <v>53</v>
      </c>
      <c r="M1479" s="7">
        <v>70019</v>
      </c>
      <c r="N1479">
        <v>7.0000000000000007E-2</v>
      </c>
      <c r="O1479" s="7">
        <v>17913</v>
      </c>
      <c r="P1479">
        <v>20</v>
      </c>
      <c r="Q1479" t="s">
        <v>57</v>
      </c>
      <c r="R1479" t="s">
        <v>59</v>
      </c>
      <c r="S1479">
        <f t="shared" si="115"/>
        <v>2025</v>
      </c>
      <c r="T1479" t="str">
        <f t="shared" si="116"/>
        <v>Jan</v>
      </c>
      <c r="U1479">
        <f t="shared" si="117"/>
        <v>7</v>
      </c>
      <c r="V1479">
        <f t="shared" si="118"/>
        <v>12</v>
      </c>
      <c r="W1479" s="9">
        <f t="shared" si="119"/>
        <v>0.25583056027649637</v>
      </c>
    </row>
    <row r="1480" spans="1:23">
      <c r="A1480">
        <v>11479</v>
      </c>
      <c r="B1480" s="5">
        <v>45675</v>
      </c>
      <c r="C1480" s="5">
        <v>45681</v>
      </c>
      <c r="D1480" s="5">
        <v>45685</v>
      </c>
      <c r="E1480" t="s">
        <v>20</v>
      </c>
      <c r="F1480" t="s">
        <v>22</v>
      </c>
      <c r="G1480" t="s">
        <v>25</v>
      </c>
      <c r="H1480" t="s">
        <v>25</v>
      </c>
      <c r="I1480" t="s">
        <v>34</v>
      </c>
      <c r="J1480" t="s">
        <v>38</v>
      </c>
      <c r="K1480" t="s">
        <v>50</v>
      </c>
      <c r="L1480" t="s">
        <v>53</v>
      </c>
      <c r="M1480" s="7">
        <v>17926</v>
      </c>
      <c r="N1480">
        <v>0.24</v>
      </c>
      <c r="O1480" s="7">
        <v>14597</v>
      </c>
      <c r="P1480">
        <v>14</v>
      </c>
      <c r="Q1480" t="s">
        <v>58</v>
      </c>
      <c r="R1480" t="s">
        <v>61</v>
      </c>
      <c r="S1480">
        <f t="shared" si="115"/>
        <v>2025</v>
      </c>
      <c r="T1480" t="str">
        <f t="shared" si="116"/>
        <v>Jan</v>
      </c>
      <c r="U1480">
        <f t="shared" si="117"/>
        <v>6</v>
      </c>
      <c r="V1480">
        <f t="shared" si="118"/>
        <v>10</v>
      </c>
      <c r="W1480" s="9">
        <f t="shared" si="119"/>
        <v>0.81429208970210865</v>
      </c>
    </row>
    <row r="1481" spans="1:23">
      <c r="A1481">
        <v>11480</v>
      </c>
      <c r="B1481" s="5">
        <v>45676</v>
      </c>
      <c r="C1481" s="5">
        <v>45682</v>
      </c>
      <c r="D1481" s="5">
        <v>45683</v>
      </c>
      <c r="E1481" t="s">
        <v>19</v>
      </c>
      <c r="F1481" t="s">
        <v>22</v>
      </c>
      <c r="G1481" t="s">
        <v>28</v>
      </c>
      <c r="H1481" t="s">
        <v>29</v>
      </c>
      <c r="I1481" t="s">
        <v>36</v>
      </c>
      <c r="J1481" t="s">
        <v>37</v>
      </c>
      <c r="K1481" t="s">
        <v>50</v>
      </c>
      <c r="L1481" t="s">
        <v>52</v>
      </c>
      <c r="M1481" s="7">
        <v>53178</v>
      </c>
      <c r="N1481">
        <v>0.1</v>
      </c>
      <c r="O1481" s="7">
        <v>12583</v>
      </c>
      <c r="P1481">
        <v>13</v>
      </c>
      <c r="Q1481" t="s">
        <v>55</v>
      </c>
      <c r="R1481" t="s">
        <v>59</v>
      </c>
      <c r="S1481">
        <f t="shared" si="115"/>
        <v>2025</v>
      </c>
      <c r="T1481" t="str">
        <f t="shared" si="116"/>
        <v>Jan</v>
      </c>
      <c r="U1481">
        <f t="shared" si="117"/>
        <v>6</v>
      </c>
      <c r="V1481">
        <f t="shared" si="118"/>
        <v>7</v>
      </c>
      <c r="W1481" s="9">
        <f t="shared" si="119"/>
        <v>0.23662040693519876</v>
      </c>
    </row>
    <row r="1482" spans="1:23">
      <c r="A1482">
        <v>11481</v>
      </c>
      <c r="B1482" s="5">
        <v>45677</v>
      </c>
      <c r="C1482" s="5">
        <v>45682</v>
      </c>
      <c r="D1482" s="5">
        <v>45684</v>
      </c>
      <c r="E1482" t="s">
        <v>21</v>
      </c>
      <c r="F1482" t="s">
        <v>22</v>
      </c>
      <c r="G1482" t="s">
        <v>27</v>
      </c>
      <c r="H1482" t="s">
        <v>25</v>
      </c>
      <c r="I1482" t="s">
        <v>34</v>
      </c>
      <c r="J1482" t="s">
        <v>41</v>
      </c>
      <c r="K1482" t="s">
        <v>48</v>
      </c>
      <c r="L1482" t="s">
        <v>53</v>
      </c>
      <c r="M1482" s="7">
        <v>52866</v>
      </c>
      <c r="N1482">
        <v>0.17</v>
      </c>
      <c r="O1482" s="7">
        <v>14033</v>
      </c>
      <c r="P1482">
        <v>24</v>
      </c>
      <c r="Q1482" t="s">
        <v>56</v>
      </c>
      <c r="R1482" t="s">
        <v>62</v>
      </c>
      <c r="S1482">
        <f t="shared" si="115"/>
        <v>2025</v>
      </c>
      <c r="T1482" t="str">
        <f t="shared" si="116"/>
        <v>Jan</v>
      </c>
      <c r="U1482">
        <f t="shared" si="117"/>
        <v>5</v>
      </c>
      <c r="V1482">
        <f t="shared" si="118"/>
        <v>7</v>
      </c>
      <c r="W1482" s="9">
        <f t="shared" si="119"/>
        <v>0.26544470926493396</v>
      </c>
    </row>
    <row r="1483" spans="1:23">
      <c r="A1483">
        <v>11482</v>
      </c>
      <c r="B1483" s="5">
        <v>45678</v>
      </c>
      <c r="C1483" s="5">
        <v>45684</v>
      </c>
      <c r="D1483" s="5">
        <v>45689</v>
      </c>
      <c r="E1483" t="s">
        <v>19</v>
      </c>
      <c r="F1483" t="s">
        <v>22</v>
      </c>
      <c r="G1483" t="s">
        <v>28</v>
      </c>
      <c r="H1483" t="s">
        <v>29</v>
      </c>
      <c r="I1483" t="s">
        <v>36</v>
      </c>
      <c r="J1483" t="s">
        <v>41</v>
      </c>
      <c r="K1483" t="s">
        <v>50</v>
      </c>
      <c r="L1483" t="s">
        <v>53</v>
      </c>
      <c r="M1483" s="7">
        <v>859</v>
      </c>
      <c r="N1483">
        <v>0.25</v>
      </c>
      <c r="O1483" s="7">
        <v>6346</v>
      </c>
      <c r="P1483">
        <v>16</v>
      </c>
      <c r="Q1483" t="s">
        <v>55</v>
      </c>
      <c r="R1483" t="s">
        <v>60</v>
      </c>
      <c r="S1483">
        <f t="shared" si="115"/>
        <v>2025</v>
      </c>
      <c r="T1483" t="str">
        <f t="shared" si="116"/>
        <v>Jan</v>
      </c>
      <c r="U1483">
        <f t="shared" si="117"/>
        <v>6</v>
      </c>
      <c r="V1483">
        <f t="shared" si="118"/>
        <v>11</v>
      </c>
      <c r="W1483" s="9">
        <f t="shared" si="119"/>
        <v>7.3876600698486614</v>
      </c>
    </row>
    <row r="1484" spans="1:23">
      <c r="A1484">
        <v>11483</v>
      </c>
      <c r="B1484" s="5">
        <v>45679</v>
      </c>
      <c r="C1484" s="5">
        <v>45685</v>
      </c>
      <c r="D1484" s="5">
        <v>45686</v>
      </c>
      <c r="E1484" t="s">
        <v>18</v>
      </c>
      <c r="F1484" t="s">
        <v>22</v>
      </c>
      <c r="G1484" t="s">
        <v>23</v>
      </c>
      <c r="H1484" t="s">
        <v>32</v>
      </c>
      <c r="I1484" t="s">
        <v>34</v>
      </c>
      <c r="J1484" t="s">
        <v>41</v>
      </c>
      <c r="K1484" t="s">
        <v>48</v>
      </c>
      <c r="L1484" t="s">
        <v>51</v>
      </c>
      <c r="M1484" s="7">
        <v>52967</v>
      </c>
      <c r="N1484">
        <v>0.2</v>
      </c>
      <c r="O1484" s="7">
        <v>11154</v>
      </c>
      <c r="P1484">
        <v>17</v>
      </c>
      <c r="Q1484" t="s">
        <v>54</v>
      </c>
      <c r="R1484" t="s">
        <v>59</v>
      </c>
      <c r="S1484">
        <f t="shared" si="115"/>
        <v>2025</v>
      </c>
      <c r="T1484" t="str">
        <f t="shared" si="116"/>
        <v>Jan</v>
      </c>
      <c r="U1484">
        <f t="shared" si="117"/>
        <v>6</v>
      </c>
      <c r="V1484">
        <f t="shared" si="118"/>
        <v>7</v>
      </c>
      <c r="W1484" s="9">
        <f t="shared" si="119"/>
        <v>0.21058394849623349</v>
      </c>
    </row>
    <row r="1485" spans="1:23">
      <c r="A1485">
        <v>11484</v>
      </c>
      <c r="B1485" s="5">
        <v>45680</v>
      </c>
      <c r="C1485" s="5">
        <v>45682</v>
      </c>
      <c r="D1485" s="5">
        <v>45686</v>
      </c>
      <c r="E1485" t="s">
        <v>20</v>
      </c>
      <c r="F1485" t="s">
        <v>22</v>
      </c>
      <c r="G1485" t="s">
        <v>28</v>
      </c>
      <c r="H1485" t="s">
        <v>31</v>
      </c>
      <c r="I1485" t="s">
        <v>34</v>
      </c>
      <c r="J1485" t="s">
        <v>41</v>
      </c>
      <c r="K1485" t="s">
        <v>46</v>
      </c>
      <c r="L1485" t="s">
        <v>51</v>
      </c>
      <c r="M1485" s="7">
        <v>29157</v>
      </c>
      <c r="N1485">
        <v>0.28000000000000003</v>
      </c>
      <c r="O1485" s="7">
        <v>9589</v>
      </c>
      <c r="P1485">
        <v>11</v>
      </c>
      <c r="Q1485" t="s">
        <v>58</v>
      </c>
      <c r="R1485" t="s">
        <v>61</v>
      </c>
      <c r="S1485">
        <f t="shared" si="115"/>
        <v>2025</v>
      </c>
      <c r="T1485" t="str">
        <f t="shared" si="116"/>
        <v>Jan</v>
      </c>
      <c r="U1485">
        <f t="shared" si="117"/>
        <v>2</v>
      </c>
      <c r="V1485">
        <f t="shared" si="118"/>
        <v>6</v>
      </c>
      <c r="W1485" s="9">
        <f t="shared" si="119"/>
        <v>0.32887471276194397</v>
      </c>
    </row>
    <row r="1486" spans="1:23">
      <c r="A1486">
        <v>11485</v>
      </c>
      <c r="B1486" s="5">
        <v>45681</v>
      </c>
      <c r="C1486" s="5">
        <v>45684</v>
      </c>
      <c r="D1486" s="5">
        <v>45687</v>
      </c>
      <c r="E1486" t="s">
        <v>20</v>
      </c>
      <c r="F1486" t="s">
        <v>22</v>
      </c>
      <c r="G1486" t="s">
        <v>25</v>
      </c>
      <c r="H1486" t="s">
        <v>25</v>
      </c>
      <c r="I1486" t="s">
        <v>36</v>
      </c>
      <c r="J1486" t="s">
        <v>40</v>
      </c>
      <c r="K1486" t="s">
        <v>48</v>
      </c>
      <c r="L1486" t="s">
        <v>53</v>
      </c>
      <c r="M1486" s="7">
        <v>16673</v>
      </c>
      <c r="N1486">
        <v>0.37</v>
      </c>
      <c r="O1486" s="7">
        <v>-47</v>
      </c>
      <c r="P1486">
        <v>17</v>
      </c>
      <c r="Q1486" t="s">
        <v>55</v>
      </c>
      <c r="R1486" t="s">
        <v>59</v>
      </c>
      <c r="S1486">
        <f t="shared" si="115"/>
        <v>2025</v>
      </c>
      <c r="T1486" t="str">
        <f t="shared" si="116"/>
        <v>Jan</v>
      </c>
      <c r="U1486">
        <f t="shared" si="117"/>
        <v>3</v>
      </c>
      <c r="V1486">
        <f t="shared" si="118"/>
        <v>6</v>
      </c>
      <c r="W1486" s="9">
        <f t="shared" si="119"/>
        <v>-2.8189288070533196E-3</v>
      </c>
    </row>
    <row r="1487" spans="1:23">
      <c r="A1487">
        <v>11486</v>
      </c>
      <c r="B1487" s="5">
        <v>45682</v>
      </c>
      <c r="C1487" s="5">
        <v>45689</v>
      </c>
      <c r="D1487" s="5">
        <v>45694</v>
      </c>
      <c r="E1487" t="s">
        <v>21</v>
      </c>
      <c r="F1487" t="s">
        <v>22</v>
      </c>
      <c r="G1487" t="s">
        <v>28</v>
      </c>
      <c r="H1487" t="s">
        <v>33</v>
      </c>
      <c r="I1487" t="s">
        <v>36</v>
      </c>
      <c r="J1487" t="s">
        <v>43</v>
      </c>
      <c r="K1487" t="s">
        <v>50</v>
      </c>
      <c r="L1487" t="s">
        <v>51</v>
      </c>
      <c r="M1487" s="7">
        <v>31089</v>
      </c>
      <c r="N1487">
        <v>0.37</v>
      </c>
      <c r="O1487" s="7">
        <v>6</v>
      </c>
      <c r="P1487">
        <v>24</v>
      </c>
      <c r="Q1487" t="s">
        <v>56</v>
      </c>
      <c r="R1487" t="s">
        <v>59</v>
      </c>
      <c r="S1487">
        <f t="shared" si="115"/>
        <v>2025</v>
      </c>
      <c r="T1487" t="str">
        <f t="shared" si="116"/>
        <v>Jan</v>
      </c>
      <c r="U1487">
        <f t="shared" si="117"/>
        <v>7</v>
      </c>
      <c r="V1487">
        <f t="shared" si="118"/>
        <v>12</v>
      </c>
      <c r="W1487" s="9">
        <f t="shared" si="119"/>
        <v>1.9299430666795331E-4</v>
      </c>
    </row>
    <row r="1488" spans="1:23">
      <c r="A1488">
        <v>11487</v>
      </c>
      <c r="B1488" s="5">
        <v>45683</v>
      </c>
      <c r="C1488" s="5">
        <v>45689</v>
      </c>
      <c r="D1488" s="5">
        <v>45690</v>
      </c>
      <c r="E1488" t="s">
        <v>21</v>
      </c>
      <c r="F1488" t="s">
        <v>22</v>
      </c>
      <c r="G1488" t="s">
        <v>28</v>
      </c>
      <c r="H1488" t="s">
        <v>31</v>
      </c>
      <c r="I1488" t="s">
        <v>35</v>
      </c>
      <c r="J1488" t="s">
        <v>37</v>
      </c>
      <c r="K1488" t="s">
        <v>49</v>
      </c>
      <c r="L1488" t="s">
        <v>52</v>
      </c>
      <c r="M1488" s="7">
        <v>71854</v>
      </c>
      <c r="N1488">
        <v>0.37</v>
      </c>
      <c r="O1488" s="7">
        <v>3522</v>
      </c>
      <c r="P1488">
        <v>19</v>
      </c>
      <c r="Q1488" t="s">
        <v>56</v>
      </c>
      <c r="R1488" t="s">
        <v>60</v>
      </c>
      <c r="S1488">
        <f t="shared" si="115"/>
        <v>2025</v>
      </c>
      <c r="T1488" t="str">
        <f t="shared" si="116"/>
        <v>Jan</v>
      </c>
      <c r="U1488">
        <f t="shared" si="117"/>
        <v>6</v>
      </c>
      <c r="V1488">
        <f t="shared" si="118"/>
        <v>7</v>
      </c>
      <c r="W1488" s="9">
        <f t="shared" si="119"/>
        <v>4.9016060344587636E-2</v>
      </c>
    </row>
    <row r="1489" spans="1:23">
      <c r="A1489">
        <v>11488</v>
      </c>
      <c r="B1489" s="5">
        <v>45684</v>
      </c>
      <c r="C1489" s="5">
        <v>45687</v>
      </c>
      <c r="D1489" s="5">
        <v>45688</v>
      </c>
      <c r="E1489" t="s">
        <v>21</v>
      </c>
      <c r="F1489" t="s">
        <v>22</v>
      </c>
      <c r="G1489" t="s">
        <v>24</v>
      </c>
      <c r="H1489" t="s">
        <v>32</v>
      </c>
      <c r="I1489" t="s">
        <v>34</v>
      </c>
      <c r="J1489" t="s">
        <v>42</v>
      </c>
      <c r="K1489" t="s">
        <v>49</v>
      </c>
      <c r="L1489" t="s">
        <v>51</v>
      </c>
      <c r="M1489" s="7">
        <v>54602</v>
      </c>
      <c r="N1489">
        <v>0.12</v>
      </c>
      <c r="O1489" s="7">
        <v>5383</v>
      </c>
      <c r="P1489">
        <v>12</v>
      </c>
      <c r="Q1489" t="s">
        <v>58</v>
      </c>
      <c r="R1489" t="s">
        <v>61</v>
      </c>
      <c r="S1489">
        <f t="shared" si="115"/>
        <v>2025</v>
      </c>
      <c r="T1489" t="str">
        <f t="shared" si="116"/>
        <v>Jan</v>
      </c>
      <c r="U1489">
        <f t="shared" si="117"/>
        <v>3</v>
      </c>
      <c r="V1489">
        <f t="shared" si="118"/>
        <v>4</v>
      </c>
      <c r="W1489" s="9">
        <f t="shared" si="119"/>
        <v>9.8586132376103433E-2</v>
      </c>
    </row>
    <row r="1490" spans="1:23">
      <c r="A1490">
        <v>11489</v>
      </c>
      <c r="B1490" s="5">
        <v>45685</v>
      </c>
      <c r="C1490" s="5">
        <v>45687</v>
      </c>
      <c r="D1490" s="5">
        <v>45690</v>
      </c>
      <c r="E1490" t="s">
        <v>19</v>
      </c>
      <c r="F1490" t="s">
        <v>22</v>
      </c>
      <c r="G1490" t="s">
        <v>25</v>
      </c>
      <c r="H1490" t="s">
        <v>31</v>
      </c>
      <c r="I1490" t="s">
        <v>36</v>
      </c>
      <c r="J1490" t="s">
        <v>41</v>
      </c>
      <c r="K1490" t="s">
        <v>50</v>
      </c>
      <c r="L1490" t="s">
        <v>51</v>
      </c>
      <c r="M1490" s="7">
        <v>50327</v>
      </c>
      <c r="N1490">
        <v>0.33</v>
      </c>
      <c r="O1490" s="7">
        <v>6318</v>
      </c>
      <c r="P1490">
        <v>15</v>
      </c>
      <c r="Q1490" t="s">
        <v>55</v>
      </c>
      <c r="R1490" t="s">
        <v>60</v>
      </c>
      <c r="S1490">
        <f t="shared" si="115"/>
        <v>2025</v>
      </c>
      <c r="T1490" t="str">
        <f t="shared" si="116"/>
        <v>Jan</v>
      </c>
      <c r="U1490">
        <f t="shared" si="117"/>
        <v>2</v>
      </c>
      <c r="V1490">
        <f t="shared" si="118"/>
        <v>5</v>
      </c>
      <c r="W1490" s="9">
        <f t="shared" si="119"/>
        <v>0.12553897510282752</v>
      </c>
    </row>
    <row r="1491" spans="1:23">
      <c r="A1491">
        <v>11490</v>
      </c>
      <c r="B1491" s="5">
        <v>45686</v>
      </c>
      <c r="C1491" s="5">
        <v>45688</v>
      </c>
      <c r="D1491" s="5">
        <v>45692</v>
      </c>
      <c r="E1491" t="s">
        <v>18</v>
      </c>
      <c r="F1491" t="s">
        <v>22</v>
      </c>
      <c r="G1491" t="s">
        <v>23</v>
      </c>
      <c r="H1491" t="s">
        <v>29</v>
      </c>
      <c r="I1491" t="s">
        <v>35</v>
      </c>
      <c r="J1491" t="s">
        <v>42</v>
      </c>
      <c r="K1491" t="s">
        <v>47</v>
      </c>
      <c r="L1491" t="s">
        <v>51</v>
      </c>
      <c r="M1491" s="7">
        <v>59403</v>
      </c>
      <c r="N1491">
        <v>0.32</v>
      </c>
      <c r="O1491" s="7">
        <v>770</v>
      </c>
      <c r="P1491">
        <v>18</v>
      </c>
      <c r="Q1491" t="s">
        <v>56</v>
      </c>
      <c r="R1491" t="s">
        <v>61</v>
      </c>
      <c r="S1491">
        <f t="shared" si="115"/>
        <v>2025</v>
      </c>
      <c r="T1491" t="str">
        <f t="shared" si="116"/>
        <v>Jan</v>
      </c>
      <c r="U1491">
        <f t="shared" si="117"/>
        <v>2</v>
      </c>
      <c r="V1491">
        <f t="shared" si="118"/>
        <v>6</v>
      </c>
      <c r="W1491" s="9">
        <f t="shared" si="119"/>
        <v>1.2962308300927563E-2</v>
      </c>
    </row>
    <row r="1492" spans="1:23">
      <c r="A1492">
        <v>11491</v>
      </c>
      <c r="B1492" s="5">
        <v>45687</v>
      </c>
      <c r="C1492" s="5">
        <v>45692</v>
      </c>
      <c r="D1492" s="5">
        <v>45694</v>
      </c>
      <c r="E1492" t="s">
        <v>20</v>
      </c>
      <c r="F1492" t="s">
        <v>22</v>
      </c>
      <c r="G1492" t="s">
        <v>24</v>
      </c>
      <c r="H1492" t="s">
        <v>31</v>
      </c>
      <c r="I1492" t="s">
        <v>35</v>
      </c>
      <c r="J1492" t="s">
        <v>38</v>
      </c>
      <c r="K1492" t="s">
        <v>44</v>
      </c>
      <c r="L1492" t="s">
        <v>52</v>
      </c>
      <c r="M1492" s="7">
        <v>4118</v>
      </c>
      <c r="N1492">
        <v>0.24</v>
      </c>
      <c r="O1492" s="7">
        <v>19632</v>
      </c>
      <c r="P1492">
        <v>18</v>
      </c>
      <c r="Q1492" t="s">
        <v>54</v>
      </c>
      <c r="R1492" t="s">
        <v>60</v>
      </c>
      <c r="S1492">
        <f t="shared" si="115"/>
        <v>2025</v>
      </c>
      <c r="T1492" t="str">
        <f t="shared" si="116"/>
        <v>Jan</v>
      </c>
      <c r="U1492">
        <f t="shared" si="117"/>
        <v>5</v>
      </c>
      <c r="V1492">
        <f t="shared" si="118"/>
        <v>7</v>
      </c>
      <c r="W1492" s="9">
        <f t="shared" si="119"/>
        <v>4.7673627974745019</v>
      </c>
    </row>
    <row r="1493" spans="1:23">
      <c r="A1493">
        <v>11492</v>
      </c>
      <c r="B1493" s="5">
        <v>45688</v>
      </c>
      <c r="C1493" s="5">
        <v>45690</v>
      </c>
      <c r="D1493" s="5">
        <v>45693</v>
      </c>
      <c r="E1493" t="s">
        <v>20</v>
      </c>
      <c r="F1493" t="s">
        <v>22</v>
      </c>
      <c r="G1493" t="s">
        <v>25</v>
      </c>
      <c r="H1493" t="s">
        <v>32</v>
      </c>
      <c r="I1493" t="s">
        <v>36</v>
      </c>
      <c r="J1493" t="s">
        <v>39</v>
      </c>
      <c r="K1493" t="s">
        <v>47</v>
      </c>
      <c r="L1493" t="s">
        <v>51</v>
      </c>
      <c r="M1493" s="7">
        <v>2644</v>
      </c>
      <c r="N1493">
        <v>0.06</v>
      </c>
      <c r="O1493" s="7">
        <v>14644</v>
      </c>
      <c r="P1493">
        <v>15</v>
      </c>
      <c r="Q1493" t="s">
        <v>54</v>
      </c>
      <c r="R1493" t="s">
        <v>60</v>
      </c>
      <c r="S1493">
        <f t="shared" si="115"/>
        <v>2025</v>
      </c>
      <c r="T1493" t="str">
        <f t="shared" si="116"/>
        <v>Jan</v>
      </c>
      <c r="U1493">
        <f t="shared" si="117"/>
        <v>2</v>
      </c>
      <c r="V1493">
        <f t="shared" si="118"/>
        <v>5</v>
      </c>
      <c r="W1493" s="9">
        <f t="shared" si="119"/>
        <v>5.5385779122541603</v>
      </c>
    </row>
    <row r="1494" spans="1:23">
      <c r="A1494">
        <v>11493</v>
      </c>
      <c r="B1494" s="5">
        <v>45689</v>
      </c>
      <c r="C1494" s="5">
        <v>45694</v>
      </c>
      <c r="D1494" s="5">
        <v>45698</v>
      </c>
      <c r="E1494" t="s">
        <v>18</v>
      </c>
      <c r="F1494" t="s">
        <v>22</v>
      </c>
      <c r="G1494" t="s">
        <v>24</v>
      </c>
      <c r="H1494" t="s">
        <v>30</v>
      </c>
      <c r="I1494" t="s">
        <v>35</v>
      </c>
      <c r="J1494" t="s">
        <v>43</v>
      </c>
      <c r="K1494" t="s">
        <v>47</v>
      </c>
      <c r="L1494" t="s">
        <v>51</v>
      </c>
      <c r="M1494" s="7">
        <v>43561</v>
      </c>
      <c r="N1494">
        <v>0.19</v>
      </c>
      <c r="O1494" s="7">
        <v>19054</v>
      </c>
      <c r="P1494">
        <v>8</v>
      </c>
      <c r="Q1494" t="s">
        <v>57</v>
      </c>
      <c r="R1494" t="s">
        <v>59</v>
      </c>
      <c r="S1494">
        <f t="shared" si="115"/>
        <v>2025</v>
      </c>
      <c r="T1494" t="str">
        <f t="shared" si="116"/>
        <v>Feb</v>
      </c>
      <c r="U1494">
        <f t="shared" si="117"/>
        <v>5</v>
      </c>
      <c r="V1494">
        <f t="shared" si="118"/>
        <v>9</v>
      </c>
      <c r="W1494" s="9">
        <f t="shared" si="119"/>
        <v>0.4374096095130966</v>
      </c>
    </row>
    <row r="1495" spans="1:23">
      <c r="A1495">
        <v>11494</v>
      </c>
      <c r="B1495" s="5">
        <v>45690</v>
      </c>
      <c r="C1495" s="5">
        <v>45693</v>
      </c>
      <c r="D1495" s="5">
        <v>45695</v>
      </c>
      <c r="E1495" t="s">
        <v>19</v>
      </c>
      <c r="F1495" t="s">
        <v>22</v>
      </c>
      <c r="G1495" t="s">
        <v>26</v>
      </c>
      <c r="H1495" t="s">
        <v>31</v>
      </c>
      <c r="I1495" t="s">
        <v>36</v>
      </c>
      <c r="J1495" t="s">
        <v>40</v>
      </c>
      <c r="K1495" t="s">
        <v>47</v>
      </c>
      <c r="L1495" t="s">
        <v>51</v>
      </c>
      <c r="M1495" s="7">
        <v>57081</v>
      </c>
      <c r="N1495">
        <v>0.28999999999999998</v>
      </c>
      <c r="O1495" s="7">
        <v>5324</v>
      </c>
      <c r="P1495">
        <v>20</v>
      </c>
      <c r="Q1495" t="s">
        <v>56</v>
      </c>
      <c r="R1495" t="s">
        <v>62</v>
      </c>
      <c r="S1495">
        <f t="shared" si="115"/>
        <v>2025</v>
      </c>
      <c r="T1495" t="str">
        <f t="shared" si="116"/>
        <v>Feb</v>
      </c>
      <c r="U1495">
        <f t="shared" si="117"/>
        <v>3</v>
      </c>
      <c r="V1495">
        <f t="shared" si="118"/>
        <v>5</v>
      </c>
      <c r="W1495" s="9">
        <f t="shared" si="119"/>
        <v>9.3270965820500693E-2</v>
      </c>
    </row>
    <row r="1496" spans="1:23">
      <c r="A1496">
        <v>11495</v>
      </c>
      <c r="B1496" s="5">
        <v>45691</v>
      </c>
      <c r="C1496" s="5">
        <v>45694</v>
      </c>
      <c r="D1496" s="5">
        <v>45696</v>
      </c>
      <c r="E1496" t="s">
        <v>21</v>
      </c>
      <c r="F1496" t="s">
        <v>22</v>
      </c>
      <c r="G1496" t="s">
        <v>24</v>
      </c>
      <c r="H1496" t="s">
        <v>30</v>
      </c>
      <c r="I1496" t="s">
        <v>34</v>
      </c>
      <c r="J1496" t="s">
        <v>37</v>
      </c>
      <c r="K1496" t="s">
        <v>46</v>
      </c>
      <c r="L1496" t="s">
        <v>52</v>
      </c>
      <c r="M1496" s="7">
        <v>71874</v>
      </c>
      <c r="N1496">
        <v>0.04</v>
      </c>
      <c r="O1496" s="7">
        <v>10488</v>
      </c>
      <c r="P1496">
        <v>4</v>
      </c>
      <c r="Q1496" t="s">
        <v>54</v>
      </c>
      <c r="R1496" t="s">
        <v>61</v>
      </c>
      <c r="S1496">
        <f t="shared" si="115"/>
        <v>2025</v>
      </c>
      <c r="T1496" t="str">
        <f t="shared" si="116"/>
        <v>Feb</v>
      </c>
      <c r="U1496">
        <f t="shared" si="117"/>
        <v>3</v>
      </c>
      <c r="V1496">
        <f t="shared" si="118"/>
        <v>5</v>
      </c>
      <c r="W1496" s="9">
        <f t="shared" si="119"/>
        <v>0.14592203021955089</v>
      </c>
    </row>
    <row r="1497" spans="1:23">
      <c r="A1497">
        <v>11496</v>
      </c>
      <c r="B1497" s="5">
        <v>45692</v>
      </c>
      <c r="C1497" s="5">
        <v>45696</v>
      </c>
      <c r="D1497" s="5">
        <v>45698</v>
      </c>
      <c r="E1497" t="s">
        <v>18</v>
      </c>
      <c r="F1497" t="s">
        <v>22</v>
      </c>
      <c r="G1497" t="s">
        <v>27</v>
      </c>
      <c r="H1497" t="s">
        <v>30</v>
      </c>
      <c r="I1497" t="s">
        <v>35</v>
      </c>
      <c r="J1497" t="s">
        <v>38</v>
      </c>
      <c r="K1497" t="s">
        <v>48</v>
      </c>
      <c r="L1497" t="s">
        <v>53</v>
      </c>
      <c r="M1497" s="7">
        <v>12970</v>
      </c>
      <c r="N1497">
        <v>0.03</v>
      </c>
      <c r="O1497" s="7">
        <v>-725</v>
      </c>
      <c r="P1497">
        <v>23</v>
      </c>
      <c r="Q1497" t="s">
        <v>55</v>
      </c>
      <c r="R1497" t="s">
        <v>62</v>
      </c>
      <c r="S1497">
        <f t="shared" si="115"/>
        <v>2025</v>
      </c>
      <c r="T1497" t="str">
        <f t="shared" si="116"/>
        <v>Feb</v>
      </c>
      <c r="U1497">
        <f t="shared" si="117"/>
        <v>4</v>
      </c>
      <c r="V1497">
        <f t="shared" si="118"/>
        <v>6</v>
      </c>
      <c r="W1497" s="9">
        <f t="shared" si="119"/>
        <v>-5.5898226676946799E-2</v>
      </c>
    </row>
    <row r="1498" spans="1:23">
      <c r="A1498">
        <v>11497</v>
      </c>
      <c r="B1498" s="5">
        <v>45693</v>
      </c>
      <c r="C1498" s="5">
        <v>45699</v>
      </c>
      <c r="D1498" s="5">
        <v>45700</v>
      </c>
      <c r="E1498" t="s">
        <v>18</v>
      </c>
      <c r="F1498" t="s">
        <v>22</v>
      </c>
      <c r="G1498" t="s">
        <v>28</v>
      </c>
      <c r="H1498" t="s">
        <v>32</v>
      </c>
      <c r="I1498" t="s">
        <v>35</v>
      </c>
      <c r="J1498" t="s">
        <v>38</v>
      </c>
      <c r="K1498" t="s">
        <v>47</v>
      </c>
      <c r="L1498" t="s">
        <v>53</v>
      </c>
      <c r="M1498" s="7">
        <v>21820</v>
      </c>
      <c r="N1498">
        <v>7.0000000000000007E-2</v>
      </c>
      <c r="O1498" s="7">
        <v>7319</v>
      </c>
      <c r="P1498">
        <v>10</v>
      </c>
      <c r="Q1498" t="s">
        <v>54</v>
      </c>
      <c r="R1498" t="s">
        <v>62</v>
      </c>
      <c r="S1498">
        <f t="shared" si="115"/>
        <v>2025</v>
      </c>
      <c r="T1498" t="str">
        <f t="shared" si="116"/>
        <v>Feb</v>
      </c>
      <c r="U1498">
        <f t="shared" si="117"/>
        <v>6</v>
      </c>
      <c r="V1498">
        <f t="shared" si="118"/>
        <v>7</v>
      </c>
      <c r="W1498" s="9">
        <f t="shared" si="119"/>
        <v>0.33542621448212651</v>
      </c>
    </row>
    <row r="1499" spans="1:23">
      <c r="A1499">
        <v>11498</v>
      </c>
      <c r="B1499" s="5">
        <v>45694</v>
      </c>
      <c r="C1499" s="5">
        <v>45699</v>
      </c>
      <c r="D1499" s="5">
        <v>45703</v>
      </c>
      <c r="E1499" t="s">
        <v>21</v>
      </c>
      <c r="F1499" t="s">
        <v>22</v>
      </c>
      <c r="G1499" t="s">
        <v>25</v>
      </c>
      <c r="H1499" t="s">
        <v>25</v>
      </c>
      <c r="I1499" t="s">
        <v>35</v>
      </c>
      <c r="J1499" t="s">
        <v>37</v>
      </c>
      <c r="K1499" t="s">
        <v>46</v>
      </c>
      <c r="L1499" t="s">
        <v>51</v>
      </c>
      <c r="M1499" s="7">
        <v>68607</v>
      </c>
      <c r="N1499">
        <v>0.16</v>
      </c>
      <c r="O1499" s="7">
        <v>3216</v>
      </c>
      <c r="P1499">
        <v>5</v>
      </c>
      <c r="Q1499" t="s">
        <v>56</v>
      </c>
      <c r="R1499" t="s">
        <v>60</v>
      </c>
      <c r="S1499">
        <f t="shared" si="115"/>
        <v>2025</v>
      </c>
      <c r="T1499" t="str">
        <f t="shared" si="116"/>
        <v>Feb</v>
      </c>
      <c r="U1499">
        <f t="shared" si="117"/>
        <v>5</v>
      </c>
      <c r="V1499">
        <f t="shared" si="118"/>
        <v>9</v>
      </c>
      <c r="W1499" s="9">
        <f t="shared" si="119"/>
        <v>4.68756832393196E-2</v>
      </c>
    </row>
    <row r="1500" spans="1:23">
      <c r="A1500">
        <v>11499</v>
      </c>
      <c r="B1500" s="5">
        <v>45695</v>
      </c>
      <c r="C1500" s="5">
        <v>45698</v>
      </c>
      <c r="D1500" s="5">
        <v>45702</v>
      </c>
      <c r="E1500" t="s">
        <v>20</v>
      </c>
      <c r="F1500" t="s">
        <v>22</v>
      </c>
      <c r="G1500" t="s">
        <v>23</v>
      </c>
      <c r="H1500" t="s">
        <v>25</v>
      </c>
      <c r="I1500" t="s">
        <v>36</v>
      </c>
      <c r="J1500" t="s">
        <v>41</v>
      </c>
      <c r="K1500" t="s">
        <v>48</v>
      </c>
      <c r="L1500" t="s">
        <v>53</v>
      </c>
      <c r="M1500" s="7">
        <v>31973</v>
      </c>
      <c r="N1500">
        <v>0.15</v>
      </c>
      <c r="O1500" s="7">
        <v>8887</v>
      </c>
      <c r="P1500">
        <v>22</v>
      </c>
      <c r="Q1500" t="s">
        <v>58</v>
      </c>
      <c r="R1500" t="s">
        <v>60</v>
      </c>
      <c r="S1500">
        <f t="shared" si="115"/>
        <v>2025</v>
      </c>
      <c r="T1500" t="str">
        <f t="shared" si="116"/>
        <v>Feb</v>
      </c>
      <c r="U1500">
        <f t="shared" si="117"/>
        <v>3</v>
      </c>
      <c r="V1500">
        <f t="shared" si="118"/>
        <v>7</v>
      </c>
      <c r="W1500" s="9">
        <f t="shared" si="119"/>
        <v>0.27795327307415629</v>
      </c>
    </row>
    <row r="1501" spans="1:23">
      <c r="A1501">
        <v>11500</v>
      </c>
      <c r="B1501" s="5">
        <v>45696</v>
      </c>
      <c r="C1501" s="5">
        <v>45703</v>
      </c>
      <c r="D1501" s="5">
        <v>45708</v>
      </c>
      <c r="E1501" t="s">
        <v>21</v>
      </c>
      <c r="F1501" t="s">
        <v>22</v>
      </c>
      <c r="G1501" t="s">
        <v>28</v>
      </c>
      <c r="H1501" t="s">
        <v>33</v>
      </c>
      <c r="I1501" t="s">
        <v>34</v>
      </c>
      <c r="J1501" t="s">
        <v>38</v>
      </c>
      <c r="K1501" t="s">
        <v>44</v>
      </c>
      <c r="L1501" t="s">
        <v>53</v>
      </c>
      <c r="M1501" s="7">
        <v>4893</v>
      </c>
      <c r="N1501">
        <v>0.13</v>
      </c>
      <c r="O1501" s="7">
        <v>-653</v>
      </c>
      <c r="P1501">
        <v>15</v>
      </c>
      <c r="Q1501" t="s">
        <v>58</v>
      </c>
      <c r="R1501" t="s">
        <v>61</v>
      </c>
      <c r="S1501">
        <f t="shared" si="115"/>
        <v>2025</v>
      </c>
      <c r="T1501" t="str">
        <f t="shared" si="116"/>
        <v>Feb</v>
      </c>
      <c r="U1501">
        <f t="shared" si="117"/>
        <v>7</v>
      </c>
      <c r="V1501">
        <f t="shared" si="118"/>
        <v>12</v>
      </c>
      <c r="W1501" s="9">
        <f t="shared" si="119"/>
        <v>-0.13345595749029227</v>
      </c>
    </row>
    <row r="1502" spans="1:23">
      <c r="A1502">
        <v>11501</v>
      </c>
      <c r="B1502" s="5">
        <v>45697</v>
      </c>
      <c r="C1502" s="5">
        <v>45699</v>
      </c>
      <c r="D1502" s="5">
        <v>45703</v>
      </c>
      <c r="E1502" t="s">
        <v>21</v>
      </c>
      <c r="F1502" t="s">
        <v>22</v>
      </c>
      <c r="G1502" t="s">
        <v>27</v>
      </c>
      <c r="H1502" t="s">
        <v>30</v>
      </c>
      <c r="I1502" t="s">
        <v>36</v>
      </c>
      <c r="J1502" t="s">
        <v>40</v>
      </c>
      <c r="K1502" t="s">
        <v>50</v>
      </c>
      <c r="L1502" t="s">
        <v>51</v>
      </c>
      <c r="M1502" s="7">
        <v>19559</v>
      </c>
      <c r="N1502">
        <v>0.01</v>
      </c>
      <c r="O1502" s="7">
        <v>6299</v>
      </c>
      <c r="P1502">
        <v>3</v>
      </c>
      <c r="Q1502" t="s">
        <v>58</v>
      </c>
      <c r="R1502" t="s">
        <v>59</v>
      </c>
      <c r="S1502">
        <f t="shared" si="115"/>
        <v>2025</v>
      </c>
      <c r="T1502" t="str">
        <f t="shared" si="116"/>
        <v>Feb</v>
      </c>
      <c r="U1502">
        <f t="shared" si="117"/>
        <v>2</v>
      </c>
      <c r="V1502">
        <f t="shared" si="118"/>
        <v>6</v>
      </c>
      <c r="W1502" s="9">
        <f t="shared" si="119"/>
        <v>0.32205122961296589</v>
      </c>
    </row>
    <row r="1503" spans="1:23">
      <c r="A1503">
        <v>11502</v>
      </c>
      <c r="B1503" s="5">
        <v>45698</v>
      </c>
      <c r="C1503" s="5">
        <v>45701</v>
      </c>
      <c r="D1503" s="5">
        <v>45704</v>
      </c>
      <c r="E1503" t="s">
        <v>20</v>
      </c>
      <c r="F1503" t="s">
        <v>22</v>
      </c>
      <c r="G1503" t="s">
        <v>25</v>
      </c>
      <c r="H1503" t="s">
        <v>30</v>
      </c>
      <c r="I1503" t="s">
        <v>36</v>
      </c>
      <c r="J1503" t="s">
        <v>37</v>
      </c>
      <c r="K1503" t="s">
        <v>48</v>
      </c>
      <c r="L1503" t="s">
        <v>51</v>
      </c>
      <c r="M1503" s="7">
        <v>52519</v>
      </c>
      <c r="N1503">
        <v>0.14000000000000001</v>
      </c>
      <c r="O1503" s="7">
        <v>299</v>
      </c>
      <c r="P1503">
        <v>24</v>
      </c>
      <c r="Q1503" t="s">
        <v>58</v>
      </c>
      <c r="R1503" t="s">
        <v>60</v>
      </c>
      <c r="S1503">
        <f t="shared" si="115"/>
        <v>2025</v>
      </c>
      <c r="T1503" t="str">
        <f t="shared" si="116"/>
        <v>Feb</v>
      </c>
      <c r="U1503">
        <f t="shared" si="117"/>
        <v>3</v>
      </c>
      <c r="V1503">
        <f t="shared" si="118"/>
        <v>6</v>
      </c>
      <c r="W1503" s="9">
        <f t="shared" si="119"/>
        <v>5.6931777071155204E-3</v>
      </c>
    </row>
    <row r="1504" spans="1:23">
      <c r="A1504">
        <v>11503</v>
      </c>
      <c r="B1504" s="5">
        <v>45699</v>
      </c>
      <c r="C1504" s="5">
        <v>45702</v>
      </c>
      <c r="D1504" s="5">
        <v>45705</v>
      </c>
      <c r="E1504" t="s">
        <v>21</v>
      </c>
      <c r="F1504" t="s">
        <v>22</v>
      </c>
      <c r="G1504" t="s">
        <v>23</v>
      </c>
      <c r="H1504" t="s">
        <v>30</v>
      </c>
      <c r="I1504" t="s">
        <v>36</v>
      </c>
      <c r="J1504" t="s">
        <v>42</v>
      </c>
      <c r="K1504" t="s">
        <v>49</v>
      </c>
      <c r="L1504" t="s">
        <v>53</v>
      </c>
      <c r="M1504" s="7">
        <v>22235</v>
      </c>
      <c r="N1504">
        <v>0.38</v>
      </c>
      <c r="O1504" s="7">
        <v>17978</v>
      </c>
      <c r="P1504">
        <v>19</v>
      </c>
      <c r="Q1504" t="s">
        <v>55</v>
      </c>
      <c r="R1504" t="s">
        <v>60</v>
      </c>
      <c r="S1504">
        <f t="shared" si="115"/>
        <v>2025</v>
      </c>
      <c r="T1504" t="str">
        <f t="shared" si="116"/>
        <v>Feb</v>
      </c>
      <c r="U1504">
        <f t="shared" si="117"/>
        <v>3</v>
      </c>
      <c r="V1504">
        <f t="shared" si="118"/>
        <v>6</v>
      </c>
      <c r="W1504" s="9">
        <f t="shared" si="119"/>
        <v>0.80854508657521929</v>
      </c>
    </row>
    <row r="1505" spans="1:23">
      <c r="A1505">
        <v>11504</v>
      </c>
      <c r="B1505" s="5">
        <v>45700</v>
      </c>
      <c r="C1505" s="5">
        <v>45702</v>
      </c>
      <c r="D1505" s="5">
        <v>45703</v>
      </c>
      <c r="E1505" t="s">
        <v>21</v>
      </c>
      <c r="F1505" t="s">
        <v>22</v>
      </c>
      <c r="G1505" t="s">
        <v>26</v>
      </c>
      <c r="H1505" t="s">
        <v>30</v>
      </c>
      <c r="I1505" t="s">
        <v>35</v>
      </c>
      <c r="J1505" t="s">
        <v>37</v>
      </c>
      <c r="K1505" t="s">
        <v>48</v>
      </c>
      <c r="L1505" t="s">
        <v>52</v>
      </c>
      <c r="M1505" s="7">
        <v>44201</v>
      </c>
      <c r="N1505">
        <v>0.34</v>
      </c>
      <c r="O1505" s="7">
        <v>10403</v>
      </c>
      <c r="P1505">
        <v>6</v>
      </c>
      <c r="Q1505" t="s">
        <v>58</v>
      </c>
      <c r="R1505" t="s">
        <v>59</v>
      </c>
      <c r="S1505">
        <f t="shared" si="115"/>
        <v>2025</v>
      </c>
      <c r="T1505" t="str">
        <f t="shared" si="116"/>
        <v>Feb</v>
      </c>
      <c r="U1505">
        <f t="shared" si="117"/>
        <v>2</v>
      </c>
      <c r="V1505">
        <f t="shared" si="118"/>
        <v>3</v>
      </c>
      <c r="W1505" s="9">
        <f t="shared" si="119"/>
        <v>0.23535666613877515</v>
      </c>
    </row>
    <row r="1506" spans="1:23">
      <c r="A1506">
        <v>11505</v>
      </c>
      <c r="B1506" s="5">
        <v>45701</v>
      </c>
      <c r="C1506" s="5">
        <v>45703</v>
      </c>
      <c r="D1506" s="5">
        <v>45708</v>
      </c>
      <c r="E1506" t="s">
        <v>20</v>
      </c>
      <c r="F1506" t="s">
        <v>22</v>
      </c>
      <c r="G1506" t="s">
        <v>25</v>
      </c>
      <c r="H1506" t="s">
        <v>30</v>
      </c>
      <c r="I1506" t="s">
        <v>34</v>
      </c>
      <c r="J1506" t="s">
        <v>42</v>
      </c>
      <c r="K1506" t="s">
        <v>46</v>
      </c>
      <c r="L1506" t="s">
        <v>52</v>
      </c>
      <c r="M1506" s="7">
        <v>17939</v>
      </c>
      <c r="N1506">
        <v>0.33</v>
      </c>
      <c r="O1506" s="7">
        <v>11056</v>
      </c>
      <c r="P1506">
        <v>22</v>
      </c>
      <c r="Q1506" t="s">
        <v>57</v>
      </c>
      <c r="R1506" t="s">
        <v>61</v>
      </c>
      <c r="S1506">
        <f t="shared" si="115"/>
        <v>2025</v>
      </c>
      <c r="T1506" t="str">
        <f t="shared" si="116"/>
        <v>Feb</v>
      </c>
      <c r="U1506">
        <f t="shared" si="117"/>
        <v>2</v>
      </c>
      <c r="V1506">
        <f t="shared" si="118"/>
        <v>7</v>
      </c>
      <c r="W1506" s="9">
        <f t="shared" si="119"/>
        <v>0.6163108311500084</v>
      </c>
    </row>
    <row r="1507" spans="1:23">
      <c r="A1507">
        <v>11506</v>
      </c>
      <c r="B1507" s="5">
        <v>45702</v>
      </c>
      <c r="C1507" s="5">
        <v>45706</v>
      </c>
      <c r="D1507" s="5">
        <v>45709</v>
      </c>
      <c r="E1507" t="s">
        <v>20</v>
      </c>
      <c r="F1507" t="s">
        <v>22</v>
      </c>
      <c r="G1507" t="s">
        <v>26</v>
      </c>
      <c r="H1507" t="s">
        <v>29</v>
      </c>
      <c r="I1507" t="s">
        <v>35</v>
      </c>
      <c r="J1507" t="s">
        <v>38</v>
      </c>
      <c r="K1507" t="s">
        <v>50</v>
      </c>
      <c r="L1507" t="s">
        <v>52</v>
      </c>
      <c r="M1507" s="7">
        <v>12524</v>
      </c>
      <c r="N1507">
        <v>0.13</v>
      </c>
      <c r="O1507" s="7">
        <v>3627</v>
      </c>
      <c r="P1507">
        <v>13</v>
      </c>
      <c r="Q1507" t="s">
        <v>54</v>
      </c>
      <c r="R1507" t="s">
        <v>61</v>
      </c>
      <c r="S1507">
        <f t="shared" si="115"/>
        <v>2025</v>
      </c>
      <c r="T1507" t="str">
        <f t="shared" si="116"/>
        <v>Feb</v>
      </c>
      <c r="U1507">
        <f t="shared" si="117"/>
        <v>4</v>
      </c>
      <c r="V1507">
        <f t="shared" si="118"/>
        <v>7</v>
      </c>
      <c r="W1507" s="9">
        <f t="shared" si="119"/>
        <v>0.28960396039603958</v>
      </c>
    </row>
    <row r="1508" spans="1:23">
      <c r="A1508">
        <v>11507</v>
      </c>
      <c r="B1508" s="5">
        <v>45703</v>
      </c>
      <c r="C1508" s="5">
        <v>45705</v>
      </c>
      <c r="D1508" s="5">
        <v>45709</v>
      </c>
      <c r="E1508" t="s">
        <v>18</v>
      </c>
      <c r="F1508" t="s">
        <v>22</v>
      </c>
      <c r="G1508" t="s">
        <v>27</v>
      </c>
      <c r="H1508" t="s">
        <v>33</v>
      </c>
      <c r="I1508" t="s">
        <v>34</v>
      </c>
      <c r="J1508" t="s">
        <v>37</v>
      </c>
      <c r="K1508" t="s">
        <v>44</v>
      </c>
      <c r="L1508" t="s">
        <v>52</v>
      </c>
      <c r="M1508" s="7">
        <v>64124</v>
      </c>
      <c r="N1508">
        <v>0.01</v>
      </c>
      <c r="O1508" s="7">
        <v>19173</v>
      </c>
      <c r="P1508">
        <v>12</v>
      </c>
      <c r="Q1508" t="s">
        <v>55</v>
      </c>
      <c r="R1508" t="s">
        <v>59</v>
      </c>
      <c r="S1508">
        <f t="shared" si="115"/>
        <v>2025</v>
      </c>
      <c r="T1508" t="str">
        <f t="shared" si="116"/>
        <v>Feb</v>
      </c>
      <c r="U1508">
        <f t="shared" si="117"/>
        <v>2</v>
      </c>
      <c r="V1508">
        <f t="shared" si="118"/>
        <v>6</v>
      </c>
      <c r="W1508" s="9">
        <f t="shared" si="119"/>
        <v>0.29899881479633211</v>
      </c>
    </row>
    <row r="1509" spans="1:23">
      <c r="A1509">
        <v>11508</v>
      </c>
      <c r="B1509" s="5">
        <v>45704</v>
      </c>
      <c r="C1509" s="5">
        <v>45710</v>
      </c>
      <c r="D1509" s="5">
        <v>45715</v>
      </c>
      <c r="E1509" t="s">
        <v>21</v>
      </c>
      <c r="F1509" t="s">
        <v>22</v>
      </c>
      <c r="G1509" t="s">
        <v>26</v>
      </c>
      <c r="H1509" t="s">
        <v>29</v>
      </c>
      <c r="I1509" t="s">
        <v>34</v>
      </c>
      <c r="J1509" t="s">
        <v>40</v>
      </c>
      <c r="K1509" t="s">
        <v>45</v>
      </c>
      <c r="L1509" t="s">
        <v>52</v>
      </c>
      <c r="M1509" s="7">
        <v>27991</v>
      </c>
      <c r="N1509">
        <v>0.38</v>
      </c>
      <c r="O1509" s="7">
        <v>4108</v>
      </c>
      <c r="P1509">
        <v>19</v>
      </c>
      <c r="Q1509" t="s">
        <v>54</v>
      </c>
      <c r="R1509" t="s">
        <v>59</v>
      </c>
      <c r="S1509">
        <f t="shared" si="115"/>
        <v>2025</v>
      </c>
      <c r="T1509" t="str">
        <f t="shared" si="116"/>
        <v>Feb</v>
      </c>
      <c r="U1509">
        <f t="shared" si="117"/>
        <v>6</v>
      </c>
      <c r="V1509">
        <f t="shared" si="118"/>
        <v>11</v>
      </c>
      <c r="W1509" s="9">
        <f t="shared" si="119"/>
        <v>0.14676145904040586</v>
      </c>
    </row>
    <row r="1510" spans="1:23">
      <c r="A1510">
        <v>11509</v>
      </c>
      <c r="B1510" s="5">
        <v>45705</v>
      </c>
      <c r="C1510" s="5">
        <v>45707</v>
      </c>
      <c r="D1510" s="5">
        <v>45708</v>
      </c>
      <c r="E1510" t="s">
        <v>18</v>
      </c>
      <c r="F1510" t="s">
        <v>22</v>
      </c>
      <c r="G1510" t="s">
        <v>28</v>
      </c>
      <c r="H1510" t="s">
        <v>32</v>
      </c>
      <c r="I1510" t="s">
        <v>35</v>
      </c>
      <c r="J1510" t="s">
        <v>38</v>
      </c>
      <c r="K1510" t="s">
        <v>48</v>
      </c>
      <c r="L1510" t="s">
        <v>51</v>
      </c>
      <c r="M1510" s="7">
        <v>44592</v>
      </c>
      <c r="N1510">
        <v>0.37</v>
      </c>
      <c r="O1510" s="7">
        <v>18582</v>
      </c>
      <c r="P1510">
        <v>21</v>
      </c>
      <c r="Q1510" t="s">
        <v>58</v>
      </c>
      <c r="R1510" t="s">
        <v>59</v>
      </c>
      <c r="S1510">
        <f t="shared" si="115"/>
        <v>2025</v>
      </c>
      <c r="T1510" t="str">
        <f t="shared" si="116"/>
        <v>Feb</v>
      </c>
      <c r="U1510">
        <f t="shared" si="117"/>
        <v>2</v>
      </c>
      <c r="V1510">
        <f t="shared" si="118"/>
        <v>3</v>
      </c>
      <c r="W1510" s="9">
        <f t="shared" si="119"/>
        <v>0.41671151776103338</v>
      </c>
    </row>
    <row r="1511" spans="1:23">
      <c r="A1511">
        <v>11510</v>
      </c>
      <c r="B1511" s="5">
        <v>45706</v>
      </c>
      <c r="C1511" s="5">
        <v>45711</v>
      </c>
      <c r="D1511" s="5">
        <v>45712</v>
      </c>
      <c r="E1511" t="s">
        <v>18</v>
      </c>
      <c r="F1511" t="s">
        <v>22</v>
      </c>
      <c r="G1511" t="s">
        <v>25</v>
      </c>
      <c r="H1511" t="s">
        <v>25</v>
      </c>
      <c r="I1511" t="s">
        <v>34</v>
      </c>
      <c r="J1511" t="s">
        <v>40</v>
      </c>
      <c r="K1511" t="s">
        <v>50</v>
      </c>
      <c r="L1511" t="s">
        <v>51</v>
      </c>
      <c r="M1511" s="7">
        <v>39945</v>
      </c>
      <c r="N1511">
        <v>0.24</v>
      </c>
      <c r="O1511" s="7">
        <v>2192</v>
      </c>
      <c r="P1511">
        <v>2</v>
      </c>
      <c r="Q1511" t="s">
        <v>57</v>
      </c>
      <c r="R1511" t="s">
        <v>61</v>
      </c>
      <c r="S1511">
        <f t="shared" si="115"/>
        <v>2025</v>
      </c>
      <c r="T1511" t="str">
        <f t="shared" si="116"/>
        <v>Feb</v>
      </c>
      <c r="U1511">
        <f t="shared" si="117"/>
        <v>5</v>
      </c>
      <c r="V1511">
        <f t="shared" si="118"/>
        <v>6</v>
      </c>
      <c r="W1511" s="9">
        <f t="shared" si="119"/>
        <v>5.4875453748904741E-2</v>
      </c>
    </row>
    <row r="1512" spans="1:23">
      <c r="A1512">
        <v>11511</v>
      </c>
      <c r="B1512" s="5">
        <v>45707</v>
      </c>
      <c r="C1512" s="5">
        <v>45714</v>
      </c>
      <c r="D1512" s="5">
        <v>45718</v>
      </c>
      <c r="E1512" t="s">
        <v>21</v>
      </c>
      <c r="F1512" t="s">
        <v>22</v>
      </c>
      <c r="G1512" t="s">
        <v>26</v>
      </c>
      <c r="H1512" t="s">
        <v>29</v>
      </c>
      <c r="I1512" t="s">
        <v>35</v>
      </c>
      <c r="J1512" t="s">
        <v>38</v>
      </c>
      <c r="K1512" t="s">
        <v>44</v>
      </c>
      <c r="L1512" t="s">
        <v>53</v>
      </c>
      <c r="M1512" s="7">
        <v>5071</v>
      </c>
      <c r="N1512">
        <v>0.22</v>
      </c>
      <c r="O1512" s="7">
        <v>4282</v>
      </c>
      <c r="P1512">
        <v>5</v>
      </c>
      <c r="Q1512" t="s">
        <v>56</v>
      </c>
      <c r="R1512" t="s">
        <v>60</v>
      </c>
      <c r="S1512">
        <f t="shared" si="115"/>
        <v>2025</v>
      </c>
      <c r="T1512" t="str">
        <f t="shared" si="116"/>
        <v>Feb</v>
      </c>
      <c r="U1512">
        <f t="shared" si="117"/>
        <v>7</v>
      </c>
      <c r="V1512">
        <f t="shared" si="118"/>
        <v>11</v>
      </c>
      <c r="W1512" s="9">
        <f t="shared" si="119"/>
        <v>0.844409386708736</v>
      </c>
    </row>
    <row r="1513" spans="1:23">
      <c r="A1513">
        <v>11512</v>
      </c>
      <c r="B1513" s="5">
        <v>45708</v>
      </c>
      <c r="C1513" s="5">
        <v>45712</v>
      </c>
      <c r="D1513" s="5">
        <v>45717</v>
      </c>
      <c r="E1513" t="s">
        <v>21</v>
      </c>
      <c r="F1513" t="s">
        <v>22</v>
      </c>
      <c r="G1513" t="s">
        <v>23</v>
      </c>
      <c r="H1513" t="s">
        <v>32</v>
      </c>
      <c r="I1513" t="s">
        <v>36</v>
      </c>
      <c r="J1513" t="s">
        <v>38</v>
      </c>
      <c r="K1513" t="s">
        <v>50</v>
      </c>
      <c r="L1513" t="s">
        <v>52</v>
      </c>
      <c r="M1513" s="7">
        <v>32664</v>
      </c>
      <c r="N1513">
        <v>0.13</v>
      </c>
      <c r="O1513" s="7">
        <v>16591</v>
      </c>
      <c r="P1513">
        <v>22</v>
      </c>
      <c r="Q1513" t="s">
        <v>57</v>
      </c>
      <c r="R1513" t="s">
        <v>60</v>
      </c>
      <c r="S1513">
        <f t="shared" si="115"/>
        <v>2025</v>
      </c>
      <c r="T1513" t="str">
        <f t="shared" si="116"/>
        <v>Feb</v>
      </c>
      <c r="U1513">
        <f t="shared" si="117"/>
        <v>4</v>
      </c>
      <c r="V1513">
        <f t="shared" si="118"/>
        <v>9</v>
      </c>
      <c r="W1513" s="9">
        <f t="shared" si="119"/>
        <v>0.50792921871173158</v>
      </c>
    </row>
    <row r="1514" spans="1:23">
      <c r="A1514">
        <v>11513</v>
      </c>
      <c r="B1514" s="5">
        <v>45709</v>
      </c>
      <c r="C1514" s="5">
        <v>45713</v>
      </c>
      <c r="D1514" s="5">
        <v>45717</v>
      </c>
      <c r="E1514" t="s">
        <v>18</v>
      </c>
      <c r="F1514" t="s">
        <v>22</v>
      </c>
      <c r="G1514" t="s">
        <v>25</v>
      </c>
      <c r="H1514" t="s">
        <v>33</v>
      </c>
      <c r="I1514" t="s">
        <v>35</v>
      </c>
      <c r="J1514" t="s">
        <v>38</v>
      </c>
      <c r="K1514" t="s">
        <v>45</v>
      </c>
      <c r="L1514" t="s">
        <v>52</v>
      </c>
      <c r="M1514" s="7">
        <v>27983</v>
      </c>
      <c r="N1514">
        <v>0.31</v>
      </c>
      <c r="O1514" s="7">
        <v>19073</v>
      </c>
      <c r="P1514">
        <v>6</v>
      </c>
      <c r="Q1514" t="s">
        <v>55</v>
      </c>
      <c r="R1514" t="s">
        <v>59</v>
      </c>
      <c r="S1514">
        <f t="shared" si="115"/>
        <v>2025</v>
      </c>
      <c r="T1514" t="str">
        <f t="shared" si="116"/>
        <v>Feb</v>
      </c>
      <c r="U1514">
        <f t="shared" si="117"/>
        <v>4</v>
      </c>
      <c r="V1514">
        <f t="shared" si="118"/>
        <v>8</v>
      </c>
      <c r="W1514" s="9">
        <f t="shared" si="119"/>
        <v>0.68159239538291105</v>
      </c>
    </row>
    <row r="1515" spans="1:23">
      <c r="A1515">
        <v>11514</v>
      </c>
      <c r="B1515" s="5">
        <v>45710</v>
      </c>
      <c r="C1515" s="5">
        <v>45717</v>
      </c>
      <c r="D1515" s="5">
        <v>45721</v>
      </c>
      <c r="E1515" t="s">
        <v>18</v>
      </c>
      <c r="F1515" t="s">
        <v>22</v>
      </c>
      <c r="G1515" t="s">
        <v>27</v>
      </c>
      <c r="H1515" t="s">
        <v>32</v>
      </c>
      <c r="I1515" t="s">
        <v>35</v>
      </c>
      <c r="J1515" t="s">
        <v>37</v>
      </c>
      <c r="K1515" t="s">
        <v>50</v>
      </c>
      <c r="L1515" t="s">
        <v>52</v>
      </c>
      <c r="M1515" s="7">
        <v>24931</v>
      </c>
      <c r="N1515">
        <v>0.21</v>
      </c>
      <c r="O1515" s="7">
        <v>10823</v>
      </c>
      <c r="P1515">
        <v>1</v>
      </c>
      <c r="Q1515" t="s">
        <v>55</v>
      </c>
      <c r="R1515" t="s">
        <v>61</v>
      </c>
      <c r="S1515">
        <f t="shared" si="115"/>
        <v>2025</v>
      </c>
      <c r="T1515" t="str">
        <f t="shared" si="116"/>
        <v>Feb</v>
      </c>
      <c r="U1515">
        <f t="shared" si="117"/>
        <v>7</v>
      </c>
      <c r="V1515">
        <f t="shared" si="118"/>
        <v>11</v>
      </c>
      <c r="W1515" s="9">
        <f t="shared" si="119"/>
        <v>0.43411816613854237</v>
      </c>
    </row>
    <row r="1516" spans="1:23">
      <c r="A1516">
        <v>11515</v>
      </c>
      <c r="B1516" s="5">
        <v>45711</v>
      </c>
      <c r="C1516" s="5">
        <v>45717</v>
      </c>
      <c r="D1516" s="5">
        <v>45719</v>
      </c>
      <c r="E1516" t="s">
        <v>21</v>
      </c>
      <c r="F1516" t="s">
        <v>22</v>
      </c>
      <c r="G1516" t="s">
        <v>28</v>
      </c>
      <c r="H1516" t="s">
        <v>30</v>
      </c>
      <c r="I1516" t="s">
        <v>36</v>
      </c>
      <c r="J1516" t="s">
        <v>40</v>
      </c>
      <c r="K1516" t="s">
        <v>44</v>
      </c>
      <c r="L1516" t="s">
        <v>52</v>
      </c>
      <c r="M1516" s="7">
        <v>51263</v>
      </c>
      <c r="N1516">
        <v>0.08</v>
      </c>
      <c r="O1516" s="7">
        <v>11980</v>
      </c>
      <c r="P1516">
        <v>20</v>
      </c>
      <c r="Q1516" t="s">
        <v>56</v>
      </c>
      <c r="R1516" t="s">
        <v>60</v>
      </c>
      <c r="S1516">
        <f t="shared" si="115"/>
        <v>2025</v>
      </c>
      <c r="T1516" t="str">
        <f t="shared" si="116"/>
        <v>Feb</v>
      </c>
      <c r="U1516">
        <f t="shared" si="117"/>
        <v>6</v>
      </c>
      <c r="V1516">
        <f t="shared" si="118"/>
        <v>8</v>
      </c>
      <c r="W1516" s="9">
        <f t="shared" si="119"/>
        <v>0.23369681836802372</v>
      </c>
    </row>
    <row r="1517" spans="1:23">
      <c r="A1517">
        <v>11516</v>
      </c>
      <c r="B1517" s="5">
        <v>45712</v>
      </c>
      <c r="C1517" s="5">
        <v>45719</v>
      </c>
      <c r="D1517" s="5">
        <v>45722</v>
      </c>
      <c r="E1517" t="s">
        <v>21</v>
      </c>
      <c r="F1517" t="s">
        <v>22</v>
      </c>
      <c r="G1517" t="s">
        <v>28</v>
      </c>
      <c r="H1517" t="s">
        <v>33</v>
      </c>
      <c r="I1517" t="s">
        <v>35</v>
      </c>
      <c r="J1517" t="s">
        <v>41</v>
      </c>
      <c r="K1517" t="s">
        <v>48</v>
      </c>
      <c r="L1517" t="s">
        <v>52</v>
      </c>
      <c r="M1517" s="7">
        <v>27591</v>
      </c>
      <c r="N1517">
        <v>0.11</v>
      </c>
      <c r="O1517" s="7">
        <v>9858</v>
      </c>
      <c r="P1517">
        <v>6</v>
      </c>
      <c r="Q1517" t="s">
        <v>54</v>
      </c>
      <c r="R1517" t="s">
        <v>62</v>
      </c>
      <c r="S1517">
        <f t="shared" si="115"/>
        <v>2025</v>
      </c>
      <c r="T1517" t="str">
        <f t="shared" si="116"/>
        <v>Feb</v>
      </c>
      <c r="U1517">
        <f t="shared" si="117"/>
        <v>7</v>
      </c>
      <c r="V1517">
        <f t="shared" si="118"/>
        <v>10</v>
      </c>
      <c r="W1517" s="9">
        <f t="shared" si="119"/>
        <v>0.35729042078938783</v>
      </c>
    </row>
    <row r="1518" spans="1:23">
      <c r="A1518">
        <v>11517</v>
      </c>
      <c r="B1518" s="5">
        <v>45713</v>
      </c>
      <c r="C1518" s="5">
        <v>45720</v>
      </c>
      <c r="D1518" s="5">
        <v>45721</v>
      </c>
      <c r="E1518" t="s">
        <v>18</v>
      </c>
      <c r="F1518" t="s">
        <v>22</v>
      </c>
      <c r="G1518" t="s">
        <v>27</v>
      </c>
      <c r="H1518" t="s">
        <v>32</v>
      </c>
      <c r="I1518" t="s">
        <v>35</v>
      </c>
      <c r="J1518" t="s">
        <v>39</v>
      </c>
      <c r="K1518" t="s">
        <v>50</v>
      </c>
      <c r="L1518" t="s">
        <v>53</v>
      </c>
      <c r="M1518" s="7">
        <v>8533</v>
      </c>
      <c r="N1518">
        <v>0.02</v>
      </c>
      <c r="O1518" s="7">
        <v>1345</v>
      </c>
      <c r="P1518">
        <v>16</v>
      </c>
      <c r="Q1518" t="s">
        <v>54</v>
      </c>
      <c r="R1518" t="s">
        <v>61</v>
      </c>
      <c r="S1518">
        <f t="shared" si="115"/>
        <v>2025</v>
      </c>
      <c r="T1518" t="str">
        <f t="shared" si="116"/>
        <v>Feb</v>
      </c>
      <c r="U1518">
        <f t="shared" si="117"/>
        <v>7</v>
      </c>
      <c r="V1518">
        <f t="shared" si="118"/>
        <v>8</v>
      </c>
      <c r="W1518" s="9">
        <f t="shared" si="119"/>
        <v>0.15762334466190087</v>
      </c>
    </row>
    <row r="1519" spans="1:23">
      <c r="A1519">
        <v>11518</v>
      </c>
      <c r="B1519" s="5">
        <v>45714</v>
      </c>
      <c r="C1519" s="5">
        <v>45717</v>
      </c>
      <c r="D1519" s="5">
        <v>45722</v>
      </c>
      <c r="E1519" t="s">
        <v>19</v>
      </c>
      <c r="F1519" t="s">
        <v>22</v>
      </c>
      <c r="G1519" t="s">
        <v>25</v>
      </c>
      <c r="H1519" t="s">
        <v>32</v>
      </c>
      <c r="I1519" t="s">
        <v>34</v>
      </c>
      <c r="J1519" t="s">
        <v>37</v>
      </c>
      <c r="K1519" t="s">
        <v>45</v>
      </c>
      <c r="L1519" t="s">
        <v>53</v>
      </c>
      <c r="M1519" s="7">
        <v>26943</v>
      </c>
      <c r="N1519">
        <v>0.15</v>
      </c>
      <c r="O1519" s="7">
        <v>11941</v>
      </c>
      <c r="P1519">
        <v>3</v>
      </c>
      <c r="Q1519" t="s">
        <v>57</v>
      </c>
      <c r="R1519" t="s">
        <v>62</v>
      </c>
      <c r="S1519">
        <f t="shared" si="115"/>
        <v>2025</v>
      </c>
      <c r="T1519" t="str">
        <f t="shared" si="116"/>
        <v>Feb</v>
      </c>
      <c r="U1519">
        <f t="shared" si="117"/>
        <v>3</v>
      </c>
      <c r="V1519">
        <f t="shared" si="118"/>
        <v>8</v>
      </c>
      <c r="W1519" s="9">
        <f t="shared" si="119"/>
        <v>0.4431948929220948</v>
      </c>
    </row>
    <row r="1520" spans="1:23">
      <c r="A1520">
        <v>11519</v>
      </c>
      <c r="B1520" s="5">
        <v>45715</v>
      </c>
      <c r="C1520" s="5">
        <v>45720</v>
      </c>
      <c r="D1520" s="5">
        <v>45722</v>
      </c>
      <c r="E1520" t="s">
        <v>18</v>
      </c>
      <c r="F1520" t="s">
        <v>22</v>
      </c>
      <c r="G1520" t="s">
        <v>27</v>
      </c>
      <c r="H1520" t="s">
        <v>33</v>
      </c>
      <c r="I1520" t="s">
        <v>36</v>
      </c>
      <c r="J1520" t="s">
        <v>43</v>
      </c>
      <c r="K1520" t="s">
        <v>46</v>
      </c>
      <c r="L1520" t="s">
        <v>53</v>
      </c>
      <c r="M1520" s="7">
        <v>43205</v>
      </c>
      <c r="N1520">
        <v>0.22</v>
      </c>
      <c r="O1520" s="7">
        <v>7335</v>
      </c>
      <c r="P1520">
        <v>14</v>
      </c>
      <c r="Q1520" t="s">
        <v>55</v>
      </c>
      <c r="R1520" t="s">
        <v>61</v>
      </c>
      <c r="S1520">
        <f t="shared" si="115"/>
        <v>2025</v>
      </c>
      <c r="T1520" t="str">
        <f t="shared" si="116"/>
        <v>Feb</v>
      </c>
      <c r="U1520">
        <f t="shared" si="117"/>
        <v>5</v>
      </c>
      <c r="V1520">
        <f t="shared" si="118"/>
        <v>7</v>
      </c>
      <c r="W1520" s="9">
        <f t="shared" si="119"/>
        <v>0.16977201712764725</v>
      </c>
    </row>
    <row r="1521" spans="1:23">
      <c r="A1521">
        <v>11520</v>
      </c>
      <c r="B1521" s="5">
        <v>45716</v>
      </c>
      <c r="C1521" s="5">
        <v>45720</v>
      </c>
      <c r="D1521" s="5">
        <v>45722</v>
      </c>
      <c r="E1521" t="s">
        <v>19</v>
      </c>
      <c r="F1521" t="s">
        <v>22</v>
      </c>
      <c r="G1521" t="s">
        <v>27</v>
      </c>
      <c r="H1521" t="s">
        <v>29</v>
      </c>
      <c r="I1521" t="s">
        <v>35</v>
      </c>
      <c r="J1521" t="s">
        <v>38</v>
      </c>
      <c r="K1521" t="s">
        <v>48</v>
      </c>
      <c r="L1521" t="s">
        <v>53</v>
      </c>
      <c r="M1521" s="7">
        <v>16752</v>
      </c>
      <c r="N1521">
        <v>0.3</v>
      </c>
      <c r="O1521" s="7">
        <v>17220</v>
      </c>
      <c r="P1521">
        <v>5</v>
      </c>
      <c r="Q1521" t="s">
        <v>55</v>
      </c>
      <c r="R1521" t="s">
        <v>59</v>
      </c>
      <c r="S1521">
        <f t="shared" si="115"/>
        <v>2025</v>
      </c>
      <c r="T1521" t="str">
        <f t="shared" si="116"/>
        <v>Feb</v>
      </c>
      <c r="U1521">
        <f t="shared" si="117"/>
        <v>4</v>
      </c>
      <c r="V1521">
        <f t="shared" si="118"/>
        <v>6</v>
      </c>
      <c r="W1521" s="9">
        <f t="shared" si="119"/>
        <v>1.0279369627507164</v>
      </c>
    </row>
    <row r="1522" spans="1:23">
      <c r="A1522">
        <v>11521</v>
      </c>
      <c r="B1522" s="5">
        <v>45717</v>
      </c>
      <c r="C1522" s="5">
        <v>45724</v>
      </c>
      <c r="D1522" s="5">
        <v>45727</v>
      </c>
      <c r="E1522" t="s">
        <v>19</v>
      </c>
      <c r="F1522" t="s">
        <v>22</v>
      </c>
      <c r="G1522" t="s">
        <v>28</v>
      </c>
      <c r="H1522" t="s">
        <v>25</v>
      </c>
      <c r="I1522" t="s">
        <v>36</v>
      </c>
      <c r="J1522" t="s">
        <v>39</v>
      </c>
      <c r="K1522" t="s">
        <v>50</v>
      </c>
      <c r="L1522" t="s">
        <v>51</v>
      </c>
      <c r="M1522" s="7">
        <v>1288</v>
      </c>
      <c r="N1522">
        <v>0.3</v>
      </c>
      <c r="O1522" s="7">
        <v>14509</v>
      </c>
      <c r="P1522">
        <v>3</v>
      </c>
      <c r="Q1522" t="s">
        <v>56</v>
      </c>
      <c r="R1522" t="s">
        <v>61</v>
      </c>
      <c r="S1522">
        <f t="shared" si="115"/>
        <v>2025</v>
      </c>
      <c r="T1522" t="str">
        <f t="shared" si="116"/>
        <v>Mar</v>
      </c>
      <c r="U1522">
        <f t="shared" si="117"/>
        <v>7</v>
      </c>
      <c r="V1522">
        <f t="shared" si="118"/>
        <v>10</v>
      </c>
      <c r="W1522" s="9">
        <f t="shared" si="119"/>
        <v>11.264751552795031</v>
      </c>
    </row>
    <row r="1523" spans="1:23">
      <c r="A1523">
        <v>11522</v>
      </c>
      <c r="B1523" s="5">
        <v>45718</v>
      </c>
      <c r="C1523" s="5">
        <v>45723</v>
      </c>
      <c r="D1523" s="5">
        <v>45724</v>
      </c>
      <c r="E1523" t="s">
        <v>21</v>
      </c>
      <c r="F1523" t="s">
        <v>22</v>
      </c>
      <c r="G1523" t="s">
        <v>24</v>
      </c>
      <c r="H1523" t="s">
        <v>25</v>
      </c>
      <c r="I1523" t="s">
        <v>35</v>
      </c>
      <c r="J1523" t="s">
        <v>41</v>
      </c>
      <c r="K1523" t="s">
        <v>48</v>
      </c>
      <c r="L1523" t="s">
        <v>53</v>
      </c>
      <c r="M1523" s="7">
        <v>14884</v>
      </c>
      <c r="N1523">
        <v>0.05</v>
      </c>
      <c r="O1523" s="7">
        <v>7780</v>
      </c>
      <c r="P1523">
        <v>12</v>
      </c>
      <c r="Q1523" t="s">
        <v>55</v>
      </c>
      <c r="R1523" t="s">
        <v>60</v>
      </c>
      <c r="S1523">
        <f t="shared" si="115"/>
        <v>2025</v>
      </c>
      <c r="T1523" t="str">
        <f t="shared" si="116"/>
        <v>Mar</v>
      </c>
      <c r="U1523">
        <f t="shared" si="117"/>
        <v>5</v>
      </c>
      <c r="V1523">
        <f t="shared" si="118"/>
        <v>6</v>
      </c>
      <c r="W1523" s="9">
        <f t="shared" si="119"/>
        <v>0.52270894920720234</v>
      </c>
    </row>
    <row r="1524" spans="1:23">
      <c r="A1524">
        <v>11523</v>
      </c>
      <c r="B1524" s="5">
        <v>45719</v>
      </c>
      <c r="C1524" s="5">
        <v>45723</v>
      </c>
      <c r="D1524" s="5">
        <v>45727</v>
      </c>
      <c r="E1524" t="s">
        <v>19</v>
      </c>
      <c r="F1524" t="s">
        <v>22</v>
      </c>
      <c r="G1524" t="s">
        <v>23</v>
      </c>
      <c r="H1524" t="s">
        <v>29</v>
      </c>
      <c r="I1524" t="s">
        <v>36</v>
      </c>
      <c r="J1524" t="s">
        <v>37</v>
      </c>
      <c r="K1524" t="s">
        <v>46</v>
      </c>
      <c r="L1524" t="s">
        <v>51</v>
      </c>
      <c r="M1524" s="7">
        <v>9756</v>
      </c>
      <c r="N1524">
        <v>0.24</v>
      </c>
      <c r="O1524" s="7">
        <v>15194</v>
      </c>
      <c r="P1524">
        <v>20</v>
      </c>
      <c r="Q1524" t="s">
        <v>58</v>
      </c>
      <c r="R1524" t="s">
        <v>62</v>
      </c>
      <c r="S1524">
        <f t="shared" si="115"/>
        <v>2025</v>
      </c>
      <c r="T1524" t="str">
        <f t="shared" si="116"/>
        <v>Mar</v>
      </c>
      <c r="U1524">
        <f t="shared" si="117"/>
        <v>4</v>
      </c>
      <c r="V1524">
        <f t="shared" si="118"/>
        <v>8</v>
      </c>
      <c r="W1524" s="9">
        <f t="shared" si="119"/>
        <v>1.5574005740057402</v>
      </c>
    </row>
    <row r="1525" spans="1:23">
      <c r="A1525">
        <v>11524</v>
      </c>
      <c r="B1525" s="5">
        <v>45720</v>
      </c>
      <c r="C1525" s="5">
        <v>45724</v>
      </c>
      <c r="D1525" s="5">
        <v>45725</v>
      </c>
      <c r="E1525" t="s">
        <v>21</v>
      </c>
      <c r="F1525" t="s">
        <v>22</v>
      </c>
      <c r="G1525" t="s">
        <v>25</v>
      </c>
      <c r="H1525" t="s">
        <v>30</v>
      </c>
      <c r="I1525" t="s">
        <v>35</v>
      </c>
      <c r="J1525" t="s">
        <v>39</v>
      </c>
      <c r="K1525" t="s">
        <v>50</v>
      </c>
      <c r="L1525" t="s">
        <v>51</v>
      </c>
      <c r="M1525" s="7">
        <v>35210</v>
      </c>
      <c r="N1525">
        <v>0.4</v>
      </c>
      <c r="O1525" s="7">
        <v>18655</v>
      </c>
      <c r="P1525">
        <v>13</v>
      </c>
      <c r="Q1525" t="s">
        <v>56</v>
      </c>
      <c r="R1525" t="s">
        <v>61</v>
      </c>
      <c r="S1525">
        <f t="shared" si="115"/>
        <v>2025</v>
      </c>
      <c r="T1525" t="str">
        <f t="shared" si="116"/>
        <v>Mar</v>
      </c>
      <c r="U1525">
        <f t="shared" si="117"/>
        <v>4</v>
      </c>
      <c r="V1525">
        <f t="shared" si="118"/>
        <v>5</v>
      </c>
      <c r="W1525" s="9">
        <f t="shared" si="119"/>
        <v>0.52982107355864816</v>
      </c>
    </row>
    <row r="1526" spans="1:23">
      <c r="A1526">
        <v>11525</v>
      </c>
      <c r="B1526" s="5">
        <v>45721</v>
      </c>
      <c r="C1526" s="5">
        <v>45724</v>
      </c>
      <c r="D1526" s="5">
        <v>45726</v>
      </c>
      <c r="E1526" t="s">
        <v>18</v>
      </c>
      <c r="F1526" t="s">
        <v>22</v>
      </c>
      <c r="G1526" t="s">
        <v>27</v>
      </c>
      <c r="H1526" t="s">
        <v>30</v>
      </c>
      <c r="I1526" t="s">
        <v>36</v>
      </c>
      <c r="J1526" t="s">
        <v>42</v>
      </c>
      <c r="K1526" t="s">
        <v>47</v>
      </c>
      <c r="L1526" t="s">
        <v>51</v>
      </c>
      <c r="M1526" s="7">
        <v>47103</v>
      </c>
      <c r="N1526">
        <v>0.1</v>
      </c>
      <c r="O1526" s="7">
        <v>-703</v>
      </c>
      <c r="P1526">
        <v>23</v>
      </c>
      <c r="Q1526" t="s">
        <v>55</v>
      </c>
      <c r="R1526" t="s">
        <v>59</v>
      </c>
      <c r="S1526">
        <f t="shared" si="115"/>
        <v>2025</v>
      </c>
      <c r="T1526" t="str">
        <f t="shared" si="116"/>
        <v>Mar</v>
      </c>
      <c r="U1526">
        <f t="shared" si="117"/>
        <v>3</v>
      </c>
      <c r="V1526">
        <f t="shared" si="118"/>
        <v>5</v>
      </c>
      <c r="W1526" s="9">
        <f t="shared" si="119"/>
        <v>-1.4924739400887416E-2</v>
      </c>
    </row>
    <row r="1527" spans="1:23">
      <c r="A1527">
        <v>11526</v>
      </c>
      <c r="B1527" s="5">
        <v>45722</v>
      </c>
      <c r="C1527" s="5">
        <v>45729</v>
      </c>
      <c r="D1527" s="5">
        <v>45732</v>
      </c>
      <c r="E1527" t="s">
        <v>18</v>
      </c>
      <c r="F1527" t="s">
        <v>22</v>
      </c>
      <c r="G1527" t="s">
        <v>28</v>
      </c>
      <c r="H1527" t="s">
        <v>31</v>
      </c>
      <c r="I1527" t="s">
        <v>35</v>
      </c>
      <c r="J1527" t="s">
        <v>42</v>
      </c>
      <c r="K1527" t="s">
        <v>45</v>
      </c>
      <c r="L1527" t="s">
        <v>52</v>
      </c>
      <c r="M1527" s="7">
        <v>64636</v>
      </c>
      <c r="N1527">
        <v>0.16</v>
      </c>
      <c r="O1527" s="7">
        <v>18361</v>
      </c>
      <c r="P1527">
        <v>19</v>
      </c>
      <c r="Q1527" t="s">
        <v>55</v>
      </c>
      <c r="R1527" t="s">
        <v>60</v>
      </c>
      <c r="S1527">
        <f t="shared" si="115"/>
        <v>2025</v>
      </c>
      <c r="T1527" t="str">
        <f t="shared" si="116"/>
        <v>Mar</v>
      </c>
      <c r="U1527">
        <f t="shared" si="117"/>
        <v>7</v>
      </c>
      <c r="V1527">
        <f t="shared" si="118"/>
        <v>10</v>
      </c>
      <c r="W1527" s="9">
        <f t="shared" si="119"/>
        <v>0.28406770220929511</v>
      </c>
    </row>
    <row r="1528" spans="1:23">
      <c r="A1528">
        <v>11527</v>
      </c>
      <c r="B1528" s="5">
        <v>45723</v>
      </c>
      <c r="C1528" s="5">
        <v>45725</v>
      </c>
      <c r="D1528" s="5">
        <v>45726</v>
      </c>
      <c r="E1528" t="s">
        <v>18</v>
      </c>
      <c r="F1528" t="s">
        <v>22</v>
      </c>
      <c r="G1528" t="s">
        <v>24</v>
      </c>
      <c r="H1528" t="s">
        <v>25</v>
      </c>
      <c r="I1528" t="s">
        <v>34</v>
      </c>
      <c r="J1528" t="s">
        <v>42</v>
      </c>
      <c r="K1528" t="s">
        <v>46</v>
      </c>
      <c r="L1528" t="s">
        <v>51</v>
      </c>
      <c r="M1528" s="7">
        <v>73742</v>
      </c>
      <c r="N1528">
        <v>0.33</v>
      </c>
      <c r="O1528" s="7">
        <v>6959</v>
      </c>
      <c r="P1528">
        <v>10</v>
      </c>
      <c r="Q1528" t="s">
        <v>57</v>
      </c>
      <c r="R1528" t="s">
        <v>62</v>
      </c>
      <c r="S1528">
        <f t="shared" si="115"/>
        <v>2025</v>
      </c>
      <c r="T1528" t="str">
        <f t="shared" si="116"/>
        <v>Mar</v>
      </c>
      <c r="U1528">
        <f t="shared" si="117"/>
        <v>2</v>
      </c>
      <c r="V1528">
        <f t="shared" si="118"/>
        <v>3</v>
      </c>
      <c r="W1528" s="9">
        <f t="shared" si="119"/>
        <v>9.4369558731794631E-2</v>
      </c>
    </row>
    <row r="1529" spans="1:23">
      <c r="A1529">
        <v>11528</v>
      </c>
      <c r="B1529" s="5">
        <v>45724</v>
      </c>
      <c r="C1529" s="5">
        <v>45728</v>
      </c>
      <c r="D1529" s="5">
        <v>45732</v>
      </c>
      <c r="E1529" t="s">
        <v>20</v>
      </c>
      <c r="F1529" t="s">
        <v>22</v>
      </c>
      <c r="G1529" t="s">
        <v>28</v>
      </c>
      <c r="H1529" t="s">
        <v>30</v>
      </c>
      <c r="I1529" t="s">
        <v>36</v>
      </c>
      <c r="J1529" t="s">
        <v>41</v>
      </c>
      <c r="K1529" t="s">
        <v>46</v>
      </c>
      <c r="L1529" t="s">
        <v>51</v>
      </c>
      <c r="M1529" s="7">
        <v>72517</v>
      </c>
      <c r="N1529">
        <v>0.09</v>
      </c>
      <c r="O1529" s="7">
        <v>12321</v>
      </c>
      <c r="P1529">
        <v>5</v>
      </c>
      <c r="Q1529" t="s">
        <v>57</v>
      </c>
      <c r="R1529" t="s">
        <v>59</v>
      </c>
      <c r="S1529">
        <f t="shared" si="115"/>
        <v>2025</v>
      </c>
      <c r="T1529" t="str">
        <f t="shared" si="116"/>
        <v>Mar</v>
      </c>
      <c r="U1529">
        <f t="shared" si="117"/>
        <v>4</v>
      </c>
      <c r="V1529">
        <f t="shared" si="118"/>
        <v>8</v>
      </c>
      <c r="W1529" s="9">
        <f t="shared" si="119"/>
        <v>0.16990498779596508</v>
      </c>
    </row>
    <row r="1530" spans="1:23">
      <c r="A1530">
        <v>11529</v>
      </c>
      <c r="B1530" s="5">
        <v>45725</v>
      </c>
      <c r="C1530" s="5">
        <v>45728</v>
      </c>
      <c r="D1530" s="5">
        <v>45729</v>
      </c>
      <c r="E1530" t="s">
        <v>18</v>
      </c>
      <c r="F1530" t="s">
        <v>22</v>
      </c>
      <c r="G1530" t="s">
        <v>28</v>
      </c>
      <c r="H1530" t="s">
        <v>29</v>
      </c>
      <c r="I1530" t="s">
        <v>34</v>
      </c>
      <c r="J1530" t="s">
        <v>37</v>
      </c>
      <c r="K1530" t="s">
        <v>48</v>
      </c>
      <c r="L1530" t="s">
        <v>51</v>
      </c>
      <c r="M1530" s="7">
        <v>55858</v>
      </c>
      <c r="N1530">
        <v>0.32</v>
      </c>
      <c r="O1530" s="7">
        <v>6977</v>
      </c>
      <c r="P1530">
        <v>4</v>
      </c>
      <c r="Q1530" t="s">
        <v>57</v>
      </c>
      <c r="R1530" t="s">
        <v>60</v>
      </c>
      <c r="S1530">
        <f t="shared" si="115"/>
        <v>2025</v>
      </c>
      <c r="T1530" t="str">
        <f t="shared" si="116"/>
        <v>Mar</v>
      </c>
      <c r="U1530">
        <f t="shared" si="117"/>
        <v>3</v>
      </c>
      <c r="V1530">
        <f t="shared" si="118"/>
        <v>4</v>
      </c>
      <c r="W1530" s="9">
        <f t="shared" si="119"/>
        <v>0.12490601167245516</v>
      </c>
    </row>
    <row r="1531" spans="1:23">
      <c r="A1531">
        <v>11530</v>
      </c>
      <c r="B1531" s="5">
        <v>45726</v>
      </c>
      <c r="C1531" s="5">
        <v>45728</v>
      </c>
      <c r="D1531" s="5">
        <v>45732</v>
      </c>
      <c r="E1531" t="s">
        <v>19</v>
      </c>
      <c r="F1531" t="s">
        <v>22</v>
      </c>
      <c r="G1531" t="s">
        <v>24</v>
      </c>
      <c r="H1531" t="s">
        <v>30</v>
      </c>
      <c r="I1531" t="s">
        <v>36</v>
      </c>
      <c r="J1531" t="s">
        <v>39</v>
      </c>
      <c r="K1531" t="s">
        <v>45</v>
      </c>
      <c r="L1531" t="s">
        <v>51</v>
      </c>
      <c r="M1531" s="7">
        <v>70691</v>
      </c>
      <c r="N1531">
        <v>0.21</v>
      </c>
      <c r="O1531" s="7">
        <v>15460</v>
      </c>
      <c r="P1531">
        <v>15</v>
      </c>
      <c r="Q1531" t="s">
        <v>57</v>
      </c>
      <c r="R1531" t="s">
        <v>62</v>
      </c>
      <c r="S1531">
        <f t="shared" si="115"/>
        <v>2025</v>
      </c>
      <c r="T1531" t="str">
        <f t="shared" si="116"/>
        <v>Mar</v>
      </c>
      <c r="U1531">
        <f t="shared" si="117"/>
        <v>2</v>
      </c>
      <c r="V1531">
        <f t="shared" si="118"/>
        <v>6</v>
      </c>
      <c r="W1531" s="9">
        <f t="shared" si="119"/>
        <v>0.21869827842299586</v>
      </c>
    </row>
    <row r="1532" spans="1:23">
      <c r="A1532">
        <v>11531</v>
      </c>
      <c r="B1532" s="5">
        <v>45727</v>
      </c>
      <c r="C1532" s="5">
        <v>45733</v>
      </c>
      <c r="D1532" s="5">
        <v>45735</v>
      </c>
      <c r="E1532" t="s">
        <v>20</v>
      </c>
      <c r="F1532" t="s">
        <v>22</v>
      </c>
      <c r="G1532" t="s">
        <v>25</v>
      </c>
      <c r="H1532" t="s">
        <v>30</v>
      </c>
      <c r="I1532" t="s">
        <v>35</v>
      </c>
      <c r="J1532" t="s">
        <v>43</v>
      </c>
      <c r="K1532" t="s">
        <v>50</v>
      </c>
      <c r="L1532" t="s">
        <v>52</v>
      </c>
      <c r="M1532" s="7">
        <v>44663</v>
      </c>
      <c r="N1532">
        <v>0.22</v>
      </c>
      <c r="O1532" s="7">
        <v>19214</v>
      </c>
      <c r="P1532">
        <v>22</v>
      </c>
      <c r="Q1532" t="s">
        <v>56</v>
      </c>
      <c r="R1532" t="s">
        <v>59</v>
      </c>
      <c r="S1532">
        <f t="shared" si="115"/>
        <v>2025</v>
      </c>
      <c r="T1532" t="str">
        <f t="shared" si="116"/>
        <v>Mar</v>
      </c>
      <c r="U1532">
        <f t="shared" si="117"/>
        <v>6</v>
      </c>
      <c r="V1532">
        <f t="shared" si="118"/>
        <v>8</v>
      </c>
      <c r="W1532" s="9">
        <f t="shared" si="119"/>
        <v>0.43019949398831248</v>
      </c>
    </row>
    <row r="1533" spans="1:23">
      <c r="A1533">
        <v>11532</v>
      </c>
      <c r="B1533" s="5">
        <v>45728</v>
      </c>
      <c r="C1533" s="5">
        <v>45730</v>
      </c>
      <c r="D1533" s="5">
        <v>45731</v>
      </c>
      <c r="E1533" t="s">
        <v>19</v>
      </c>
      <c r="F1533" t="s">
        <v>22</v>
      </c>
      <c r="G1533" t="s">
        <v>27</v>
      </c>
      <c r="H1533" t="s">
        <v>33</v>
      </c>
      <c r="I1533" t="s">
        <v>34</v>
      </c>
      <c r="J1533" t="s">
        <v>41</v>
      </c>
      <c r="K1533" t="s">
        <v>46</v>
      </c>
      <c r="L1533" t="s">
        <v>51</v>
      </c>
      <c r="M1533" s="7">
        <v>4121</v>
      </c>
      <c r="N1533">
        <v>0.25</v>
      </c>
      <c r="O1533" s="7">
        <v>17986</v>
      </c>
      <c r="P1533">
        <v>11</v>
      </c>
      <c r="Q1533" t="s">
        <v>54</v>
      </c>
      <c r="R1533" t="s">
        <v>59</v>
      </c>
      <c r="S1533">
        <f t="shared" si="115"/>
        <v>2025</v>
      </c>
      <c r="T1533" t="str">
        <f t="shared" si="116"/>
        <v>Mar</v>
      </c>
      <c r="U1533">
        <f t="shared" si="117"/>
        <v>2</v>
      </c>
      <c r="V1533">
        <f t="shared" si="118"/>
        <v>3</v>
      </c>
      <c r="W1533" s="9">
        <f t="shared" si="119"/>
        <v>4.3644746420771661</v>
      </c>
    </row>
    <row r="1534" spans="1:23">
      <c r="A1534">
        <v>11533</v>
      </c>
      <c r="B1534" s="5">
        <v>45729</v>
      </c>
      <c r="C1534" s="5">
        <v>45735</v>
      </c>
      <c r="D1534" s="5">
        <v>45738</v>
      </c>
      <c r="E1534" t="s">
        <v>19</v>
      </c>
      <c r="F1534" t="s">
        <v>22</v>
      </c>
      <c r="G1534" t="s">
        <v>27</v>
      </c>
      <c r="H1534" t="s">
        <v>29</v>
      </c>
      <c r="I1534" t="s">
        <v>35</v>
      </c>
      <c r="J1534" t="s">
        <v>42</v>
      </c>
      <c r="K1534" t="s">
        <v>50</v>
      </c>
      <c r="L1534" t="s">
        <v>53</v>
      </c>
      <c r="M1534" s="7">
        <v>2971</v>
      </c>
      <c r="N1534">
        <v>0.4</v>
      </c>
      <c r="O1534" s="7">
        <v>8842</v>
      </c>
      <c r="P1534">
        <v>11</v>
      </c>
      <c r="Q1534" t="s">
        <v>57</v>
      </c>
      <c r="R1534" t="s">
        <v>62</v>
      </c>
      <c r="S1534">
        <f t="shared" si="115"/>
        <v>2025</v>
      </c>
      <c r="T1534" t="str">
        <f t="shared" si="116"/>
        <v>Mar</v>
      </c>
      <c r="U1534">
        <f t="shared" si="117"/>
        <v>6</v>
      </c>
      <c r="V1534">
        <f t="shared" si="118"/>
        <v>9</v>
      </c>
      <c r="W1534" s="9">
        <f t="shared" si="119"/>
        <v>2.9761023224503536</v>
      </c>
    </row>
    <row r="1535" spans="1:23">
      <c r="A1535">
        <v>11534</v>
      </c>
      <c r="B1535" s="5">
        <v>45730</v>
      </c>
      <c r="C1535" s="5">
        <v>45736</v>
      </c>
      <c r="D1535" s="5">
        <v>45738</v>
      </c>
      <c r="E1535" t="s">
        <v>21</v>
      </c>
      <c r="F1535" t="s">
        <v>22</v>
      </c>
      <c r="G1535" t="s">
        <v>24</v>
      </c>
      <c r="H1535" t="s">
        <v>30</v>
      </c>
      <c r="I1535" t="s">
        <v>36</v>
      </c>
      <c r="J1535" t="s">
        <v>43</v>
      </c>
      <c r="K1535" t="s">
        <v>44</v>
      </c>
      <c r="L1535" t="s">
        <v>53</v>
      </c>
      <c r="M1535" s="7">
        <v>46390</v>
      </c>
      <c r="N1535">
        <v>0.33</v>
      </c>
      <c r="O1535" s="7">
        <v>13198</v>
      </c>
      <c r="P1535">
        <v>8</v>
      </c>
      <c r="Q1535" t="s">
        <v>57</v>
      </c>
      <c r="R1535" t="s">
        <v>62</v>
      </c>
      <c r="S1535">
        <f t="shared" si="115"/>
        <v>2025</v>
      </c>
      <c r="T1535" t="str">
        <f t="shared" si="116"/>
        <v>Mar</v>
      </c>
      <c r="U1535">
        <f t="shared" si="117"/>
        <v>6</v>
      </c>
      <c r="V1535">
        <f t="shared" si="118"/>
        <v>8</v>
      </c>
      <c r="W1535" s="9">
        <f t="shared" si="119"/>
        <v>0.28450097003664582</v>
      </c>
    </row>
    <row r="1536" spans="1:23">
      <c r="A1536">
        <v>11535</v>
      </c>
      <c r="B1536" s="5">
        <v>45731</v>
      </c>
      <c r="C1536" s="5">
        <v>45736</v>
      </c>
      <c r="D1536" s="5">
        <v>45741</v>
      </c>
      <c r="E1536" t="s">
        <v>18</v>
      </c>
      <c r="F1536" t="s">
        <v>22</v>
      </c>
      <c r="G1536" t="s">
        <v>27</v>
      </c>
      <c r="H1536" t="s">
        <v>25</v>
      </c>
      <c r="I1536" t="s">
        <v>35</v>
      </c>
      <c r="J1536" t="s">
        <v>42</v>
      </c>
      <c r="K1536" t="s">
        <v>47</v>
      </c>
      <c r="L1536" t="s">
        <v>53</v>
      </c>
      <c r="M1536" s="7">
        <v>73635</v>
      </c>
      <c r="N1536">
        <v>0.22</v>
      </c>
      <c r="O1536" s="7">
        <v>19008</v>
      </c>
      <c r="P1536">
        <v>17</v>
      </c>
      <c r="Q1536" t="s">
        <v>57</v>
      </c>
      <c r="R1536" t="s">
        <v>61</v>
      </c>
      <c r="S1536">
        <f t="shared" si="115"/>
        <v>2025</v>
      </c>
      <c r="T1536" t="str">
        <f t="shared" si="116"/>
        <v>Mar</v>
      </c>
      <c r="U1536">
        <f t="shared" si="117"/>
        <v>5</v>
      </c>
      <c r="V1536">
        <f t="shared" si="118"/>
        <v>10</v>
      </c>
      <c r="W1536" s="9">
        <f t="shared" si="119"/>
        <v>0.25813811366877165</v>
      </c>
    </row>
    <row r="1537" spans="1:23">
      <c r="A1537">
        <v>11536</v>
      </c>
      <c r="B1537" s="5">
        <v>45732</v>
      </c>
      <c r="C1537" s="5">
        <v>45734</v>
      </c>
      <c r="D1537" s="5">
        <v>45735</v>
      </c>
      <c r="E1537" t="s">
        <v>18</v>
      </c>
      <c r="F1537" t="s">
        <v>22</v>
      </c>
      <c r="G1537" t="s">
        <v>23</v>
      </c>
      <c r="H1537" t="s">
        <v>25</v>
      </c>
      <c r="I1537" t="s">
        <v>36</v>
      </c>
      <c r="J1537" t="s">
        <v>41</v>
      </c>
      <c r="K1537" t="s">
        <v>45</v>
      </c>
      <c r="L1537" t="s">
        <v>52</v>
      </c>
      <c r="M1537" s="7">
        <v>30643</v>
      </c>
      <c r="N1537">
        <v>0.08</v>
      </c>
      <c r="O1537" s="7">
        <v>5480</v>
      </c>
      <c r="P1537">
        <v>10</v>
      </c>
      <c r="Q1537" t="s">
        <v>56</v>
      </c>
      <c r="R1537" t="s">
        <v>61</v>
      </c>
      <c r="S1537">
        <f t="shared" si="115"/>
        <v>2025</v>
      </c>
      <c r="T1537" t="str">
        <f t="shared" si="116"/>
        <v>Mar</v>
      </c>
      <c r="U1537">
        <f t="shared" si="117"/>
        <v>2</v>
      </c>
      <c r="V1537">
        <f t="shared" si="118"/>
        <v>3</v>
      </c>
      <c r="W1537" s="9">
        <f t="shared" si="119"/>
        <v>0.17883366511111837</v>
      </c>
    </row>
    <row r="1538" spans="1:23">
      <c r="A1538">
        <v>11537</v>
      </c>
      <c r="B1538" s="5">
        <v>45733</v>
      </c>
      <c r="C1538" s="5">
        <v>45735</v>
      </c>
      <c r="D1538" s="5">
        <v>45737</v>
      </c>
      <c r="E1538" t="s">
        <v>20</v>
      </c>
      <c r="F1538" t="s">
        <v>22</v>
      </c>
      <c r="G1538" t="s">
        <v>27</v>
      </c>
      <c r="H1538" t="s">
        <v>31</v>
      </c>
      <c r="I1538" t="s">
        <v>34</v>
      </c>
      <c r="J1538" t="s">
        <v>39</v>
      </c>
      <c r="K1538" t="s">
        <v>47</v>
      </c>
      <c r="L1538" t="s">
        <v>51</v>
      </c>
      <c r="M1538" s="7">
        <v>62974</v>
      </c>
      <c r="N1538">
        <v>0.28999999999999998</v>
      </c>
      <c r="O1538" s="7">
        <v>4485</v>
      </c>
      <c r="P1538">
        <v>17</v>
      </c>
      <c r="Q1538" t="s">
        <v>55</v>
      </c>
      <c r="R1538" t="s">
        <v>62</v>
      </c>
      <c r="S1538">
        <f t="shared" si="115"/>
        <v>2025</v>
      </c>
      <c r="T1538" t="str">
        <f t="shared" si="116"/>
        <v>Mar</v>
      </c>
      <c r="U1538">
        <f t="shared" si="117"/>
        <v>2</v>
      </c>
      <c r="V1538">
        <f t="shared" si="118"/>
        <v>4</v>
      </c>
      <c r="W1538" s="9">
        <f t="shared" si="119"/>
        <v>7.1219868517165816E-2</v>
      </c>
    </row>
    <row r="1539" spans="1:23">
      <c r="A1539">
        <v>11538</v>
      </c>
      <c r="B1539" s="5">
        <v>45734</v>
      </c>
      <c r="C1539" s="5">
        <v>45738</v>
      </c>
      <c r="D1539" s="5">
        <v>45743</v>
      </c>
      <c r="E1539" t="s">
        <v>18</v>
      </c>
      <c r="F1539" t="s">
        <v>22</v>
      </c>
      <c r="G1539" t="s">
        <v>24</v>
      </c>
      <c r="H1539" t="s">
        <v>31</v>
      </c>
      <c r="I1539" t="s">
        <v>34</v>
      </c>
      <c r="J1539" t="s">
        <v>39</v>
      </c>
      <c r="K1539" t="s">
        <v>47</v>
      </c>
      <c r="L1539" t="s">
        <v>52</v>
      </c>
      <c r="M1539" s="7">
        <v>45854</v>
      </c>
      <c r="N1539">
        <v>0.16</v>
      </c>
      <c r="O1539" s="7">
        <v>13178</v>
      </c>
      <c r="P1539">
        <v>1</v>
      </c>
      <c r="Q1539" t="s">
        <v>56</v>
      </c>
      <c r="R1539" t="s">
        <v>61</v>
      </c>
      <c r="S1539">
        <f t="shared" ref="S1539:S1602" si="120">YEAR(B1539)</f>
        <v>2025</v>
      </c>
      <c r="T1539" t="str">
        <f t="shared" ref="T1539:T1602" si="121">TEXT(B1539,"mmm")</f>
        <v>Mar</v>
      </c>
      <c r="U1539">
        <f t="shared" ref="U1539:U1602" si="122">C1539-B1539</f>
        <v>4</v>
      </c>
      <c r="V1539">
        <f t="shared" ref="V1539:V1602" si="123">D1539-B1539</f>
        <v>9</v>
      </c>
      <c r="W1539" s="9">
        <f t="shared" ref="W1539:W1602" si="124">IFERROR(O1539/M1539,0)</f>
        <v>0.28739041305011559</v>
      </c>
    </row>
    <row r="1540" spans="1:23">
      <c r="A1540">
        <v>11539</v>
      </c>
      <c r="B1540" s="5">
        <v>45735</v>
      </c>
      <c r="C1540" s="5">
        <v>45740</v>
      </c>
      <c r="D1540" s="5">
        <v>45743</v>
      </c>
      <c r="E1540" t="s">
        <v>21</v>
      </c>
      <c r="F1540" t="s">
        <v>22</v>
      </c>
      <c r="G1540" t="s">
        <v>25</v>
      </c>
      <c r="H1540" t="s">
        <v>32</v>
      </c>
      <c r="I1540" t="s">
        <v>34</v>
      </c>
      <c r="J1540" t="s">
        <v>41</v>
      </c>
      <c r="K1540" t="s">
        <v>46</v>
      </c>
      <c r="L1540" t="s">
        <v>52</v>
      </c>
      <c r="M1540" s="7">
        <v>9567</v>
      </c>
      <c r="N1540">
        <v>0.16</v>
      </c>
      <c r="O1540" s="7">
        <v>8983</v>
      </c>
      <c r="P1540">
        <v>15</v>
      </c>
      <c r="Q1540" t="s">
        <v>57</v>
      </c>
      <c r="R1540" t="s">
        <v>60</v>
      </c>
      <c r="S1540">
        <f t="shared" si="120"/>
        <v>2025</v>
      </c>
      <c r="T1540" t="str">
        <f t="shared" si="121"/>
        <v>Mar</v>
      </c>
      <c r="U1540">
        <f t="shared" si="122"/>
        <v>5</v>
      </c>
      <c r="V1540">
        <f t="shared" si="123"/>
        <v>8</v>
      </c>
      <c r="W1540" s="9">
        <f t="shared" si="124"/>
        <v>0.93895683077244696</v>
      </c>
    </row>
    <row r="1541" spans="1:23">
      <c r="A1541">
        <v>11540</v>
      </c>
      <c r="B1541" s="5">
        <v>45736</v>
      </c>
      <c r="C1541" s="5">
        <v>45738</v>
      </c>
      <c r="D1541" s="5">
        <v>45743</v>
      </c>
      <c r="E1541" t="s">
        <v>19</v>
      </c>
      <c r="F1541" t="s">
        <v>22</v>
      </c>
      <c r="G1541" t="s">
        <v>24</v>
      </c>
      <c r="H1541" t="s">
        <v>30</v>
      </c>
      <c r="I1541" t="s">
        <v>34</v>
      </c>
      <c r="J1541" t="s">
        <v>40</v>
      </c>
      <c r="K1541" t="s">
        <v>45</v>
      </c>
      <c r="L1541" t="s">
        <v>53</v>
      </c>
      <c r="M1541" s="7">
        <v>51686</v>
      </c>
      <c r="N1541">
        <v>0.37</v>
      </c>
      <c r="O1541" s="7">
        <v>9620</v>
      </c>
      <c r="P1541">
        <v>10</v>
      </c>
      <c r="Q1541" t="s">
        <v>57</v>
      </c>
      <c r="R1541" t="s">
        <v>59</v>
      </c>
      <c r="S1541">
        <f t="shared" si="120"/>
        <v>2025</v>
      </c>
      <c r="T1541" t="str">
        <f t="shared" si="121"/>
        <v>Mar</v>
      </c>
      <c r="U1541">
        <f t="shared" si="122"/>
        <v>2</v>
      </c>
      <c r="V1541">
        <f t="shared" si="123"/>
        <v>7</v>
      </c>
      <c r="W1541" s="9">
        <f t="shared" si="124"/>
        <v>0.18612390202375886</v>
      </c>
    </row>
    <row r="1542" spans="1:23">
      <c r="A1542">
        <v>11541</v>
      </c>
      <c r="B1542" s="5">
        <v>45737</v>
      </c>
      <c r="C1542" s="5">
        <v>45742</v>
      </c>
      <c r="D1542" s="5">
        <v>45743</v>
      </c>
      <c r="E1542" t="s">
        <v>20</v>
      </c>
      <c r="F1542" t="s">
        <v>22</v>
      </c>
      <c r="G1542" t="s">
        <v>24</v>
      </c>
      <c r="H1542" t="s">
        <v>31</v>
      </c>
      <c r="I1542" t="s">
        <v>36</v>
      </c>
      <c r="J1542" t="s">
        <v>38</v>
      </c>
      <c r="K1542" t="s">
        <v>44</v>
      </c>
      <c r="L1542" t="s">
        <v>52</v>
      </c>
      <c r="M1542" s="7">
        <v>14571</v>
      </c>
      <c r="N1542">
        <v>0.35</v>
      </c>
      <c r="O1542" s="7">
        <v>3236</v>
      </c>
      <c r="P1542">
        <v>21</v>
      </c>
      <c r="Q1542" t="s">
        <v>54</v>
      </c>
      <c r="R1542" t="s">
        <v>60</v>
      </c>
      <c r="S1542">
        <f t="shared" si="120"/>
        <v>2025</v>
      </c>
      <c r="T1542" t="str">
        <f t="shared" si="121"/>
        <v>Mar</v>
      </c>
      <c r="U1542">
        <f t="shared" si="122"/>
        <v>5</v>
      </c>
      <c r="V1542">
        <f t="shared" si="123"/>
        <v>6</v>
      </c>
      <c r="W1542" s="9">
        <f t="shared" si="124"/>
        <v>0.22208496328323382</v>
      </c>
    </row>
    <row r="1543" spans="1:23">
      <c r="A1543">
        <v>11542</v>
      </c>
      <c r="B1543" s="5">
        <v>45738</v>
      </c>
      <c r="C1543" s="5">
        <v>45743</v>
      </c>
      <c r="D1543" s="5">
        <v>45745</v>
      </c>
      <c r="E1543" t="s">
        <v>20</v>
      </c>
      <c r="F1543" t="s">
        <v>22</v>
      </c>
      <c r="G1543" t="s">
        <v>26</v>
      </c>
      <c r="H1543" t="s">
        <v>30</v>
      </c>
      <c r="I1543" t="s">
        <v>34</v>
      </c>
      <c r="J1543" t="s">
        <v>43</v>
      </c>
      <c r="K1543" t="s">
        <v>49</v>
      </c>
      <c r="L1543" t="s">
        <v>51</v>
      </c>
      <c r="M1543" s="7">
        <v>17256</v>
      </c>
      <c r="N1543">
        <v>0.31</v>
      </c>
      <c r="O1543" s="7">
        <v>8061</v>
      </c>
      <c r="P1543">
        <v>3</v>
      </c>
      <c r="Q1543" t="s">
        <v>58</v>
      </c>
      <c r="R1543" t="s">
        <v>62</v>
      </c>
      <c r="S1543">
        <f t="shared" si="120"/>
        <v>2025</v>
      </c>
      <c r="T1543" t="str">
        <f t="shared" si="121"/>
        <v>Mar</v>
      </c>
      <c r="U1543">
        <f t="shared" si="122"/>
        <v>5</v>
      </c>
      <c r="V1543">
        <f t="shared" si="123"/>
        <v>7</v>
      </c>
      <c r="W1543" s="9">
        <f t="shared" si="124"/>
        <v>0.46714186369958277</v>
      </c>
    </row>
    <row r="1544" spans="1:23">
      <c r="A1544">
        <v>11543</v>
      </c>
      <c r="B1544" s="5">
        <v>45739</v>
      </c>
      <c r="C1544" s="5">
        <v>45745</v>
      </c>
      <c r="D1544" s="5">
        <v>45748</v>
      </c>
      <c r="E1544" t="s">
        <v>19</v>
      </c>
      <c r="F1544" t="s">
        <v>22</v>
      </c>
      <c r="G1544" t="s">
        <v>27</v>
      </c>
      <c r="H1544" t="s">
        <v>29</v>
      </c>
      <c r="I1544" t="s">
        <v>35</v>
      </c>
      <c r="J1544" t="s">
        <v>42</v>
      </c>
      <c r="K1544" t="s">
        <v>44</v>
      </c>
      <c r="L1544" t="s">
        <v>51</v>
      </c>
      <c r="M1544" s="7">
        <v>27998</v>
      </c>
      <c r="N1544">
        <v>0.18</v>
      </c>
      <c r="O1544" s="7">
        <v>377</v>
      </c>
      <c r="P1544">
        <v>2</v>
      </c>
      <c r="Q1544" t="s">
        <v>58</v>
      </c>
      <c r="R1544" t="s">
        <v>59</v>
      </c>
      <c r="S1544">
        <f t="shared" si="120"/>
        <v>2025</v>
      </c>
      <c r="T1544" t="str">
        <f t="shared" si="121"/>
        <v>Mar</v>
      </c>
      <c r="U1544">
        <f t="shared" si="122"/>
        <v>6</v>
      </c>
      <c r="V1544">
        <f t="shared" si="123"/>
        <v>9</v>
      </c>
      <c r="W1544" s="9">
        <f t="shared" si="124"/>
        <v>1.3465247517679834E-2</v>
      </c>
    </row>
    <row r="1545" spans="1:23">
      <c r="A1545">
        <v>11544</v>
      </c>
      <c r="B1545" s="5">
        <v>45740</v>
      </c>
      <c r="C1545" s="5">
        <v>45743</v>
      </c>
      <c r="D1545" s="5">
        <v>45747</v>
      </c>
      <c r="E1545" t="s">
        <v>18</v>
      </c>
      <c r="F1545" t="s">
        <v>22</v>
      </c>
      <c r="G1545" t="s">
        <v>25</v>
      </c>
      <c r="H1545" t="s">
        <v>29</v>
      </c>
      <c r="I1545" t="s">
        <v>34</v>
      </c>
      <c r="J1545" t="s">
        <v>42</v>
      </c>
      <c r="K1545" t="s">
        <v>47</v>
      </c>
      <c r="L1545" t="s">
        <v>52</v>
      </c>
      <c r="M1545" s="7">
        <v>32465</v>
      </c>
      <c r="N1545">
        <v>0.25</v>
      </c>
      <c r="O1545" s="7">
        <v>1563</v>
      </c>
      <c r="P1545">
        <v>7</v>
      </c>
      <c r="Q1545" t="s">
        <v>54</v>
      </c>
      <c r="R1545" t="s">
        <v>61</v>
      </c>
      <c r="S1545">
        <f t="shared" si="120"/>
        <v>2025</v>
      </c>
      <c r="T1545" t="str">
        <f t="shared" si="121"/>
        <v>Mar</v>
      </c>
      <c r="U1545">
        <f t="shared" si="122"/>
        <v>3</v>
      </c>
      <c r="V1545">
        <f t="shared" si="123"/>
        <v>7</v>
      </c>
      <c r="W1545" s="9">
        <f t="shared" si="124"/>
        <v>4.814415524410904E-2</v>
      </c>
    </row>
    <row r="1546" spans="1:23">
      <c r="A1546">
        <v>11545</v>
      </c>
      <c r="B1546" s="5">
        <v>45741</v>
      </c>
      <c r="C1546" s="5">
        <v>45747</v>
      </c>
      <c r="D1546" s="5">
        <v>45750</v>
      </c>
      <c r="E1546" t="s">
        <v>20</v>
      </c>
      <c r="F1546" t="s">
        <v>22</v>
      </c>
      <c r="G1546" t="s">
        <v>27</v>
      </c>
      <c r="H1546" t="s">
        <v>29</v>
      </c>
      <c r="I1546" t="s">
        <v>34</v>
      </c>
      <c r="J1546" t="s">
        <v>37</v>
      </c>
      <c r="K1546" t="s">
        <v>44</v>
      </c>
      <c r="L1546" t="s">
        <v>53</v>
      </c>
      <c r="M1546" s="7">
        <v>42685</v>
      </c>
      <c r="N1546">
        <v>0.18</v>
      </c>
      <c r="O1546" s="7">
        <v>13114</v>
      </c>
      <c r="P1546">
        <v>17</v>
      </c>
      <c r="Q1546" t="s">
        <v>54</v>
      </c>
      <c r="R1546" t="s">
        <v>61</v>
      </c>
      <c r="S1546">
        <f t="shared" si="120"/>
        <v>2025</v>
      </c>
      <c r="T1546" t="str">
        <f t="shared" si="121"/>
        <v>Mar</v>
      </c>
      <c r="U1546">
        <f t="shared" si="122"/>
        <v>6</v>
      </c>
      <c r="V1546">
        <f t="shared" si="123"/>
        <v>9</v>
      </c>
      <c r="W1546" s="9">
        <f t="shared" si="124"/>
        <v>0.30722736324235678</v>
      </c>
    </row>
    <row r="1547" spans="1:23">
      <c r="A1547">
        <v>11546</v>
      </c>
      <c r="B1547" s="5">
        <v>45742</v>
      </c>
      <c r="C1547" s="5">
        <v>45745</v>
      </c>
      <c r="D1547" s="5">
        <v>45749</v>
      </c>
      <c r="E1547" t="s">
        <v>21</v>
      </c>
      <c r="F1547" t="s">
        <v>22</v>
      </c>
      <c r="G1547" t="s">
        <v>25</v>
      </c>
      <c r="H1547" t="s">
        <v>32</v>
      </c>
      <c r="I1547" t="s">
        <v>35</v>
      </c>
      <c r="J1547" t="s">
        <v>40</v>
      </c>
      <c r="K1547" t="s">
        <v>49</v>
      </c>
      <c r="L1547" t="s">
        <v>53</v>
      </c>
      <c r="M1547" s="7">
        <v>58875</v>
      </c>
      <c r="N1547">
        <v>0.2</v>
      </c>
      <c r="O1547" s="7">
        <v>9203</v>
      </c>
      <c r="P1547">
        <v>6</v>
      </c>
      <c r="Q1547" t="s">
        <v>55</v>
      </c>
      <c r="R1547" t="s">
        <v>60</v>
      </c>
      <c r="S1547">
        <f t="shared" si="120"/>
        <v>2025</v>
      </c>
      <c r="T1547" t="str">
        <f t="shared" si="121"/>
        <v>Mar</v>
      </c>
      <c r="U1547">
        <f t="shared" si="122"/>
        <v>3</v>
      </c>
      <c r="V1547">
        <f t="shared" si="123"/>
        <v>7</v>
      </c>
      <c r="W1547" s="9">
        <f t="shared" si="124"/>
        <v>0.15631422505307854</v>
      </c>
    </row>
    <row r="1548" spans="1:23">
      <c r="A1548">
        <v>11547</v>
      </c>
      <c r="B1548" s="5">
        <v>45743</v>
      </c>
      <c r="C1548" s="5">
        <v>45746</v>
      </c>
      <c r="D1548" s="5">
        <v>45751</v>
      </c>
      <c r="E1548" t="s">
        <v>19</v>
      </c>
      <c r="F1548" t="s">
        <v>22</v>
      </c>
      <c r="G1548" t="s">
        <v>28</v>
      </c>
      <c r="H1548" t="s">
        <v>30</v>
      </c>
      <c r="I1548" t="s">
        <v>34</v>
      </c>
      <c r="J1548" t="s">
        <v>39</v>
      </c>
      <c r="K1548" t="s">
        <v>47</v>
      </c>
      <c r="L1548" t="s">
        <v>52</v>
      </c>
      <c r="M1548" s="7">
        <v>48096</v>
      </c>
      <c r="N1548">
        <v>0.19</v>
      </c>
      <c r="O1548" s="7">
        <v>14691</v>
      </c>
      <c r="P1548">
        <v>1</v>
      </c>
      <c r="Q1548" t="s">
        <v>54</v>
      </c>
      <c r="R1548" t="s">
        <v>61</v>
      </c>
      <c r="S1548">
        <f t="shared" si="120"/>
        <v>2025</v>
      </c>
      <c r="T1548" t="str">
        <f t="shared" si="121"/>
        <v>Mar</v>
      </c>
      <c r="U1548">
        <f t="shared" si="122"/>
        <v>3</v>
      </c>
      <c r="V1548">
        <f t="shared" si="123"/>
        <v>8</v>
      </c>
      <c r="W1548" s="9">
        <f t="shared" si="124"/>
        <v>0.30545159680638723</v>
      </c>
    </row>
    <row r="1549" spans="1:23">
      <c r="A1549">
        <v>11548</v>
      </c>
      <c r="B1549" s="5">
        <v>45744</v>
      </c>
      <c r="C1549" s="5">
        <v>45750</v>
      </c>
      <c r="D1549" s="5">
        <v>45751</v>
      </c>
      <c r="E1549" t="s">
        <v>21</v>
      </c>
      <c r="F1549" t="s">
        <v>22</v>
      </c>
      <c r="G1549" t="s">
        <v>28</v>
      </c>
      <c r="H1549" t="s">
        <v>32</v>
      </c>
      <c r="I1549" t="s">
        <v>36</v>
      </c>
      <c r="J1549" t="s">
        <v>43</v>
      </c>
      <c r="K1549" t="s">
        <v>49</v>
      </c>
      <c r="L1549" t="s">
        <v>52</v>
      </c>
      <c r="M1549" s="7">
        <v>2974</v>
      </c>
      <c r="N1549">
        <v>0.2</v>
      </c>
      <c r="O1549" s="7">
        <v>11733</v>
      </c>
      <c r="P1549">
        <v>17</v>
      </c>
      <c r="Q1549" t="s">
        <v>58</v>
      </c>
      <c r="R1549" t="s">
        <v>60</v>
      </c>
      <c r="S1549">
        <f t="shared" si="120"/>
        <v>2025</v>
      </c>
      <c r="T1549" t="str">
        <f t="shared" si="121"/>
        <v>Mar</v>
      </c>
      <c r="U1549">
        <f t="shared" si="122"/>
        <v>6</v>
      </c>
      <c r="V1549">
        <f t="shared" si="123"/>
        <v>7</v>
      </c>
      <c r="W1549" s="9">
        <f t="shared" si="124"/>
        <v>3.9451916610625419</v>
      </c>
    </row>
    <row r="1550" spans="1:23">
      <c r="A1550">
        <v>11549</v>
      </c>
      <c r="B1550" s="5">
        <v>45745</v>
      </c>
      <c r="C1550" s="5">
        <v>45752</v>
      </c>
      <c r="D1550" s="5">
        <v>45754</v>
      </c>
      <c r="E1550" t="s">
        <v>18</v>
      </c>
      <c r="F1550" t="s">
        <v>22</v>
      </c>
      <c r="G1550" t="s">
        <v>23</v>
      </c>
      <c r="H1550" t="s">
        <v>30</v>
      </c>
      <c r="I1550" t="s">
        <v>36</v>
      </c>
      <c r="J1550" t="s">
        <v>42</v>
      </c>
      <c r="K1550" t="s">
        <v>45</v>
      </c>
      <c r="L1550" t="s">
        <v>52</v>
      </c>
      <c r="M1550" s="7">
        <v>28700</v>
      </c>
      <c r="N1550">
        <v>0.14000000000000001</v>
      </c>
      <c r="O1550" s="7">
        <v>16172</v>
      </c>
      <c r="P1550">
        <v>22</v>
      </c>
      <c r="Q1550" t="s">
        <v>55</v>
      </c>
      <c r="R1550" t="s">
        <v>61</v>
      </c>
      <c r="S1550">
        <f t="shared" si="120"/>
        <v>2025</v>
      </c>
      <c r="T1550" t="str">
        <f t="shared" si="121"/>
        <v>Mar</v>
      </c>
      <c r="U1550">
        <f t="shared" si="122"/>
        <v>7</v>
      </c>
      <c r="V1550">
        <f t="shared" si="123"/>
        <v>9</v>
      </c>
      <c r="W1550" s="9">
        <f t="shared" si="124"/>
        <v>0.56348432055749131</v>
      </c>
    </row>
    <row r="1551" spans="1:23">
      <c r="A1551">
        <v>11550</v>
      </c>
      <c r="B1551" s="5">
        <v>45746</v>
      </c>
      <c r="C1551" s="5">
        <v>45748</v>
      </c>
      <c r="D1551" s="5">
        <v>45751</v>
      </c>
      <c r="E1551" t="s">
        <v>20</v>
      </c>
      <c r="F1551" t="s">
        <v>22</v>
      </c>
      <c r="G1551" t="s">
        <v>24</v>
      </c>
      <c r="H1551" t="s">
        <v>32</v>
      </c>
      <c r="I1551" t="s">
        <v>36</v>
      </c>
      <c r="J1551" t="s">
        <v>38</v>
      </c>
      <c r="K1551" t="s">
        <v>47</v>
      </c>
      <c r="L1551" t="s">
        <v>53</v>
      </c>
      <c r="M1551" s="7">
        <v>10456</v>
      </c>
      <c r="N1551">
        <v>0.32</v>
      </c>
      <c r="O1551" s="7">
        <v>16045</v>
      </c>
      <c r="P1551">
        <v>19</v>
      </c>
      <c r="Q1551" t="s">
        <v>54</v>
      </c>
      <c r="R1551" t="s">
        <v>60</v>
      </c>
      <c r="S1551">
        <f t="shared" si="120"/>
        <v>2025</v>
      </c>
      <c r="T1551" t="str">
        <f t="shared" si="121"/>
        <v>Mar</v>
      </c>
      <c r="U1551">
        <f t="shared" si="122"/>
        <v>2</v>
      </c>
      <c r="V1551">
        <f t="shared" si="123"/>
        <v>5</v>
      </c>
      <c r="W1551" s="9">
        <f t="shared" si="124"/>
        <v>1.5345256312165263</v>
      </c>
    </row>
    <row r="1552" spans="1:23">
      <c r="A1552">
        <v>11551</v>
      </c>
      <c r="B1552" s="5">
        <v>45747</v>
      </c>
      <c r="C1552" s="5">
        <v>45754</v>
      </c>
      <c r="D1552" s="5">
        <v>45759</v>
      </c>
      <c r="E1552" t="s">
        <v>20</v>
      </c>
      <c r="F1552" t="s">
        <v>22</v>
      </c>
      <c r="G1552" t="s">
        <v>23</v>
      </c>
      <c r="H1552" t="s">
        <v>33</v>
      </c>
      <c r="I1552" t="s">
        <v>36</v>
      </c>
      <c r="J1552" t="s">
        <v>42</v>
      </c>
      <c r="K1552" t="s">
        <v>47</v>
      </c>
      <c r="L1552" t="s">
        <v>53</v>
      </c>
      <c r="M1552" s="7">
        <v>31655</v>
      </c>
      <c r="N1552">
        <v>0.22</v>
      </c>
      <c r="O1552" s="7">
        <v>19864</v>
      </c>
      <c r="P1552">
        <v>23</v>
      </c>
      <c r="Q1552" t="s">
        <v>54</v>
      </c>
      <c r="R1552" t="s">
        <v>60</v>
      </c>
      <c r="S1552">
        <f t="shared" si="120"/>
        <v>2025</v>
      </c>
      <c r="T1552" t="str">
        <f t="shared" si="121"/>
        <v>Mar</v>
      </c>
      <c r="U1552">
        <f t="shared" si="122"/>
        <v>7</v>
      </c>
      <c r="V1552">
        <f t="shared" si="123"/>
        <v>12</v>
      </c>
      <c r="W1552" s="9">
        <f t="shared" si="124"/>
        <v>0.62751540041067766</v>
      </c>
    </row>
    <row r="1553" spans="1:23">
      <c r="A1553">
        <v>11552</v>
      </c>
      <c r="B1553" s="5">
        <v>45748</v>
      </c>
      <c r="C1553" s="5">
        <v>45750</v>
      </c>
      <c r="D1553" s="5">
        <v>45755</v>
      </c>
      <c r="E1553" t="s">
        <v>20</v>
      </c>
      <c r="F1553" t="s">
        <v>22</v>
      </c>
      <c r="G1553" t="s">
        <v>23</v>
      </c>
      <c r="H1553" t="s">
        <v>30</v>
      </c>
      <c r="I1553" t="s">
        <v>35</v>
      </c>
      <c r="J1553" t="s">
        <v>40</v>
      </c>
      <c r="K1553" t="s">
        <v>47</v>
      </c>
      <c r="L1553" t="s">
        <v>51</v>
      </c>
      <c r="M1553" s="7">
        <v>49055</v>
      </c>
      <c r="N1553">
        <v>0.35</v>
      </c>
      <c r="O1553" s="7">
        <v>16391</v>
      </c>
      <c r="P1553">
        <v>6</v>
      </c>
      <c r="Q1553" t="s">
        <v>54</v>
      </c>
      <c r="R1553" t="s">
        <v>59</v>
      </c>
      <c r="S1553">
        <f t="shared" si="120"/>
        <v>2025</v>
      </c>
      <c r="T1553" t="str">
        <f t="shared" si="121"/>
        <v>Apr</v>
      </c>
      <c r="U1553">
        <f t="shared" si="122"/>
        <v>2</v>
      </c>
      <c r="V1553">
        <f t="shared" si="123"/>
        <v>7</v>
      </c>
      <c r="W1553" s="9">
        <f t="shared" si="124"/>
        <v>0.33413515441850983</v>
      </c>
    </row>
    <row r="1554" spans="1:23">
      <c r="A1554">
        <v>11553</v>
      </c>
      <c r="B1554" s="5">
        <v>45749</v>
      </c>
      <c r="C1554" s="5">
        <v>45754</v>
      </c>
      <c r="D1554" s="5">
        <v>45755</v>
      </c>
      <c r="E1554" t="s">
        <v>18</v>
      </c>
      <c r="F1554" t="s">
        <v>22</v>
      </c>
      <c r="G1554" t="s">
        <v>28</v>
      </c>
      <c r="H1554" t="s">
        <v>30</v>
      </c>
      <c r="I1554" t="s">
        <v>36</v>
      </c>
      <c r="J1554" t="s">
        <v>37</v>
      </c>
      <c r="K1554" t="s">
        <v>44</v>
      </c>
      <c r="L1554" t="s">
        <v>51</v>
      </c>
      <c r="M1554" s="7">
        <v>66560</v>
      </c>
      <c r="N1554">
        <v>0.39</v>
      </c>
      <c r="O1554" s="7">
        <v>3983</v>
      </c>
      <c r="P1554">
        <v>11</v>
      </c>
      <c r="Q1554" t="s">
        <v>55</v>
      </c>
      <c r="R1554" t="s">
        <v>59</v>
      </c>
      <c r="S1554">
        <f t="shared" si="120"/>
        <v>2025</v>
      </c>
      <c r="T1554" t="str">
        <f t="shared" si="121"/>
        <v>Apr</v>
      </c>
      <c r="U1554">
        <f t="shared" si="122"/>
        <v>5</v>
      </c>
      <c r="V1554">
        <f t="shared" si="123"/>
        <v>6</v>
      </c>
      <c r="W1554" s="9">
        <f t="shared" si="124"/>
        <v>5.9840745192307691E-2</v>
      </c>
    </row>
    <row r="1555" spans="1:23">
      <c r="A1555">
        <v>11554</v>
      </c>
      <c r="B1555" s="5">
        <v>45750</v>
      </c>
      <c r="C1555" s="5">
        <v>45754</v>
      </c>
      <c r="D1555" s="5">
        <v>45759</v>
      </c>
      <c r="E1555" t="s">
        <v>21</v>
      </c>
      <c r="F1555" t="s">
        <v>22</v>
      </c>
      <c r="G1555" t="s">
        <v>26</v>
      </c>
      <c r="H1555" t="s">
        <v>31</v>
      </c>
      <c r="I1555" t="s">
        <v>34</v>
      </c>
      <c r="J1555" t="s">
        <v>43</v>
      </c>
      <c r="K1555" t="s">
        <v>47</v>
      </c>
      <c r="L1555" t="s">
        <v>51</v>
      </c>
      <c r="M1555" s="7">
        <v>33832</v>
      </c>
      <c r="N1555">
        <v>0.22</v>
      </c>
      <c r="O1555" s="7">
        <v>7173</v>
      </c>
      <c r="P1555">
        <v>8</v>
      </c>
      <c r="Q1555" t="s">
        <v>54</v>
      </c>
      <c r="R1555" t="s">
        <v>61</v>
      </c>
      <c r="S1555">
        <f t="shared" si="120"/>
        <v>2025</v>
      </c>
      <c r="T1555" t="str">
        <f t="shared" si="121"/>
        <v>Apr</v>
      </c>
      <c r="U1555">
        <f t="shared" si="122"/>
        <v>4</v>
      </c>
      <c r="V1555">
        <f t="shared" si="123"/>
        <v>9</v>
      </c>
      <c r="W1555" s="9">
        <f t="shared" si="124"/>
        <v>0.21201820761409318</v>
      </c>
    </row>
    <row r="1556" spans="1:23">
      <c r="A1556">
        <v>11555</v>
      </c>
      <c r="B1556" s="5">
        <v>45751</v>
      </c>
      <c r="C1556" s="5">
        <v>45756</v>
      </c>
      <c r="D1556" s="5">
        <v>45760</v>
      </c>
      <c r="E1556" t="s">
        <v>21</v>
      </c>
      <c r="F1556" t="s">
        <v>22</v>
      </c>
      <c r="G1556" t="s">
        <v>26</v>
      </c>
      <c r="H1556" t="s">
        <v>33</v>
      </c>
      <c r="I1556" t="s">
        <v>36</v>
      </c>
      <c r="J1556" t="s">
        <v>39</v>
      </c>
      <c r="K1556" t="s">
        <v>47</v>
      </c>
      <c r="L1556" t="s">
        <v>53</v>
      </c>
      <c r="M1556" s="7">
        <v>58800</v>
      </c>
      <c r="N1556">
        <v>0.26</v>
      </c>
      <c r="O1556" s="7">
        <v>8199</v>
      </c>
      <c r="P1556">
        <v>18</v>
      </c>
      <c r="Q1556" t="s">
        <v>54</v>
      </c>
      <c r="R1556" t="s">
        <v>62</v>
      </c>
      <c r="S1556">
        <f t="shared" si="120"/>
        <v>2025</v>
      </c>
      <c r="T1556" t="str">
        <f t="shared" si="121"/>
        <v>Apr</v>
      </c>
      <c r="U1556">
        <f t="shared" si="122"/>
        <v>5</v>
      </c>
      <c r="V1556">
        <f t="shared" si="123"/>
        <v>9</v>
      </c>
      <c r="W1556" s="9">
        <f t="shared" si="124"/>
        <v>0.13943877551020409</v>
      </c>
    </row>
    <row r="1557" spans="1:23">
      <c r="A1557">
        <v>11556</v>
      </c>
      <c r="B1557" s="5">
        <v>45752</v>
      </c>
      <c r="C1557" s="5">
        <v>45758</v>
      </c>
      <c r="D1557" s="5">
        <v>45761</v>
      </c>
      <c r="E1557" t="s">
        <v>18</v>
      </c>
      <c r="F1557" t="s">
        <v>22</v>
      </c>
      <c r="G1557" t="s">
        <v>25</v>
      </c>
      <c r="H1557" t="s">
        <v>30</v>
      </c>
      <c r="I1557" t="s">
        <v>36</v>
      </c>
      <c r="J1557" t="s">
        <v>39</v>
      </c>
      <c r="K1557" t="s">
        <v>46</v>
      </c>
      <c r="L1557" t="s">
        <v>53</v>
      </c>
      <c r="M1557" s="7">
        <v>21267</v>
      </c>
      <c r="N1557">
        <v>0.27</v>
      </c>
      <c r="O1557" s="7">
        <v>-233</v>
      </c>
      <c r="P1557">
        <v>16</v>
      </c>
      <c r="Q1557" t="s">
        <v>58</v>
      </c>
      <c r="R1557" t="s">
        <v>62</v>
      </c>
      <c r="S1557">
        <f t="shared" si="120"/>
        <v>2025</v>
      </c>
      <c r="T1557" t="str">
        <f t="shared" si="121"/>
        <v>Apr</v>
      </c>
      <c r="U1557">
        <f t="shared" si="122"/>
        <v>6</v>
      </c>
      <c r="V1557">
        <f t="shared" si="123"/>
        <v>9</v>
      </c>
      <c r="W1557" s="9">
        <f t="shared" si="124"/>
        <v>-1.0955941129449382E-2</v>
      </c>
    </row>
    <row r="1558" spans="1:23">
      <c r="A1558">
        <v>11557</v>
      </c>
      <c r="B1558" s="5">
        <v>45753</v>
      </c>
      <c r="C1558" s="5">
        <v>45757</v>
      </c>
      <c r="D1558" s="5">
        <v>45759</v>
      </c>
      <c r="E1558" t="s">
        <v>19</v>
      </c>
      <c r="F1558" t="s">
        <v>22</v>
      </c>
      <c r="G1558" t="s">
        <v>24</v>
      </c>
      <c r="H1558" t="s">
        <v>33</v>
      </c>
      <c r="I1558" t="s">
        <v>35</v>
      </c>
      <c r="J1558" t="s">
        <v>43</v>
      </c>
      <c r="K1558" t="s">
        <v>44</v>
      </c>
      <c r="L1558" t="s">
        <v>53</v>
      </c>
      <c r="M1558" s="7">
        <v>26800</v>
      </c>
      <c r="N1558">
        <v>0.35</v>
      </c>
      <c r="O1558" s="7">
        <v>7383</v>
      </c>
      <c r="P1558">
        <v>24</v>
      </c>
      <c r="Q1558" t="s">
        <v>54</v>
      </c>
      <c r="R1558" t="s">
        <v>61</v>
      </c>
      <c r="S1558">
        <f t="shared" si="120"/>
        <v>2025</v>
      </c>
      <c r="T1558" t="str">
        <f t="shared" si="121"/>
        <v>Apr</v>
      </c>
      <c r="U1558">
        <f t="shared" si="122"/>
        <v>4</v>
      </c>
      <c r="V1558">
        <f t="shared" si="123"/>
        <v>6</v>
      </c>
      <c r="W1558" s="9">
        <f t="shared" si="124"/>
        <v>0.27548507462686567</v>
      </c>
    </row>
    <row r="1559" spans="1:23">
      <c r="A1559">
        <v>11558</v>
      </c>
      <c r="B1559" s="5">
        <v>45754</v>
      </c>
      <c r="C1559" s="5">
        <v>45756</v>
      </c>
      <c r="D1559" s="5">
        <v>45757</v>
      </c>
      <c r="E1559" t="s">
        <v>18</v>
      </c>
      <c r="F1559" t="s">
        <v>22</v>
      </c>
      <c r="G1559" t="s">
        <v>28</v>
      </c>
      <c r="H1559" t="s">
        <v>29</v>
      </c>
      <c r="I1559" t="s">
        <v>35</v>
      </c>
      <c r="J1559" t="s">
        <v>37</v>
      </c>
      <c r="K1559" t="s">
        <v>47</v>
      </c>
      <c r="L1559" t="s">
        <v>53</v>
      </c>
      <c r="M1559" s="7">
        <v>55438</v>
      </c>
      <c r="N1559">
        <v>0.34</v>
      </c>
      <c r="O1559" s="7">
        <v>979</v>
      </c>
      <c r="P1559">
        <v>23</v>
      </c>
      <c r="Q1559" t="s">
        <v>57</v>
      </c>
      <c r="R1559" t="s">
        <v>60</v>
      </c>
      <c r="S1559">
        <f t="shared" si="120"/>
        <v>2025</v>
      </c>
      <c r="T1559" t="str">
        <f t="shared" si="121"/>
        <v>Apr</v>
      </c>
      <c r="U1559">
        <f t="shared" si="122"/>
        <v>2</v>
      </c>
      <c r="V1559">
        <f t="shared" si="123"/>
        <v>3</v>
      </c>
      <c r="W1559" s="9">
        <f t="shared" si="124"/>
        <v>1.765936722103972E-2</v>
      </c>
    </row>
    <row r="1560" spans="1:23">
      <c r="A1560">
        <v>11559</v>
      </c>
      <c r="B1560" s="5">
        <v>45755</v>
      </c>
      <c r="C1560" s="5">
        <v>45761</v>
      </c>
      <c r="D1560" s="5">
        <v>45765</v>
      </c>
      <c r="E1560" t="s">
        <v>18</v>
      </c>
      <c r="F1560" t="s">
        <v>22</v>
      </c>
      <c r="G1560" t="s">
        <v>23</v>
      </c>
      <c r="H1560" t="s">
        <v>31</v>
      </c>
      <c r="I1560" t="s">
        <v>34</v>
      </c>
      <c r="J1560" t="s">
        <v>42</v>
      </c>
      <c r="K1560" t="s">
        <v>49</v>
      </c>
      <c r="L1560" t="s">
        <v>52</v>
      </c>
      <c r="M1560" s="7">
        <v>31262</v>
      </c>
      <c r="N1560">
        <v>0.02</v>
      </c>
      <c r="O1560" s="7">
        <v>14408</v>
      </c>
      <c r="P1560">
        <v>17</v>
      </c>
      <c r="Q1560" t="s">
        <v>55</v>
      </c>
      <c r="R1560" t="s">
        <v>60</v>
      </c>
      <c r="S1560">
        <f t="shared" si="120"/>
        <v>2025</v>
      </c>
      <c r="T1560" t="str">
        <f t="shared" si="121"/>
        <v>Apr</v>
      </c>
      <c r="U1560">
        <f t="shared" si="122"/>
        <v>6</v>
      </c>
      <c r="V1560">
        <f t="shared" si="123"/>
        <v>10</v>
      </c>
      <c r="W1560" s="9">
        <f t="shared" si="124"/>
        <v>0.46087902245537715</v>
      </c>
    </row>
    <row r="1561" spans="1:23">
      <c r="A1561">
        <v>11560</v>
      </c>
      <c r="B1561" s="5">
        <v>45756</v>
      </c>
      <c r="C1561" s="5">
        <v>45758</v>
      </c>
      <c r="D1561" s="5">
        <v>45761</v>
      </c>
      <c r="E1561" t="s">
        <v>20</v>
      </c>
      <c r="F1561" t="s">
        <v>22</v>
      </c>
      <c r="G1561" t="s">
        <v>27</v>
      </c>
      <c r="H1561" t="s">
        <v>29</v>
      </c>
      <c r="I1561" t="s">
        <v>36</v>
      </c>
      <c r="J1561" t="s">
        <v>38</v>
      </c>
      <c r="K1561" t="s">
        <v>50</v>
      </c>
      <c r="L1561" t="s">
        <v>53</v>
      </c>
      <c r="M1561" s="7">
        <v>19612</v>
      </c>
      <c r="N1561">
        <v>0.25</v>
      </c>
      <c r="O1561" s="7">
        <v>7211</v>
      </c>
      <c r="P1561">
        <v>19</v>
      </c>
      <c r="Q1561" t="s">
        <v>58</v>
      </c>
      <c r="R1561" t="s">
        <v>61</v>
      </c>
      <c r="S1561">
        <f t="shared" si="120"/>
        <v>2025</v>
      </c>
      <c r="T1561" t="str">
        <f t="shared" si="121"/>
        <v>Apr</v>
      </c>
      <c r="U1561">
        <f t="shared" si="122"/>
        <v>2</v>
      </c>
      <c r="V1561">
        <f t="shared" si="123"/>
        <v>5</v>
      </c>
      <c r="W1561" s="9">
        <f t="shared" si="124"/>
        <v>0.36768305119314704</v>
      </c>
    </row>
    <row r="1562" spans="1:23">
      <c r="A1562">
        <v>11561</v>
      </c>
      <c r="B1562" s="5">
        <v>45757</v>
      </c>
      <c r="C1562" s="5">
        <v>45761</v>
      </c>
      <c r="D1562" s="5">
        <v>45764</v>
      </c>
      <c r="E1562" t="s">
        <v>20</v>
      </c>
      <c r="F1562" t="s">
        <v>22</v>
      </c>
      <c r="G1562" t="s">
        <v>27</v>
      </c>
      <c r="H1562" t="s">
        <v>25</v>
      </c>
      <c r="I1562" t="s">
        <v>35</v>
      </c>
      <c r="J1562" t="s">
        <v>37</v>
      </c>
      <c r="K1562" t="s">
        <v>50</v>
      </c>
      <c r="L1562" t="s">
        <v>53</v>
      </c>
      <c r="M1562" s="7">
        <v>31963</v>
      </c>
      <c r="N1562">
        <v>0.04</v>
      </c>
      <c r="O1562" s="7">
        <v>-1839</v>
      </c>
      <c r="P1562">
        <v>10</v>
      </c>
      <c r="Q1562" t="s">
        <v>56</v>
      </c>
      <c r="R1562" t="s">
        <v>61</v>
      </c>
      <c r="S1562">
        <f t="shared" si="120"/>
        <v>2025</v>
      </c>
      <c r="T1562" t="str">
        <f t="shared" si="121"/>
        <v>Apr</v>
      </c>
      <c r="U1562">
        <f t="shared" si="122"/>
        <v>4</v>
      </c>
      <c r="V1562">
        <f t="shared" si="123"/>
        <v>7</v>
      </c>
      <c r="W1562" s="9">
        <f t="shared" si="124"/>
        <v>-5.7535275161905951E-2</v>
      </c>
    </row>
    <row r="1563" spans="1:23">
      <c r="A1563">
        <v>11562</v>
      </c>
      <c r="B1563" s="5">
        <v>45758</v>
      </c>
      <c r="C1563" s="5">
        <v>45763</v>
      </c>
      <c r="D1563" s="5">
        <v>45765</v>
      </c>
      <c r="E1563" t="s">
        <v>20</v>
      </c>
      <c r="F1563" t="s">
        <v>22</v>
      </c>
      <c r="G1563" t="s">
        <v>25</v>
      </c>
      <c r="H1563" t="s">
        <v>31</v>
      </c>
      <c r="I1563" t="s">
        <v>35</v>
      </c>
      <c r="J1563" t="s">
        <v>39</v>
      </c>
      <c r="K1563" t="s">
        <v>44</v>
      </c>
      <c r="L1563" t="s">
        <v>51</v>
      </c>
      <c r="M1563" s="7">
        <v>70227</v>
      </c>
      <c r="N1563">
        <v>0.18</v>
      </c>
      <c r="O1563" s="7">
        <v>10237</v>
      </c>
      <c r="P1563">
        <v>23</v>
      </c>
      <c r="Q1563" t="s">
        <v>54</v>
      </c>
      <c r="R1563" t="s">
        <v>60</v>
      </c>
      <c r="S1563">
        <f t="shared" si="120"/>
        <v>2025</v>
      </c>
      <c r="T1563" t="str">
        <f t="shared" si="121"/>
        <v>Apr</v>
      </c>
      <c r="U1563">
        <f t="shared" si="122"/>
        <v>5</v>
      </c>
      <c r="V1563">
        <f t="shared" si="123"/>
        <v>7</v>
      </c>
      <c r="W1563" s="9">
        <f t="shared" si="124"/>
        <v>0.14577014538567787</v>
      </c>
    </row>
    <row r="1564" spans="1:23">
      <c r="A1564">
        <v>11563</v>
      </c>
      <c r="B1564" s="5">
        <v>45759</v>
      </c>
      <c r="C1564" s="5">
        <v>45763</v>
      </c>
      <c r="D1564" s="5">
        <v>45764</v>
      </c>
      <c r="E1564" t="s">
        <v>21</v>
      </c>
      <c r="F1564" t="s">
        <v>22</v>
      </c>
      <c r="G1564" t="s">
        <v>24</v>
      </c>
      <c r="H1564" t="s">
        <v>31</v>
      </c>
      <c r="I1564" t="s">
        <v>35</v>
      </c>
      <c r="J1564" t="s">
        <v>41</v>
      </c>
      <c r="K1564" t="s">
        <v>50</v>
      </c>
      <c r="L1564" t="s">
        <v>52</v>
      </c>
      <c r="M1564" s="7">
        <v>2488</v>
      </c>
      <c r="N1564">
        <v>0.22</v>
      </c>
      <c r="O1564" s="7">
        <v>5533</v>
      </c>
      <c r="P1564">
        <v>5</v>
      </c>
      <c r="Q1564" t="s">
        <v>54</v>
      </c>
      <c r="R1564" t="s">
        <v>61</v>
      </c>
      <c r="S1564">
        <f t="shared" si="120"/>
        <v>2025</v>
      </c>
      <c r="T1564" t="str">
        <f t="shared" si="121"/>
        <v>Apr</v>
      </c>
      <c r="U1564">
        <f t="shared" si="122"/>
        <v>4</v>
      </c>
      <c r="V1564">
        <f t="shared" si="123"/>
        <v>5</v>
      </c>
      <c r="W1564" s="9">
        <f t="shared" si="124"/>
        <v>2.2238745980707395</v>
      </c>
    </row>
    <row r="1565" spans="1:23">
      <c r="A1565">
        <v>11564</v>
      </c>
      <c r="B1565" s="5">
        <v>45760</v>
      </c>
      <c r="C1565" s="5">
        <v>45765</v>
      </c>
      <c r="D1565" s="5">
        <v>45768</v>
      </c>
      <c r="E1565" t="s">
        <v>20</v>
      </c>
      <c r="F1565" t="s">
        <v>22</v>
      </c>
      <c r="G1565" t="s">
        <v>28</v>
      </c>
      <c r="H1565" t="s">
        <v>31</v>
      </c>
      <c r="I1565" t="s">
        <v>34</v>
      </c>
      <c r="J1565" t="s">
        <v>43</v>
      </c>
      <c r="K1565" t="s">
        <v>45</v>
      </c>
      <c r="L1565" t="s">
        <v>51</v>
      </c>
      <c r="M1565" s="7">
        <v>724</v>
      </c>
      <c r="N1565">
        <v>0.13</v>
      </c>
      <c r="O1565" s="7">
        <v>12392</v>
      </c>
      <c r="P1565">
        <v>14</v>
      </c>
      <c r="Q1565" t="s">
        <v>54</v>
      </c>
      <c r="R1565" t="s">
        <v>61</v>
      </c>
      <c r="S1565">
        <f t="shared" si="120"/>
        <v>2025</v>
      </c>
      <c r="T1565" t="str">
        <f t="shared" si="121"/>
        <v>Apr</v>
      </c>
      <c r="U1565">
        <f t="shared" si="122"/>
        <v>5</v>
      </c>
      <c r="V1565">
        <f t="shared" si="123"/>
        <v>8</v>
      </c>
      <c r="W1565" s="9">
        <f t="shared" si="124"/>
        <v>17.116022099447513</v>
      </c>
    </row>
    <row r="1566" spans="1:23">
      <c r="A1566">
        <v>11565</v>
      </c>
      <c r="B1566" s="5">
        <v>45761</v>
      </c>
      <c r="C1566" s="5">
        <v>45768</v>
      </c>
      <c r="D1566" s="5">
        <v>45770</v>
      </c>
      <c r="E1566" t="s">
        <v>20</v>
      </c>
      <c r="F1566" t="s">
        <v>22</v>
      </c>
      <c r="G1566" t="s">
        <v>27</v>
      </c>
      <c r="H1566" t="s">
        <v>31</v>
      </c>
      <c r="I1566" t="s">
        <v>34</v>
      </c>
      <c r="J1566" t="s">
        <v>42</v>
      </c>
      <c r="K1566" t="s">
        <v>49</v>
      </c>
      <c r="L1566" t="s">
        <v>51</v>
      </c>
      <c r="M1566" s="7">
        <v>4115</v>
      </c>
      <c r="N1566">
        <v>0.35</v>
      </c>
      <c r="O1566" s="7">
        <v>6659</v>
      </c>
      <c r="P1566">
        <v>5</v>
      </c>
      <c r="Q1566" t="s">
        <v>56</v>
      </c>
      <c r="R1566" t="s">
        <v>62</v>
      </c>
      <c r="S1566">
        <f t="shared" si="120"/>
        <v>2025</v>
      </c>
      <c r="T1566" t="str">
        <f t="shared" si="121"/>
        <v>Apr</v>
      </c>
      <c r="U1566">
        <f t="shared" si="122"/>
        <v>7</v>
      </c>
      <c r="V1566">
        <f t="shared" si="123"/>
        <v>9</v>
      </c>
      <c r="W1566" s="9">
        <f t="shared" si="124"/>
        <v>1.6182260024301336</v>
      </c>
    </row>
    <row r="1567" spans="1:23">
      <c r="A1567">
        <v>11566</v>
      </c>
      <c r="B1567" s="5">
        <v>45762</v>
      </c>
      <c r="C1567" s="5">
        <v>45764</v>
      </c>
      <c r="D1567" s="5">
        <v>45766</v>
      </c>
      <c r="E1567" t="s">
        <v>19</v>
      </c>
      <c r="F1567" t="s">
        <v>22</v>
      </c>
      <c r="G1567" t="s">
        <v>24</v>
      </c>
      <c r="H1567" t="s">
        <v>32</v>
      </c>
      <c r="I1567" t="s">
        <v>36</v>
      </c>
      <c r="J1567" t="s">
        <v>37</v>
      </c>
      <c r="K1567" t="s">
        <v>46</v>
      </c>
      <c r="L1567" t="s">
        <v>52</v>
      </c>
      <c r="M1567" s="7">
        <v>18859</v>
      </c>
      <c r="N1567">
        <v>0.28000000000000003</v>
      </c>
      <c r="O1567" s="7">
        <v>2981</v>
      </c>
      <c r="P1567">
        <v>10</v>
      </c>
      <c r="Q1567" t="s">
        <v>58</v>
      </c>
      <c r="R1567" t="s">
        <v>61</v>
      </c>
      <c r="S1567">
        <f t="shared" si="120"/>
        <v>2025</v>
      </c>
      <c r="T1567" t="str">
        <f t="shared" si="121"/>
        <v>Apr</v>
      </c>
      <c r="U1567">
        <f t="shared" si="122"/>
        <v>2</v>
      </c>
      <c r="V1567">
        <f t="shared" si="123"/>
        <v>4</v>
      </c>
      <c r="W1567" s="9">
        <f t="shared" si="124"/>
        <v>0.15806776605334324</v>
      </c>
    </row>
    <row r="1568" spans="1:23">
      <c r="A1568">
        <v>11567</v>
      </c>
      <c r="B1568" s="5">
        <v>45763</v>
      </c>
      <c r="C1568" s="5">
        <v>45769</v>
      </c>
      <c r="D1568" s="5">
        <v>45773</v>
      </c>
      <c r="E1568" t="s">
        <v>19</v>
      </c>
      <c r="F1568" t="s">
        <v>22</v>
      </c>
      <c r="G1568" t="s">
        <v>25</v>
      </c>
      <c r="H1568" t="s">
        <v>33</v>
      </c>
      <c r="I1568" t="s">
        <v>35</v>
      </c>
      <c r="J1568" t="s">
        <v>40</v>
      </c>
      <c r="K1568" t="s">
        <v>47</v>
      </c>
      <c r="L1568" t="s">
        <v>51</v>
      </c>
      <c r="M1568" s="7">
        <v>12498</v>
      </c>
      <c r="N1568">
        <v>0.33</v>
      </c>
      <c r="O1568" s="7">
        <v>8715</v>
      </c>
      <c r="P1568">
        <v>14</v>
      </c>
      <c r="Q1568" t="s">
        <v>54</v>
      </c>
      <c r="R1568" t="s">
        <v>59</v>
      </c>
      <c r="S1568">
        <f t="shared" si="120"/>
        <v>2025</v>
      </c>
      <c r="T1568" t="str">
        <f t="shared" si="121"/>
        <v>Apr</v>
      </c>
      <c r="U1568">
        <f t="shared" si="122"/>
        <v>6</v>
      </c>
      <c r="V1568">
        <f t="shared" si="123"/>
        <v>10</v>
      </c>
      <c r="W1568" s="9">
        <f t="shared" si="124"/>
        <v>0.69731156985117615</v>
      </c>
    </row>
    <row r="1569" spans="1:23">
      <c r="A1569">
        <v>11568</v>
      </c>
      <c r="B1569" s="5">
        <v>45764</v>
      </c>
      <c r="C1569" s="5">
        <v>45766</v>
      </c>
      <c r="D1569" s="5">
        <v>45770</v>
      </c>
      <c r="E1569" t="s">
        <v>21</v>
      </c>
      <c r="F1569" t="s">
        <v>22</v>
      </c>
      <c r="G1569" t="s">
        <v>27</v>
      </c>
      <c r="H1569" t="s">
        <v>31</v>
      </c>
      <c r="I1569" t="s">
        <v>35</v>
      </c>
      <c r="J1569" t="s">
        <v>38</v>
      </c>
      <c r="K1569" t="s">
        <v>48</v>
      </c>
      <c r="L1569" t="s">
        <v>53</v>
      </c>
      <c r="M1569" s="7">
        <v>56192</v>
      </c>
      <c r="N1569">
        <v>0.02</v>
      </c>
      <c r="O1569" s="7">
        <v>-789</v>
      </c>
      <c r="P1569">
        <v>12</v>
      </c>
      <c r="Q1569" t="s">
        <v>58</v>
      </c>
      <c r="R1569" t="s">
        <v>61</v>
      </c>
      <c r="S1569">
        <f t="shared" si="120"/>
        <v>2025</v>
      </c>
      <c r="T1569" t="str">
        <f t="shared" si="121"/>
        <v>Apr</v>
      </c>
      <c r="U1569">
        <f t="shared" si="122"/>
        <v>2</v>
      </c>
      <c r="V1569">
        <f t="shared" si="123"/>
        <v>6</v>
      </c>
      <c r="W1569" s="9">
        <f t="shared" si="124"/>
        <v>-1.404114464692483E-2</v>
      </c>
    </row>
    <row r="1570" spans="1:23">
      <c r="A1570">
        <v>11569</v>
      </c>
      <c r="B1570" s="5">
        <v>45765</v>
      </c>
      <c r="C1570" s="5">
        <v>45768</v>
      </c>
      <c r="D1570" s="5">
        <v>45770</v>
      </c>
      <c r="E1570" t="s">
        <v>19</v>
      </c>
      <c r="F1570" t="s">
        <v>22</v>
      </c>
      <c r="G1570" t="s">
        <v>28</v>
      </c>
      <c r="H1570" t="s">
        <v>25</v>
      </c>
      <c r="I1570" t="s">
        <v>34</v>
      </c>
      <c r="J1570" t="s">
        <v>42</v>
      </c>
      <c r="K1570" t="s">
        <v>45</v>
      </c>
      <c r="L1570" t="s">
        <v>52</v>
      </c>
      <c r="M1570" s="7">
        <v>20563</v>
      </c>
      <c r="N1570">
        <v>0.33</v>
      </c>
      <c r="O1570" s="7">
        <v>17007</v>
      </c>
      <c r="P1570">
        <v>16</v>
      </c>
      <c r="Q1570" t="s">
        <v>56</v>
      </c>
      <c r="R1570" t="s">
        <v>61</v>
      </c>
      <c r="S1570">
        <f t="shared" si="120"/>
        <v>2025</v>
      </c>
      <c r="T1570" t="str">
        <f t="shared" si="121"/>
        <v>Apr</v>
      </c>
      <c r="U1570">
        <f t="shared" si="122"/>
        <v>3</v>
      </c>
      <c r="V1570">
        <f t="shared" si="123"/>
        <v>5</v>
      </c>
      <c r="W1570" s="9">
        <f t="shared" si="124"/>
        <v>0.82706803481982205</v>
      </c>
    </row>
    <row r="1571" spans="1:23">
      <c r="A1571">
        <v>11570</v>
      </c>
      <c r="B1571" s="5">
        <v>45766</v>
      </c>
      <c r="C1571" s="5">
        <v>45772</v>
      </c>
      <c r="D1571" s="5">
        <v>45775</v>
      </c>
      <c r="E1571" t="s">
        <v>21</v>
      </c>
      <c r="F1571" t="s">
        <v>22</v>
      </c>
      <c r="G1571" t="s">
        <v>28</v>
      </c>
      <c r="H1571" t="s">
        <v>29</v>
      </c>
      <c r="I1571" t="s">
        <v>34</v>
      </c>
      <c r="J1571" t="s">
        <v>38</v>
      </c>
      <c r="K1571" t="s">
        <v>44</v>
      </c>
      <c r="L1571" t="s">
        <v>53</v>
      </c>
      <c r="M1571" s="7">
        <v>56429</v>
      </c>
      <c r="N1571">
        <v>0.28999999999999998</v>
      </c>
      <c r="O1571" s="7">
        <v>6121</v>
      </c>
      <c r="P1571">
        <v>4</v>
      </c>
      <c r="Q1571" t="s">
        <v>56</v>
      </c>
      <c r="R1571" t="s">
        <v>61</v>
      </c>
      <c r="S1571">
        <f t="shared" si="120"/>
        <v>2025</v>
      </c>
      <c r="T1571" t="str">
        <f t="shared" si="121"/>
        <v>Apr</v>
      </c>
      <c r="U1571">
        <f t="shared" si="122"/>
        <v>6</v>
      </c>
      <c r="V1571">
        <f t="shared" si="123"/>
        <v>9</v>
      </c>
      <c r="W1571" s="9">
        <f t="shared" si="124"/>
        <v>0.10847259387903382</v>
      </c>
    </row>
    <row r="1572" spans="1:23">
      <c r="A1572">
        <v>11571</v>
      </c>
      <c r="B1572" s="5">
        <v>45767</v>
      </c>
      <c r="C1572" s="5">
        <v>45774</v>
      </c>
      <c r="D1572" s="5">
        <v>45779</v>
      </c>
      <c r="E1572" t="s">
        <v>18</v>
      </c>
      <c r="F1572" t="s">
        <v>22</v>
      </c>
      <c r="G1572" t="s">
        <v>24</v>
      </c>
      <c r="H1572" t="s">
        <v>29</v>
      </c>
      <c r="I1572" t="s">
        <v>36</v>
      </c>
      <c r="J1572" t="s">
        <v>43</v>
      </c>
      <c r="K1572" t="s">
        <v>49</v>
      </c>
      <c r="L1572" t="s">
        <v>53</v>
      </c>
      <c r="M1572" s="7">
        <v>32746</v>
      </c>
      <c r="N1572">
        <v>0.25</v>
      </c>
      <c r="O1572" s="7">
        <v>7165</v>
      </c>
      <c r="P1572">
        <v>7</v>
      </c>
      <c r="Q1572" t="s">
        <v>56</v>
      </c>
      <c r="R1572" t="s">
        <v>60</v>
      </c>
      <c r="S1572">
        <f t="shared" si="120"/>
        <v>2025</v>
      </c>
      <c r="T1572" t="str">
        <f t="shared" si="121"/>
        <v>Apr</v>
      </c>
      <c r="U1572">
        <f t="shared" si="122"/>
        <v>7</v>
      </c>
      <c r="V1572">
        <f t="shared" si="123"/>
        <v>12</v>
      </c>
      <c r="W1572" s="9">
        <f t="shared" si="124"/>
        <v>0.21880535027178893</v>
      </c>
    </row>
    <row r="1573" spans="1:23">
      <c r="A1573">
        <v>11572</v>
      </c>
      <c r="B1573" s="5">
        <v>45768</v>
      </c>
      <c r="C1573" s="5">
        <v>45771</v>
      </c>
      <c r="D1573" s="5">
        <v>45776</v>
      </c>
      <c r="E1573" t="s">
        <v>19</v>
      </c>
      <c r="F1573" t="s">
        <v>22</v>
      </c>
      <c r="G1573" t="s">
        <v>23</v>
      </c>
      <c r="H1573" t="s">
        <v>29</v>
      </c>
      <c r="I1573" t="s">
        <v>36</v>
      </c>
      <c r="J1573" t="s">
        <v>43</v>
      </c>
      <c r="K1573" t="s">
        <v>45</v>
      </c>
      <c r="L1573" t="s">
        <v>51</v>
      </c>
      <c r="M1573" s="7">
        <v>72188</v>
      </c>
      <c r="N1573">
        <v>0.04</v>
      </c>
      <c r="O1573" s="7">
        <v>11885</v>
      </c>
      <c r="P1573">
        <v>3</v>
      </c>
      <c r="Q1573" t="s">
        <v>54</v>
      </c>
      <c r="R1573" t="s">
        <v>59</v>
      </c>
      <c r="S1573">
        <f t="shared" si="120"/>
        <v>2025</v>
      </c>
      <c r="T1573" t="str">
        <f t="shared" si="121"/>
        <v>Apr</v>
      </c>
      <c r="U1573">
        <f t="shared" si="122"/>
        <v>3</v>
      </c>
      <c r="V1573">
        <f t="shared" si="123"/>
        <v>8</v>
      </c>
      <c r="W1573" s="9">
        <f t="shared" si="124"/>
        <v>0.16463955228015736</v>
      </c>
    </row>
    <row r="1574" spans="1:23">
      <c r="A1574">
        <v>11573</v>
      </c>
      <c r="B1574" s="5">
        <v>45769</v>
      </c>
      <c r="C1574" s="5">
        <v>45775</v>
      </c>
      <c r="D1574" s="5">
        <v>45776</v>
      </c>
      <c r="E1574" t="s">
        <v>19</v>
      </c>
      <c r="F1574" t="s">
        <v>22</v>
      </c>
      <c r="G1574" t="s">
        <v>23</v>
      </c>
      <c r="H1574" t="s">
        <v>25</v>
      </c>
      <c r="I1574" t="s">
        <v>35</v>
      </c>
      <c r="J1574" t="s">
        <v>37</v>
      </c>
      <c r="K1574" t="s">
        <v>49</v>
      </c>
      <c r="L1574" t="s">
        <v>52</v>
      </c>
      <c r="M1574" s="7">
        <v>3579</v>
      </c>
      <c r="N1574">
        <v>0.31</v>
      </c>
      <c r="O1574" s="7">
        <v>16870</v>
      </c>
      <c r="P1574">
        <v>2</v>
      </c>
      <c r="Q1574" t="s">
        <v>54</v>
      </c>
      <c r="R1574" t="s">
        <v>62</v>
      </c>
      <c r="S1574">
        <f t="shared" si="120"/>
        <v>2025</v>
      </c>
      <c r="T1574" t="str">
        <f t="shared" si="121"/>
        <v>Apr</v>
      </c>
      <c r="U1574">
        <f t="shared" si="122"/>
        <v>6</v>
      </c>
      <c r="V1574">
        <f t="shared" si="123"/>
        <v>7</v>
      </c>
      <c r="W1574" s="9">
        <f t="shared" si="124"/>
        <v>4.713607152835988</v>
      </c>
    </row>
    <row r="1575" spans="1:23">
      <c r="A1575">
        <v>11574</v>
      </c>
      <c r="B1575" s="5">
        <v>45770</v>
      </c>
      <c r="C1575" s="5">
        <v>45772</v>
      </c>
      <c r="D1575" s="5">
        <v>45777</v>
      </c>
      <c r="E1575" t="s">
        <v>19</v>
      </c>
      <c r="F1575" t="s">
        <v>22</v>
      </c>
      <c r="G1575" t="s">
        <v>28</v>
      </c>
      <c r="H1575" t="s">
        <v>29</v>
      </c>
      <c r="I1575" t="s">
        <v>35</v>
      </c>
      <c r="J1575" t="s">
        <v>39</v>
      </c>
      <c r="K1575" t="s">
        <v>50</v>
      </c>
      <c r="L1575" t="s">
        <v>52</v>
      </c>
      <c r="M1575" s="7">
        <v>25277</v>
      </c>
      <c r="N1575">
        <v>0.4</v>
      </c>
      <c r="O1575" s="7">
        <v>-141</v>
      </c>
      <c r="P1575">
        <v>7</v>
      </c>
      <c r="Q1575" t="s">
        <v>54</v>
      </c>
      <c r="R1575" t="s">
        <v>60</v>
      </c>
      <c r="S1575">
        <f t="shared" si="120"/>
        <v>2025</v>
      </c>
      <c r="T1575" t="str">
        <f t="shared" si="121"/>
        <v>Apr</v>
      </c>
      <c r="U1575">
        <f t="shared" si="122"/>
        <v>2</v>
      </c>
      <c r="V1575">
        <f t="shared" si="123"/>
        <v>7</v>
      </c>
      <c r="W1575" s="9">
        <f t="shared" si="124"/>
        <v>-5.5781936147485858E-3</v>
      </c>
    </row>
    <row r="1576" spans="1:23">
      <c r="A1576">
        <v>11575</v>
      </c>
      <c r="B1576" s="5">
        <v>45771</v>
      </c>
      <c r="C1576" s="5">
        <v>45776</v>
      </c>
      <c r="D1576" s="5">
        <v>45777</v>
      </c>
      <c r="E1576" t="s">
        <v>19</v>
      </c>
      <c r="F1576" t="s">
        <v>22</v>
      </c>
      <c r="G1576" t="s">
        <v>24</v>
      </c>
      <c r="H1576" t="s">
        <v>29</v>
      </c>
      <c r="I1576" t="s">
        <v>35</v>
      </c>
      <c r="J1576" t="s">
        <v>38</v>
      </c>
      <c r="K1576" t="s">
        <v>46</v>
      </c>
      <c r="L1576" t="s">
        <v>51</v>
      </c>
      <c r="M1576" s="7">
        <v>15380</v>
      </c>
      <c r="N1576">
        <v>0.04</v>
      </c>
      <c r="O1576" s="7">
        <v>6690</v>
      </c>
      <c r="P1576">
        <v>15</v>
      </c>
      <c r="Q1576" t="s">
        <v>54</v>
      </c>
      <c r="R1576" t="s">
        <v>62</v>
      </c>
      <c r="S1576">
        <f t="shared" si="120"/>
        <v>2025</v>
      </c>
      <c r="T1576" t="str">
        <f t="shared" si="121"/>
        <v>Apr</v>
      </c>
      <c r="U1576">
        <f t="shared" si="122"/>
        <v>5</v>
      </c>
      <c r="V1576">
        <f t="shared" si="123"/>
        <v>6</v>
      </c>
      <c r="W1576" s="9">
        <f t="shared" si="124"/>
        <v>0.43498049414824447</v>
      </c>
    </row>
    <row r="1577" spans="1:23">
      <c r="A1577">
        <v>11576</v>
      </c>
      <c r="B1577" s="5">
        <v>45772</v>
      </c>
      <c r="C1577" s="5">
        <v>45779</v>
      </c>
      <c r="D1577" s="5">
        <v>45782</v>
      </c>
      <c r="E1577" t="s">
        <v>20</v>
      </c>
      <c r="F1577" t="s">
        <v>22</v>
      </c>
      <c r="G1577" t="s">
        <v>27</v>
      </c>
      <c r="H1577" t="s">
        <v>29</v>
      </c>
      <c r="I1577" t="s">
        <v>34</v>
      </c>
      <c r="J1577" t="s">
        <v>38</v>
      </c>
      <c r="K1577" t="s">
        <v>48</v>
      </c>
      <c r="L1577" t="s">
        <v>52</v>
      </c>
      <c r="M1577" s="7">
        <v>49720</v>
      </c>
      <c r="N1577">
        <v>0.28000000000000003</v>
      </c>
      <c r="O1577" s="7">
        <v>-1297</v>
      </c>
      <c r="P1577">
        <v>1</v>
      </c>
      <c r="Q1577" t="s">
        <v>57</v>
      </c>
      <c r="R1577" t="s">
        <v>59</v>
      </c>
      <c r="S1577">
        <f t="shared" si="120"/>
        <v>2025</v>
      </c>
      <c r="T1577" t="str">
        <f t="shared" si="121"/>
        <v>Apr</v>
      </c>
      <c r="U1577">
        <f t="shared" si="122"/>
        <v>7</v>
      </c>
      <c r="V1577">
        <f t="shared" si="123"/>
        <v>10</v>
      </c>
      <c r="W1577" s="9">
        <f t="shared" si="124"/>
        <v>-2.6086082059533389E-2</v>
      </c>
    </row>
    <row r="1578" spans="1:23">
      <c r="A1578">
        <v>11577</v>
      </c>
      <c r="B1578" s="5">
        <v>45773</v>
      </c>
      <c r="C1578" s="5">
        <v>45776</v>
      </c>
      <c r="D1578" s="5">
        <v>45781</v>
      </c>
      <c r="E1578" t="s">
        <v>18</v>
      </c>
      <c r="F1578" t="s">
        <v>22</v>
      </c>
      <c r="G1578" t="s">
        <v>25</v>
      </c>
      <c r="H1578" t="s">
        <v>29</v>
      </c>
      <c r="I1578" t="s">
        <v>34</v>
      </c>
      <c r="J1578" t="s">
        <v>40</v>
      </c>
      <c r="K1578" t="s">
        <v>45</v>
      </c>
      <c r="L1578" t="s">
        <v>52</v>
      </c>
      <c r="M1578" s="7">
        <v>7912</v>
      </c>
      <c r="N1578">
        <v>0.1</v>
      </c>
      <c r="O1578" s="7">
        <v>16270</v>
      </c>
      <c r="P1578">
        <v>10</v>
      </c>
      <c r="Q1578" t="s">
        <v>56</v>
      </c>
      <c r="R1578" t="s">
        <v>60</v>
      </c>
      <c r="S1578">
        <f t="shared" si="120"/>
        <v>2025</v>
      </c>
      <c r="T1578" t="str">
        <f t="shared" si="121"/>
        <v>Apr</v>
      </c>
      <c r="U1578">
        <f t="shared" si="122"/>
        <v>3</v>
      </c>
      <c r="V1578">
        <f t="shared" si="123"/>
        <v>8</v>
      </c>
      <c r="W1578" s="9">
        <f t="shared" si="124"/>
        <v>2.0563700707785642</v>
      </c>
    </row>
    <row r="1579" spans="1:23">
      <c r="A1579">
        <v>11578</v>
      </c>
      <c r="B1579" s="5">
        <v>45774</v>
      </c>
      <c r="C1579" s="5">
        <v>45780</v>
      </c>
      <c r="D1579" s="5">
        <v>45783</v>
      </c>
      <c r="E1579" t="s">
        <v>20</v>
      </c>
      <c r="F1579" t="s">
        <v>22</v>
      </c>
      <c r="G1579" t="s">
        <v>27</v>
      </c>
      <c r="H1579" t="s">
        <v>29</v>
      </c>
      <c r="I1579" t="s">
        <v>35</v>
      </c>
      <c r="J1579" t="s">
        <v>38</v>
      </c>
      <c r="K1579" t="s">
        <v>47</v>
      </c>
      <c r="L1579" t="s">
        <v>53</v>
      </c>
      <c r="M1579" s="7">
        <v>29484</v>
      </c>
      <c r="N1579">
        <v>0.04</v>
      </c>
      <c r="O1579" s="7">
        <v>7058</v>
      </c>
      <c r="P1579">
        <v>10</v>
      </c>
      <c r="Q1579" t="s">
        <v>54</v>
      </c>
      <c r="R1579" t="s">
        <v>59</v>
      </c>
      <c r="S1579">
        <f t="shared" si="120"/>
        <v>2025</v>
      </c>
      <c r="T1579" t="str">
        <f t="shared" si="121"/>
        <v>Apr</v>
      </c>
      <c r="U1579">
        <f t="shared" si="122"/>
        <v>6</v>
      </c>
      <c r="V1579">
        <f t="shared" si="123"/>
        <v>9</v>
      </c>
      <c r="W1579" s="9">
        <f t="shared" si="124"/>
        <v>0.23938407271740605</v>
      </c>
    </row>
    <row r="1580" spans="1:23">
      <c r="A1580">
        <v>11579</v>
      </c>
      <c r="B1580" s="5">
        <v>45775</v>
      </c>
      <c r="C1580" s="5">
        <v>45781</v>
      </c>
      <c r="D1580" s="5">
        <v>45784</v>
      </c>
      <c r="E1580" t="s">
        <v>20</v>
      </c>
      <c r="F1580" t="s">
        <v>22</v>
      </c>
      <c r="G1580" t="s">
        <v>28</v>
      </c>
      <c r="H1580" t="s">
        <v>31</v>
      </c>
      <c r="I1580" t="s">
        <v>34</v>
      </c>
      <c r="J1580" t="s">
        <v>43</v>
      </c>
      <c r="K1580" t="s">
        <v>44</v>
      </c>
      <c r="L1580" t="s">
        <v>51</v>
      </c>
      <c r="M1580" s="7">
        <v>3946</v>
      </c>
      <c r="N1580">
        <v>0.34</v>
      </c>
      <c r="O1580" s="7">
        <v>10967</v>
      </c>
      <c r="P1580">
        <v>23</v>
      </c>
      <c r="Q1580" t="s">
        <v>55</v>
      </c>
      <c r="R1580" t="s">
        <v>60</v>
      </c>
      <c r="S1580">
        <f t="shared" si="120"/>
        <v>2025</v>
      </c>
      <c r="T1580" t="str">
        <f t="shared" si="121"/>
        <v>Apr</v>
      </c>
      <c r="U1580">
        <f t="shared" si="122"/>
        <v>6</v>
      </c>
      <c r="V1580">
        <f t="shared" si="123"/>
        <v>9</v>
      </c>
      <c r="W1580" s="9">
        <f t="shared" si="124"/>
        <v>2.7792701469842878</v>
      </c>
    </row>
    <row r="1581" spans="1:23">
      <c r="A1581">
        <v>11580</v>
      </c>
      <c r="B1581" s="5">
        <v>45776</v>
      </c>
      <c r="C1581" s="5">
        <v>45778</v>
      </c>
      <c r="D1581" s="5">
        <v>45783</v>
      </c>
      <c r="E1581" t="s">
        <v>18</v>
      </c>
      <c r="F1581" t="s">
        <v>22</v>
      </c>
      <c r="G1581" t="s">
        <v>28</v>
      </c>
      <c r="H1581" t="s">
        <v>29</v>
      </c>
      <c r="I1581" t="s">
        <v>34</v>
      </c>
      <c r="J1581" t="s">
        <v>42</v>
      </c>
      <c r="K1581" t="s">
        <v>50</v>
      </c>
      <c r="L1581" t="s">
        <v>52</v>
      </c>
      <c r="M1581" s="7">
        <v>31276</v>
      </c>
      <c r="N1581">
        <v>0.09</v>
      </c>
      <c r="O1581" s="7">
        <v>14069</v>
      </c>
      <c r="P1581">
        <v>9</v>
      </c>
      <c r="Q1581" t="s">
        <v>54</v>
      </c>
      <c r="R1581" t="s">
        <v>59</v>
      </c>
      <c r="S1581">
        <f t="shared" si="120"/>
        <v>2025</v>
      </c>
      <c r="T1581" t="str">
        <f t="shared" si="121"/>
        <v>Apr</v>
      </c>
      <c r="U1581">
        <f t="shared" si="122"/>
        <v>2</v>
      </c>
      <c r="V1581">
        <f t="shared" si="123"/>
        <v>7</v>
      </c>
      <c r="W1581" s="9">
        <f t="shared" si="124"/>
        <v>0.44983373832970969</v>
      </c>
    </row>
    <row r="1582" spans="1:23">
      <c r="A1582">
        <v>11581</v>
      </c>
      <c r="B1582" s="5">
        <v>45777</v>
      </c>
      <c r="C1582" s="5">
        <v>45784</v>
      </c>
      <c r="D1582" s="5">
        <v>45786</v>
      </c>
      <c r="E1582" t="s">
        <v>20</v>
      </c>
      <c r="F1582" t="s">
        <v>22</v>
      </c>
      <c r="G1582" t="s">
        <v>25</v>
      </c>
      <c r="H1582" t="s">
        <v>30</v>
      </c>
      <c r="I1582" t="s">
        <v>36</v>
      </c>
      <c r="J1582" t="s">
        <v>37</v>
      </c>
      <c r="K1582" t="s">
        <v>50</v>
      </c>
      <c r="L1582" t="s">
        <v>51</v>
      </c>
      <c r="M1582" s="7">
        <v>62094</v>
      </c>
      <c r="N1582">
        <v>0.09</v>
      </c>
      <c r="O1582" s="7">
        <v>5809</v>
      </c>
      <c r="P1582">
        <v>8</v>
      </c>
      <c r="Q1582" t="s">
        <v>54</v>
      </c>
      <c r="R1582" t="s">
        <v>60</v>
      </c>
      <c r="S1582">
        <f t="shared" si="120"/>
        <v>2025</v>
      </c>
      <c r="T1582" t="str">
        <f t="shared" si="121"/>
        <v>Apr</v>
      </c>
      <c r="U1582">
        <f t="shared" si="122"/>
        <v>7</v>
      </c>
      <c r="V1582">
        <f t="shared" si="123"/>
        <v>9</v>
      </c>
      <c r="W1582" s="9">
        <f t="shared" si="124"/>
        <v>9.3551711920636452E-2</v>
      </c>
    </row>
    <row r="1583" spans="1:23">
      <c r="A1583">
        <v>11582</v>
      </c>
      <c r="B1583" s="5">
        <v>45778</v>
      </c>
      <c r="C1583" s="5">
        <v>45783</v>
      </c>
      <c r="D1583" s="5">
        <v>45788</v>
      </c>
      <c r="E1583" t="s">
        <v>19</v>
      </c>
      <c r="F1583" t="s">
        <v>22</v>
      </c>
      <c r="G1583" t="s">
        <v>24</v>
      </c>
      <c r="H1583" t="s">
        <v>31</v>
      </c>
      <c r="I1583" t="s">
        <v>36</v>
      </c>
      <c r="J1583" t="s">
        <v>41</v>
      </c>
      <c r="K1583" t="s">
        <v>50</v>
      </c>
      <c r="L1583" t="s">
        <v>52</v>
      </c>
      <c r="M1583" s="7">
        <v>8126</v>
      </c>
      <c r="N1583">
        <v>0.35</v>
      </c>
      <c r="O1583" s="7">
        <v>18741</v>
      </c>
      <c r="P1583">
        <v>18</v>
      </c>
      <c r="Q1583" t="s">
        <v>56</v>
      </c>
      <c r="R1583" t="s">
        <v>59</v>
      </c>
      <c r="S1583">
        <f t="shared" si="120"/>
        <v>2025</v>
      </c>
      <c r="T1583" t="str">
        <f t="shared" si="121"/>
        <v>May</v>
      </c>
      <c r="U1583">
        <f t="shared" si="122"/>
        <v>5</v>
      </c>
      <c r="V1583">
        <f t="shared" si="123"/>
        <v>10</v>
      </c>
      <c r="W1583" s="9">
        <f t="shared" si="124"/>
        <v>2.3063007629830174</v>
      </c>
    </row>
    <row r="1584" spans="1:23">
      <c r="A1584">
        <v>11583</v>
      </c>
      <c r="B1584" s="5">
        <v>45779</v>
      </c>
      <c r="C1584" s="5">
        <v>45783</v>
      </c>
      <c r="D1584" s="5">
        <v>45787</v>
      </c>
      <c r="E1584" t="s">
        <v>20</v>
      </c>
      <c r="F1584" t="s">
        <v>22</v>
      </c>
      <c r="G1584" t="s">
        <v>24</v>
      </c>
      <c r="H1584" t="s">
        <v>32</v>
      </c>
      <c r="I1584" t="s">
        <v>35</v>
      </c>
      <c r="J1584" t="s">
        <v>43</v>
      </c>
      <c r="K1584" t="s">
        <v>46</v>
      </c>
      <c r="L1584" t="s">
        <v>51</v>
      </c>
      <c r="M1584" s="7">
        <v>3210</v>
      </c>
      <c r="N1584">
        <v>0.39</v>
      </c>
      <c r="O1584" s="7">
        <v>709</v>
      </c>
      <c r="P1584">
        <v>13</v>
      </c>
      <c r="Q1584" t="s">
        <v>55</v>
      </c>
      <c r="R1584" t="s">
        <v>59</v>
      </c>
      <c r="S1584">
        <f t="shared" si="120"/>
        <v>2025</v>
      </c>
      <c r="T1584" t="str">
        <f t="shared" si="121"/>
        <v>May</v>
      </c>
      <c r="U1584">
        <f t="shared" si="122"/>
        <v>4</v>
      </c>
      <c r="V1584">
        <f t="shared" si="123"/>
        <v>8</v>
      </c>
      <c r="W1584" s="9">
        <f t="shared" si="124"/>
        <v>0.22087227414330218</v>
      </c>
    </row>
    <row r="1585" spans="1:23">
      <c r="A1585">
        <v>11584</v>
      </c>
      <c r="B1585" s="5">
        <v>45780</v>
      </c>
      <c r="C1585" s="5">
        <v>45785</v>
      </c>
      <c r="D1585" s="5">
        <v>45788</v>
      </c>
      <c r="E1585" t="s">
        <v>20</v>
      </c>
      <c r="F1585" t="s">
        <v>22</v>
      </c>
      <c r="G1585" t="s">
        <v>24</v>
      </c>
      <c r="H1585" t="s">
        <v>32</v>
      </c>
      <c r="I1585" t="s">
        <v>36</v>
      </c>
      <c r="J1585" t="s">
        <v>39</v>
      </c>
      <c r="K1585" t="s">
        <v>46</v>
      </c>
      <c r="L1585" t="s">
        <v>51</v>
      </c>
      <c r="M1585" s="7">
        <v>24649</v>
      </c>
      <c r="N1585">
        <v>0.28999999999999998</v>
      </c>
      <c r="O1585" s="7">
        <v>2878</v>
      </c>
      <c r="P1585">
        <v>20</v>
      </c>
      <c r="Q1585" t="s">
        <v>56</v>
      </c>
      <c r="R1585" t="s">
        <v>60</v>
      </c>
      <c r="S1585">
        <f t="shared" si="120"/>
        <v>2025</v>
      </c>
      <c r="T1585" t="str">
        <f t="shared" si="121"/>
        <v>May</v>
      </c>
      <c r="U1585">
        <f t="shared" si="122"/>
        <v>5</v>
      </c>
      <c r="V1585">
        <f t="shared" si="123"/>
        <v>8</v>
      </c>
      <c r="W1585" s="9">
        <f t="shared" si="124"/>
        <v>0.11675930058014523</v>
      </c>
    </row>
    <row r="1586" spans="1:23">
      <c r="A1586">
        <v>11585</v>
      </c>
      <c r="B1586" s="5">
        <v>45781</v>
      </c>
      <c r="C1586" s="5">
        <v>45788</v>
      </c>
      <c r="D1586" s="5">
        <v>45792</v>
      </c>
      <c r="E1586" t="s">
        <v>18</v>
      </c>
      <c r="F1586" t="s">
        <v>22</v>
      </c>
      <c r="G1586" t="s">
        <v>26</v>
      </c>
      <c r="H1586" t="s">
        <v>32</v>
      </c>
      <c r="I1586" t="s">
        <v>36</v>
      </c>
      <c r="J1586" t="s">
        <v>37</v>
      </c>
      <c r="K1586" t="s">
        <v>46</v>
      </c>
      <c r="L1586" t="s">
        <v>52</v>
      </c>
      <c r="M1586" s="7">
        <v>23868</v>
      </c>
      <c r="N1586">
        <v>0.18</v>
      </c>
      <c r="O1586" s="7">
        <v>2542</v>
      </c>
      <c r="P1586">
        <v>20</v>
      </c>
      <c r="Q1586" t="s">
        <v>56</v>
      </c>
      <c r="R1586" t="s">
        <v>61</v>
      </c>
      <c r="S1586">
        <f t="shared" si="120"/>
        <v>2025</v>
      </c>
      <c r="T1586" t="str">
        <f t="shared" si="121"/>
        <v>May</v>
      </c>
      <c r="U1586">
        <f t="shared" si="122"/>
        <v>7</v>
      </c>
      <c r="V1586">
        <f t="shared" si="123"/>
        <v>11</v>
      </c>
      <c r="W1586" s="9">
        <f t="shared" si="124"/>
        <v>0.1065024300318418</v>
      </c>
    </row>
    <row r="1587" spans="1:23">
      <c r="A1587">
        <v>11586</v>
      </c>
      <c r="B1587" s="5">
        <v>45782</v>
      </c>
      <c r="C1587" s="5">
        <v>45786</v>
      </c>
      <c r="D1587" s="5">
        <v>45787</v>
      </c>
      <c r="E1587" t="s">
        <v>19</v>
      </c>
      <c r="F1587" t="s">
        <v>22</v>
      </c>
      <c r="G1587" t="s">
        <v>26</v>
      </c>
      <c r="H1587" t="s">
        <v>33</v>
      </c>
      <c r="I1587" t="s">
        <v>36</v>
      </c>
      <c r="J1587" t="s">
        <v>41</v>
      </c>
      <c r="K1587" t="s">
        <v>47</v>
      </c>
      <c r="L1587" t="s">
        <v>51</v>
      </c>
      <c r="M1587" s="7">
        <v>72242</v>
      </c>
      <c r="N1587">
        <v>0.03</v>
      </c>
      <c r="O1587" s="7">
        <v>17223</v>
      </c>
      <c r="P1587">
        <v>2</v>
      </c>
      <c r="Q1587" t="s">
        <v>56</v>
      </c>
      <c r="R1587" t="s">
        <v>62</v>
      </c>
      <c r="S1587">
        <f t="shared" si="120"/>
        <v>2025</v>
      </c>
      <c r="T1587" t="str">
        <f t="shared" si="121"/>
        <v>May</v>
      </c>
      <c r="U1587">
        <f t="shared" si="122"/>
        <v>4</v>
      </c>
      <c r="V1587">
        <f t="shared" si="123"/>
        <v>5</v>
      </c>
      <c r="W1587" s="9">
        <f t="shared" si="124"/>
        <v>0.23840702084659893</v>
      </c>
    </row>
    <row r="1588" spans="1:23">
      <c r="A1588">
        <v>11587</v>
      </c>
      <c r="B1588" s="5">
        <v>45783</v>
      </c>
      <c r="C1588" s="5">
        <v>45790</v>
      </c>
      <c r="D1588" s="5">
        <v>45794</v>
      </c>
      <c r="E1588" t="s">
        <v>21</v>
      </c>
      <c r="F1588" t="s">
        <v>22</v>
      </c>
      <c r="G1588" t="s">
        <v>24</v>
      </c>
      <c r="H1588" t="s">
        <v>30</v>
      </c>
      <c r="I1588" t="s">
        <v>34</v>
      </c>
      <c r="J1588" t="s">
        <v>37</v>
      </c>
      <c r="K1588" t="s">
        <v>45</v>
      </c>
      <c r="L1588" t="s">
        <v>51</v>
      </c>
      <c r="M1588" s="7">
        <v>72488</v>
      </c>
      <c r="N1588">
        <v>0.27</v>
      </c>
      <c r="O1588" s="7">
        <v>7500</v>
      </c>
      <c r="P1588">
        <v>20</v>
      </c>
      <c r="Q1588" t="s">
        <v>58</v>
      </c>
      <c r="R1588" t="s">
        <v>59</v>
      </c>
      <c r="S1588">
        <f t="shared" si="120"/>
        <v>2025</v>
      </c>
      <c r="T1588" t="str">
        <f t="shared" si="121"/>
        <v>May</v>
      </c>
      <c r="U1588">
        <f t="shared" si="122"/>
        <v>7</v>
      </c>
      <c r="V1588">
        <f t="shared" si="123"/>
        <v>11</v>
      </c>
      <c r="W1588" s="9">
        <f t="shared" si="124"/>
        <v>0.1034654011698488</v>
      </c>
    </row>
    <row r="1589" spans="1:23">
      <c r="A1589">
        <v>11588</v>
      </c>
      <c r="B1589" s="5">
        <v>45784</v>
      </c>
      <c r="C1589" s="5">
        <v>45786</v>
      </c>
      <c r="D1589" s="5">
        <v>45790</v>
      </c>
      <c r="E1589" t="s">
        <v>19</v>
      </c>
      <c r="F1589" t="s">
        <v>22</v>
      </c>
      <c r="G1589" t="s">
        <v>23</v>
      </c>
      <c r="H1589" t="s">
        <v>31</v>
      </c>
      <c r="I1589" t="s">
        <v>34</v>
      </c>
      <c r="J1589" t="s">
        <v>38</v>
      </c>
      <c r="K1589" t="s">
        <v>46</v>
      </c>
      <c r="L1589" t="s">
        <v>52</v>
      </c>
      <c r="M1589" s="7">
        <v>49828</v>
      </c>
      <c r="N1589">
        <v>0.33</v>
      </c>
      <c r="O1589" s="7">
        <v>10210</v>
      </c>
      <c r="P1589">
        <v>23</v>
      </c>
      <c r="Q1589" t="s">
        <v>56</v>
      </c>
      <c r="R1589" t="s">
        <v>59</v>
      </c>
      <c r="S1589">
        <f t="shared" si="120"/>
        <v>2025</v>
      </c>
      <c r="T1589" t="str">
        <f t="shared" si="121"/>
        <v>May</v>
      </c>
      <c r="U1589">
        <f t="shared" si="122"/>
        <v>2</v>
      </c>
      <c r="V1589">
        <f t="shared" si="123"/>
        <v>6</v>
      </c>
      <c r="W1589" s="9">
        <f t="shared" si="124"/>
        <v>0.20490487276230232</v>
      </c>
    </row>
    <row r="1590" spans="1:23">
      <c r="A1590">
        <v>11589</v>
      </c>
      <c r="B1590" s="5">
        <v>45785</v>
      </c>
      <c r="C1590" s="5">
        <v>45791</v>
      </c>
      <c r="D1590" s="5">
        <v>45794</v>
      </c>
      <c r="E1590" t="s">
        <v>18</v>
      </c>
      <c r="F1590" t="s">
        <v>22</v>
      </c>
      <c r="G1590" t="s">
        <v>27</v>
      </c>
      <c r="H1590" t="s">
        <v>32</v>
      </c>
      <c r="I1590" t="s">
        <v>34</v>
      </c>
      <c r="J1590" t="s">
        <v>39</v>
      </c>
      <c r="K1590" t="s">
        <v>50</v>
      </c>
      <c r="L1590" t="s">
        <v>52</v>
      </c>
      <c r="M1590" s="7">
        <v>1906</v>
      </c>
      <c r="N1590">
        <v>0.17</v>
      </c>
      <c r="O1590" s="7">
        <v>11109</v>
      </c>
      <c r="P1590">
        <v>6</v>
      </c>
      <c r="Q1590" t="s">
        <v>57</v>
      </c>
      <c r="R1590" t="s">
        <v>62</v>
      </c>
      <c r="S1590">
        <f t="shared" si="120"/>
        <v>2025</v>
      </c>
      <c r="T1590" t="str">
        <f t="shared" si="121"/>
        <v>May</v>
      </c>
      <c r="U1590">
        <f t="shared" si="122"/>
        <v>6</v>
      </c>
      <c r="V1590">
        <f t="shared" si="123"/>
        <v>9</v>
      </c>
      <c r="W1590" s="9">
        <f t="shared" si="124"/>
        <v>5.8284365162644285</v>
      </c>
    </row>
    <row r="1591" spans="1:23">
      <c r="A1591">
        <v>11590</v>
      </c>
      <c r="B1591" s="5">
        <v>45786</v>
      </c>
      <c r="C1591" s="5">
        <v>45793</v>
      </c>
      <c r="D1591" s="5">
        <v>45795</v>
      </c>
      <c r="E1591" t="s">
        <v>18</v>
      </c>
      <c r="F1591" t="s">
        <v>22</v>
      </c>
      <c r="G1591" t="s">
        <v>23</v>
      </c>
      <c r="H1591" t="s">
        <v>25</v>
      </c>
      <c r="I1591" t="s">
        <v>35</v>
      </c>
      <c r="J1591" t="s">
        <v>40</v>
      </c>
      <c r="K1591" t="s">
        <v>46</v>
      </c>
      <c r="L1591" t="s">
        <v>51</v>
      </c>
      <c r="M1591" s="7">
        <v>41146</v>
      </c>
      <c r="N1591">
        <v>0.03</v>
      </c>
      <c r="O1591" s="7">
        <v>7453</v>
      </c>
      <c r="P1591">
        <v>13</v>
      </c>
      <c r="Q1591" t="s">
        <v>56</v>
      </c>
      <c r="R1591" t="s">
        <v>59</v>
      </c>
      <c r="S1591">
        <f t="shared" si="120"/>
        <v>2025</v>
      </c>
      <c r="T1591" t="str">
        <f t="shared" si="121"/>
        <v>May</v>
      </c>
      <c r="U1591">
        <f t="shared" si="122"/>
        <v>7</v>
      </c>
      <c r="V1591">
        <f t="shared" si="123"/>
        <v>9</v>
      </c>
      <c r="W1591" s="9">
        <f t="shared" si="124"/>
        <v>0.18113546881835416</v>
      </c>
    </row>
    <row r="1592" spans="1:23">
      <c r="A1592">
        <v>11591</v>
      </c>
      <c r="B1592" s="5">
        <v>45787</v>
      </c>
      <c r="C1592" s="5">
        <v>45790</v>
      </c>
      <c r="D1592" s="5">
        <v>45793</v>
      </c>
      <c r="E1592" t="s">
        <v>19</v>
      </c>
      <c r="F1592" t="s">
        <v>22</v>
      </c>
      <c r="G1592" t="s">
        <v>26</v>
      </c>
      <c r="H1592" t="s">
        <v>25</v>
      </c>
      <c r="I1592" t="s">
        <v>34</v>
      </c>
      <c r="J1592" t="s">
        <v>37</v>
      </c>
      <c r="K1592" t="s">
        <v>47</v>
      </c>
      <c r="L1592" t="s">
        <v>52</v>
      </c>
      <c r="M1592" s="7">
        <v>51450</v>
      </c>
      <c r="N1592">
        <v>0.17</v>
      </c>
      <c r="O1592" s="7">
        <v>7200</v>
      </c>
      <c r="P1592">
        <v>17</v>
      </c>
      <c r="Q1592" t="s">
        <v>57</v>
      </c>
      <c r="R1592" t="s">
        <v>60</v>
      </c>
      <c r="S1592">
        <f t="shared" si="120"/>
        <v>2025</v>
      </c>
      <c r="T1592" t="str">
        <f t="shared" si="121"/>
        <v>May</v>
      </c>
      <c r="U1592">
        <f t="shared" si="122"/>
        <v>3</v>
      </c>
      <c r="V1592">
        <f t="shared" si="123"/>
        <v>6</v>
      </c>
      <c r="W1592" s="9">
        <f t="shared" si="124"/>
        <v>0.13994169096209913</v>
      </c>
    </row>
    <row r="1593" spans="1:23">
      <c r="A1593">
        <v>11592</v>
      </c>
      <c r="B1593" s="5">
        <v>45788</v>
      </c>
      <c r="C1593" s="5">
        <v>45794</v>
      </c>
      <c r="D1593" s="5">
        <v>45799</v>
      </c>
      <c r="E1593" t="s">
        <v>21</v>
      </c>
      <c r="F1593" t="s">
        <v>22</v>
      </c>
      <c r="G1593" t="s">
        <v>27</v>
      </c>
      <c r="H1593" t="s">
        <v>32</v>
      </c>
      <c r="I1593" t="s">
        <v>35</v>
      </c>
      <c r="J1593" t="s">
        <v>39</v>
      </c>
      <c r="K1593" t="s">
        <v>49</v>
      </c>
      <c r="L1593" t="s">
        <v>51</v>
      </c>
      <c r="M1593" s="7">
        <v>21173</v>
      </c>
      <c r="N1593">
        <v>0.03</v>
      </c>
      <c r="O1593" s="7">
        <v>17026</v>
      </c>
      <c r="P1593">
        <v>21</v>
      </c>
      <c r="Q1593" t="s">
        <v>55</v>
      </c>
      <c r="R1593" t="s">
        <v>61</v>
      </c>
      <c r="S1593">
        <f t="shared" si="120"/>
        <v>2025</v>
      </c>
      <c r="T1593" t="str">
        <f t="shared" si="121"/>
        <v>May</v>
      </c>
      <c r="U1593">
        <f t="shared" si="122"/>
        <v>6</v>
      </c>
      <c r="V1593">
        <f t="shared" si="123"/>
        <v>11</v>
      </c>
      <c r="W1593" s="9">
        <f t="shared" si="124"/>
        <v>0.80413734473149767</v>
      </c>
    </row>
    <row r="1594" spans="1:23">
      <c r="A1594">
        <v>11593</v>
      </c>
      <c r="B1594" s="5">
        <v>45789</v>
      </c>
      <c r="C1594" s="5">
        <v>45796</v>
      </c>
      <c r="D1594" s="5">
        <v>45799</v>
      </c>
      <c r="E1594" t="s">
        <v>20</v>
      </c>
      <c r="F1594" t="s">
        <v>22</v>
      </c>
      <c r="G1594" t="s">
        <v>24</v>
      </c>
      <c r="H1594" t="s">
        <v>32</v>
      </c>
      <c r="I1594" t="s">
        <v>34</v>
      </c>
      <c r="J1594" t="s">
        <v>41</v>
      </c>
      <c r="K1594" t="s">
        <v>45</v>
      </c>
      <c r="L1594" t="s">
        <v>53</v>
      </c>
      <c r="M1594" s="7">
        <v>21357</v>
      </c>
      <c r="N1594">
        <v>0.06</v>
      </c>
      <c r="O1594" s="7">
        <v>11622</v>
      </c>
      <c r="P1594">
        <v>14</v>
      </c>
      <c r="Q1594" t="s">
        <v>54</v>
      </c>
      <c r="R1594" t="s">
        <v>59</v>
      </c>
      <c r="S1594">
        <f t="shared" si="120"/>
        <v>2025</v>
      </c>
      <c r="T1594" t="str">
        <f t="shared" si="121"/>
        <v>May</v>
      </c>
      <c r="U1594">
        <f t="shared" si="122"/>
        <v>7</v>
      </c>
      <c r="V1594">
        <f t="shared" si="123"/>
        <v>10</v>
      </c>
      <c r="W1594" s="9">
        <f t="shared" si="124"/>
        <v>0.54417755302711057</v>
      </c>
    </row>
    <row r="1595" spans="1:23">
      <c r="A1595">
        <v>11594</v>
      </c>
      <c r="B1595" s="5">
        <v>45790</v>
      </c>
      <c r="C1595" s="5">
        <v>45793</v>
      </c>
      <c r="D1595" s="5">
        <v>45796</v>
      </c>
      <c r="E1595" t="s">
        <v>20</v>
      </c>
      <c r="F1595" t="s">
        <v>22</v>
      </c>
      <c r="G1595" t="s">
        <v>28</v>
      </c>
      <c r="H1595" t="s">
        <v>30</v>
      </c>
      <c r="I1595" t="s">
        <v>35</v>
      </c>
      <c r="J1595" t="s">
        <v>40</v>
      </c>
      <c r="K1595" t="s">
        <v>46</v>
      </c>
      <c r="L1595" t="s">
        <v>53</v>
      </c>
      <c r="M1595" s="7">
        <v>34874</v>
      </c>
      <c r="N1595">
        <v>0.09</v>
      </c>
      <c r="O1595" s="7">
        <v>-946</v>
      </c>
      <c r="P1595">
        <v>17</v>
      </c>
      <c r="Q1595" t="s">
        <v>58</v>
      </c>
      <c r="R1595" t="s">
        <v>59</v>
      </c>
      <c r="S1595">
        <f t="shared" si="120"/>
        <v>2025</v>
      </c>
      <c r="T1595" t="str">
        <f t="shared" si="121"/>
        <v>May</v>
      </c>
      <c r="U1595">
        <f t="shared" si="122"/>
        <v>3</v>
      </c>
      <c r="V1595">
        <f t="shared" si="123"/>
        <v>6</v>
      </c>
      <c r="W1595" s="9">
        <f t="shared" si="124"/>
        <v>-2.7126225841601192E-2</v>
      </c>
    </row>
    <row r="1596" spans="1:23">
      <c r="A1596">
        <v>11595</v>
      </c>
      <c r="B1596" s="5">
        <v>45791</v>
      </c>
      <c r="C1596" s="5">
        <v>45793</v>
      </c>
      <c r="D1596" s="5">
        <v>45797</v>
      </c>
      <c r="E1596" t="s">
        <v>19</v>
      </c>
      <c r="F1596" t="s">
        <v>22</v>
      </c>
      <c r="G1596" t="s">
        <v>23</v>
      </c>
      <c r="H1596" t="s">
        <v>31</v>
      </c>
      <c r="I1596" t="s">
        <v>36</v>
      </c>
      <c r="J1596" t="s">
        <v>41</v>
      </c>
      <c r="K1596" t="s">
        <v>47</v>
      </c>
      <c r="L1596" t="s">
        <v>51</v>
      </c>
      <c r="M1596" s="7">
        <v>59438</v>
      </c>
      <c r="N1596">
        <v>0.27</v>
      </c>
      <c r="O1596" s="7">
        <v>17382</v>
      </c>
      <c r="P1596">
        <v>21</v>
      </c>
      <c r="Q1596" t="s">
        <v>54</v>
      </c>
      <c r="R1596" t="s">
        <v>61</v>
      </c>
      <c r="S1596">
        <f t="shared" si="120"/>
        <v>2025</v>
      </c>
      <c r="T1596" t="str">
        <f t="shared" si="121"/>
        <v>May</v>
      </c>
      <c r="U1596">
        <f t="shared" si="122"/>
        <v>2</v>
      </c>
      <c r="V1596">
        <f t="shared" si="123"/>
        <v>6</v>
      </c>
      <c r="W1596" s="9">
        <f t="shared" si="124"/>
        <v>0.29243918032235272</v>
      </c>
    </row>
    <row r="1597" spans="1:23">
      <c r="A1597">
        <v>11596</v>
      </c>
      <c r="B1597" s="5">
        <v>45792</v>
      </c>
      <c r="C1597" s="5">
        <v>45796</v>
      </c>
      <c r="D1597" s="5">
        <v>45799</v>
      </c>
      <c r="E1597" t="s">
        <v>20</v>
      </c>
      <c r="F1597" t="s">
        <v>22</v>
      </c>
      <c r="G1597" t="s">
        <v>26</v>
      </c>
      <c r="H1597" t="s">
        <v>30</v>
      </c>
      <c r="I1597" t="s">
        <v>36</v>
      </c>
      <c r="J1597" t="s">
        <v>37</v>
      </c>
      <c r="K1597" t="s">
        <v>49</v>
      </c>
      <c r="L1597" t="s">
        <v>52</v>
      </c>
      <c r="M1597" s="7">
        <v>23564</v>
      </c>
      <c r="N1597">
        <v>0.18</v>
      </c>
      <c r="O1597" s="7">
        <v>11309</v>
      </c>
      <c r="P1597">
        <v>12</v>
      </c>
      <c r="Q1597" t="s">
        <v>57</v>
      </c>
      <c r="R1597" t="s">
        <v>60</v>
      </c>
      <c r="S1597">
        <f t="shared" si="120"/>
        <v>2025</v>
      </c>
      <c r="T1597" t="str">
        <f t="shared" si="121"/>
        <v>May</v>
      </c>
      <c r="U1597">
        <f t="shared" si="122"/>
        <v>4</v>
      </c>
      <c r="V1597">
        <f t="shared" si="123"/>
        <v>7</v>
      </c>
      <c r="W1597" s="9">
        <f t="shared" si="124"/>
        <v>0.47992700729927007</v>
      </c>
    </row>
    <row r="1598" spans="1:23">
      <c r="A1598">
        <v>11597</v>
      </c>
      <c r="B1598" s="5">
        <v>45793</v>
      </c>
      <c r="C1598" s="5">
        <v>45798</v>
      </c>
      <c r="D1598" s="5">
        <v>45803</v>
      </c>
      <c r="E1598" t="s">
        <v>19</v>
      </c>
      <c r="F1598" t="s">
        <v>22</v>
      </c>
      <c r="G1598" t="s">
        <v>27</v>
      </c>
      <c r="H1598" t="s">
        <v>31</v>
      </c>
      <c r="I1598" t="s">
        <v>35</v>
      </c>
      <c r="J1598" t="s">
        <v>43</v>
      </c>
      <c r="K1598" t="s">
        <v>44</v>
      </c>
      <c r="L1598" t="s">
        <v>51</v>
      </c>
      <c r="M1598" s="7">
        <v>3970</v>
      </c>
      <c r="N1598">
        <v>0.28999999999999998</v>
      </c>
      <c r="O1598" s="7">
        <v>3217</v>
      </c>
      <c r="P1598">
        <v>14</v>
      </c>
      <c r="Q1598" t="s">
        <v>56</v>
      </c>
      <c r="R1598" t="s">
        <v>62</v>
      </c>
      <c r="S1598">
        <f t="shared" si="120"/>
        <v>2025</v>
      </c>
      <c r="T1598" t="str">
        <f t="shared" si="121"/>
        <v>May</v>
      </c>
      <c r="U1598">
        <f t="shared" si="122"/>
        <v>5</v>
      </c>
      <c r="V1598">
        <f t="shared" si="123"/>
        <v>10</v>
      </c>
      <c r="W1598" s="9">
        <f t="shared" si="124"/>
        <v>0.81032745591939548</v>
      </c>
    </row>
    <row r="1599" spans="1:23">
      <c r="A1599">
        <v>11598</v>
      </c>
      <c r="B1599" s="5">
        <v>45794</v>
      </c>
      <c r="C1599" s="5">
        <v>45799</v>
      </c>
      <c r="D1599" s="5">
        <v>45804</v>
      </c>
      <c r="E1599" t="s">
        <v>19</v>
      </c>
      <c r="F1599" t="s">
        <v>22</v>
      </c>
      <c r="G1599" t="s">
        <v>28</v>
      </c>
      <c r="H1599" t="s">
        <v>29</v>
      </c>
      <c r="I1599" t="s">
        <v>36</v>
      </c>
      <c r="J1599" t="s">
        <v>41</v>
      </c>
      <c r="K1599" t="s">
        <v>50</v>
      </c>
      <c r="L1599" t="s">
        <v>53</v>
      </c>
      <c r="M1599" s="7">
        <v>35040</v>
      </c>
      <c r="N1599">
        <v>0.33</v>
      </c>
      <c r="O1599" s="7">
        <v>3123</v>
      </c>
      <c r="P1599">
        <v>7</v>
      </c>
      <c r="Q1599" t="s">
        <v>56</v>
      </c>
      <c r="R1599" t="s">
        <v>61</v>
      </c>
      <c r="S1599">
        <f t="shared" si="120"/>
        <v>2025</v>
      </c>
      <c r="T1599" t="str">
        <f t="shared" si="121"/>
        <v>May</v>
      </c>
      <c r="U1599">
        <f t="shared" si="122"/>
        <v>5</v>
      </c>
      <c r="V1599">
        <f t="shared" si="123"/>
        <v>10</v>
      </c>
      <c r="W1599" s="9">
        <f t="shared" si="124"/>
        <v>8.9126712328767121E-2</v>
      </c>
    </row>
    <row r="1600" spans="1:23">
      <c r="A1600">
        <v>11599</v>
      </c>
      <c r="B1600" s="5">
        <v>45795</v>
      </c>
      <c r="C1600" s="5">
        <v>45799</v>
      </c>
      <c r="D1600" s="5">
        <v>45800</v>
      </c>
      <c r="E1600" t="s">
        <v>18</v>
      </c>
      <c r="F1600" t="s">
        <v>22</v>
      </c>
      <c r="G1600" t="s">
        <v>27</v>
      </c>
      <c r="H1600" t="s">
        <v>31</v>
      </c>
      <c r="I1600" t="s">
        <v>36</v>
      </c>
      <c r="J1600" t="s">
        <v>39</v>
      </c>
      <c r="K1600" t="s">
        <v>49</v>
      </c>
      <c r="L1600" t="s">
        <v>53</v>
      </c>
      <c r="M1600" s="7">
        <v>24750</v>
      </c>
      <c r="N1600">
        <v>0.28000000000000003</v>
      </c>
      <c r="O1600" s="7">
        <v>11850</v>
      </c>
      <c r="P1600">
        <v>9</v>
      </c>
      <c r="Q1600" t="s">
        <v>54</v>
      </c>
      <c r="R1600" t="s">
        <v>61</v>
      </c>
      <c r="S1600">
        <f t="shared" si="120"/>
        <v>2025</v>
      </c>
      <c r="T1600" t="str">
        <f t="shared" si="121"/>
        <v>May</v>
      </c>
      <c r="U1600">
        <f t="shared" si="122"/>
        <v>4</v>
      </c>
      <c r="V1600">
        <f t="shared" si="123"/>
        <v>5</v>
      </c>
      <c r="W1600" s="9">
        <f t="shared" si="124"/>
        <v>0.47878787878787876</v>
      </c>
    </row>
    <row r="1601" spans="1:23">
      <c r="A1601">
        <v>11600</v>
      </c>
      <c r="B1601" s="5">
        <v>45796</v>
      </c>
      <c r="C1601" s="5">
        <v>45799</v>
      </c>
      <c r="D1601" s="5">
        <v>45801</v>
      </c>
      <c r="E1601" t="s">
        <v>20</v>
      </c>
      <c r="F1601" t="s">
        <v>22</v>
      </c>
      <c r="G1601" t="s">
        <v>27</v>
      </c>
      <c r="H1601" t="s">
        <v>29</v>
      </c>
      <c r="I1601" t="s">
        <v>34</v>
      </c>
      <c r="J1601" t="s">
        <v>43</v>
      </c>
      <c r="K1601" t="s">
        <v>44</v>
      </c>
      <c r="L1601" t="s">
        <v>53</v>
      </c>
      <c r="M1601" s="7">
        <v>67331</v>
      </c>
      <c r="N1601">
        <v>0.09</v>
      </c>
      <c r="O1601" s="7">
        <v>6725</v>
      </c>
      <c r="P1601">
        <v>14</v>
      </c>
      <c r="Q1601" t="s">
        <v>58</v>
      </c>
      <c r="R1601" t="s">
        <v>62</v>
      </c>
      <c r="S1601">
        <f t="shared" si="120"/>
        <v>2025</v>
      </c>
      <c r="T1601" t="str">
        <f t="shared" si="121"/>
        <v>May</v>
      </c>
      <c r="U1601">
        <f t="shared" si="122"/>
        <v>3</v>
      </c>
      <c r="V1601">
        <f t="shared" si="123"/>
        <v>5</v>
      </c>
      <c r="W1601" s="9">
        <f t="shared" si="124"/>
        <v>9.9879698801443609E-2</v>
      </c>
    </row>
    <row r="1602" spans="1:23">
      <c r="A1602">
        <v>11601</v>
      </c>
      <c r="B1602" s="5">
        <v>45797</v>
      </c>
      <c r="C1602" s="5">
        <v>45801</v>
      </c>
      <c r="D1602" s="5">
        <v>45806</v>
      </c>
      <c r="E1602" t="s">
        <v>20</v>
      </c>
      <c r="F1602" t="s">
        <v>22</v>
      </c>
      <c r="G1602" t="s">
        <v>25</v>
      </c>
      <c r="H1602" t="s">
        <v>32</v>
      </c>
      <c r="I1602" t="s">
        <v>35</v>
      </c>
      <c r="J1602" t="s">
        <v>38</v>
      </c>
      <c r="K1602" t="s">
        <v>45</v>
      </c>
      <c r="L1602" t="s">
        <v>51</v>
      </c>
      <c r="M1602" s="7">
        <v>8432</v>
      </c>
      <c r="N1602">
        <v>0.18</v>
      </c>
      <c r="O1602" s="7">
        <v>2186</v>
      </c>
      <c r="P1602">
        <v>9</v>
      </c>
      <c r="Q1602" t="s">
        <v>54</v>
      </c>
      <c r="R1602" t="s">
        <v>61</v>
      </c>
      <c r="S1602">
        <f t="shared" si="120"/>
        <v>2025</v>
      </c>
      <c r="T1602" t="str">
        <f t="shared" si="121"/>
        <v>May</v>
      </c>
      <c r="U1602">
        <f t="shared" si="122"/>
        <v>4</v>
      </c>
      <c r="V1602">
        <f t="shared" si="123"/>
        <v>9</v>
      </c>
      <c r="W1602" s="9">
        <f t="shared" si="124"/>
        <v>0.25925047438330173</v>
      </c>
    </row>
    <row r="1603" spans="1:23">
      <c r="A1603">
        <v>11602</v>
      </c>
      <c r="B1603" s="5">
        <v>45798</v>
      </c>
      <c r="C1603" s="5">
        <v>45805</v>
      </c>
      <c r="D1603" s="5">
        <v>45809</v>
      </c>
      <c r="E1603" t="s">
        <v>18</v>
      </c>
      <c r="F1603" t="s">
        <v>22</v>
      </c>
      <c r="G1603" t="s">
        <v>23</v>
      </c>
      <c r="H1603" t="s">
        <v>25</v>
      </c>
      <c r="I1603" t="s">
        <v>34</v>
      </c>
      <c r="J1603" t="s">
        <v>40</v>
      </c>
      <c r="K1603" t="s">
        <v>46</v>
      </c>
      <c r="L1603" t="s">
        <v>53</v>
      </c>
      <c r="M1603" s="7">
        <v>71533</v>
      </c>
      <c r="N1603">
        <v>0.34</v>
      </c>
      <c r="O1603" s="7">
        <v>19116</v>
      </c>
      <c r="P1603">
        <v>11</v>
      </c>
      <c r="Q1603" t="s">
        <v>54</v>
      </c>
      <c r="R1603" t="s">
        <v>59</v>
      </c>
      <c r="S1603">
        <f t="shared" ref="S1603:S1666" si="125">YEAR(B1603)</f>
        <v>2025</v>
      </c>
      <c r="T1603" t="str">
        <f t="shared" ref="T1603:T1666" si="126">TEXT(B1603,"mmm")</f>
        <v>May</v>
      </c>
      <c r="U1603">
        <f t="shared" ref="U1603:U1666" si="127">C1603-B1603</f>
        <v>7</v>
      </c>
      <c r="V1603">
        <f t="shared" ref="V1603:V1666" si="128">D1603-B1603</f>
        <v>11</v>
      </c>
      <c r="W1603" s="9">
        <f t="shared" ref="W1603:W1666" si="129">IFERROR(O1603/M1603,0)</f>
        <v>0.26723330490822417</v>
      </c>
    </row>
    <row r="1604" spans="1:23">
      <c r="A1604">
        <v>11603</v>
      </c>
      <c r="B1604" s="5">
        <v>45799</v>
      </c>
      <c r="C1604" s="5">
        <v>45806</v>
      </c>
      <c r="D1604" s="5">
        <v>45810</v>
      </c>
      <c r="E1604" t="s">
        <v>20</v>
      </c>
      <c r="F1604" t="s">
        <v>22</v>
      </c>
      <c r="G1604" t="s">
        <v>27</v>
      </c>
      <c r="H1604" t="s">
        <v>33</v>
      </c>
      <c r="I1604" t="s">
        <v>35</v>
      </c>
      <c r="J1604" t="s">
        <v>43</v>
      </c>
      <c r="K1604" t="s">
        <v>50</v>
      </c>
      <c r="L1604" t="s">
        <v>52</v>
      </c>
      <c r="M1604" s="7">
        <v>53416</v>
      </c>
      <c r="N1604">
        <v>0.02</v>
      </c>
      <c r="O1604" s="7">
        <v>16956</v>
      </c>
      <c r="P1604">
        <v>8</v>
      </c>
      <c r="Q1604" t="s">
        <v>57</v>
      </c>
      <c r="R1604" t="s">
        <v>61</v>
      </c>
      <c r="S1604">
        <f t="shared" si="125"/>
        <v>2025</v>
      </c>
      <c r="T1604" t="str">
        <f t="shared" si="126"/>
        <v>May</v>
      </c>
      <c r="U1604">
        <f t="shared" si="127"/>
        <v>7</v>
      </c>
      <c r="V1604">
        <f t="shared" si="128"/>
        <v>11</v>
      </c>
      <c r="W1604" s="9">
        <f t="shared" si="129"/>
        <v>0.31743297888273175</v>
      </c>
    </row>
    <row r="1605" spans="1:23">
      <c r="A1605">
        <v>11604</v>
      </c>
      <c r="B1605" s="5">
        <v>45800</v>
      </c>
      <c r="C1605" s="5">
        <v>45803</v>
      </c>
      <c r="D1605" s="5">
        <v>45807</v>
      </c>
      <c r="E1605" t="s">
        <v>19</v>
      </c>
      <c r="F1605" t="s">
        <v>22</v>
      </c>
      <c r="G1605" t="s">
        <v>24</v>
      </c>
      <c r="H1605" t="s">
        <v>32</v>
      </c>
      <c r="I1605" t="s">
        <v>36</v>
      </c>
      <c r="J1605" t="s">
        <v>39</v>
      </c>
      <c r="K1605" t="s">
        <v>46</v>
      </c>
      <c r="L1605" t="s">
        <v>52</v>
      </c>
      <c r="M1605" s="7">
        <v>71812</v>
      </c>
      <c r="N1605">
        <v>0.25</v>
      </c>
      <c r="O1605" s="7">
        <v>15743</v>
      </c>
      <c r="P1605">
        <v>17</v>
      </c>
      <c r="Q1605" t="s">
        <v>58</v>
      </c>
      <c r="R1605" t="s">
        <v>59</v>
      </c>
      <c r="S1605">
        <f t="shared" si="125"/>
        <v>2025</v>
      </c>
      <c r="T1605" t="str">
        <f t="shared" si="126"/>
        <v>May</v>
      </c>
      <c r="U1605">
        <f t="shared" si="127"/>
        <v>3</v>
      </c>
      <c r="V1605">
        <f t="shared" si="128"/>
        <v>7</v>
      </c>
      <c r="W1605" s="9">
        <f t="shared" si="129"/>
        <v>0.21922519913106445</v>
      </c>
    </row>
    <row r="1606" spans="1:23">
      <c r="A1606">
        <v>11605</v>
      </c>
      <c r="B1606" s="5">
        <v>45801</v>
      </c>
      <c r="C1606" s="5">
        <v>45808</v>
      </c>
      <c r="D1606" s="5">
        <v>45810</v>
      </c>
      <c r="E1606" t="s">
        <v>20</v>
      </c>
      <c r="F1606" t="s">
        <v>22</v>
      </c>
      <c r="G1606" t="s">
        <v>27</v>
      </c>
      <c r="H1606" t="s">
        <v>33</v>
      </c>
      <c r="I1606" t="s">
        <v>34</v>
      </c>
      <c r="J1606" t="s">
        <v>42</v>
      </c>
      <c r="K1606" t="s">
        <v>44</v>
      </c>
      <c r="L1606" t="s">
        <v>51</v>
      </c>
      <c r="M1606" s="7">
        <v>15064</v>
      </c>
      <c r="N1606">
        <v>0.04</v>
      </c>
      <c r="O1606" s="7">
        <v>19271</v>
      </c>
      <c r="P1606">
        <v>18</v>
      </c>
      <c r="Q1606" t="s">
        <v>54</v>
      </c>
      <c r="R1606" t="s">
        <v>61</v>
      </c>
      <c r="S1606">
        <f t="shared" si="125"/>
        <v>2025</v>
      </c>
      <c r="T1606" t="str">
        <f t="shared" si="126"/>
        <v>May</v>
      </c>
      <c r="U1606">
        <f t="shared" si="127"/>
        <v>7</v>
      </c>
      <c r="V1606">
        <f t="shared" si="128"/>
        <v>9</v>
      </c>
      <c r="W1606" s="9">
        <f t="shared" si="129"/>
        <v>1.2792750929368031</v>
      </c>
    </row>
    <row r="1607" spans="1:23">
      <c r="A1607">
        <v>11606</v>
      </c>
      <c r="B1607" s="5">
        <v>45802</v>
      </c>
      <c r="C1607" s="5">
        <v>45809</v>
      </c>
      <c r="D1607" s="5">
        <v>45810</v>
      </c>
      <c r="E1607" t="s">
        <v>20</v>
      </c>
      <c r="F1607" t="s">
        <v>22</v>
      </c>
      <c r="G1607" t="s">
        <v>25</v>
      </c>
      <c r="H1607" t="s">
        <v>29</v>
      </c>
      <c r="I1607" t="s">
        <v>34</v>
      </c>
      <c r="J1607" t="s">
        <v>39</v>
      </c>
      <c r="K1607" t="s">
        <v>44</v>
      </c>
      <c r="L1607" t="s">
        <v>52</v>
      </c>
      <c r="M1607" s="7">
        <v>37116</v>
      </c>
      <c r="N1607">
        <v>0.32</v>
      </c>
      <c r="O1607" s="7">
        <v>8174</v>
      </c>
      <c r="P1607">
        <v>7</v>
      </c>
      <c r="Q1607" t="s">
        <v>55</v>
      </c>
      <c r="R1607" t="s">
        <v>59</v>
      </c>
      <c r="S1607">
        <f t="shared" si="125"/>
        <v>2025</v>
      </c>
      <c r="T1607" t="str">
        <f t="shared" si="126"/>
        <v>May</v>
      </c>
      <c r="U1607">
        <f t="shared" si="127"/>
        <v>7</v>
      </c>
      <c r="V1607">
        <f t="shared" si="128"/>
        <v>8</v>
      </c>
      <c r="W1607" s="9">
        <f t="shared" si="129"/>
        <v>0.22022847289578618</v>
      </c>
    </row>
    <row r="1608" spans="1:23">
      <c r="A1608">
        <v>11607</v>
      </c>
      <c r="B1608" s="5">
        <v>45803</v>
      </c>
      <c r="C1608" s="5">
        <v>45807</v>
      </c>
      <c r="D1608" s="5">
        <v>45809</v>
      </c>
      <c r="E1608" t="s">
        <v>19</v>
      </c>
      <c r="F1608" t="s">
        <v>22</v>
      </c>
      <c r="G1608" t="s">
        <v>26</v>
      </c>
      <c r="H1608" t="s">
        <v>29</v>
      </c>
      <c r="I1608" t="s">
        <v>34</v>
      </c>
      <c r="J1608" t="s">
        <v>38</v>
      </c>
      <c r="K1608" t="s">
        <v>47</v>
      </c>
      <c r="L1608" t="s">
        <v>53</v>
      </c>
      <c r="M1608" s="7">
        <v>51380</v>
      </c>
      <c r="N1608">
        <v>0.02</v>
      </c>
      <c r="O1608" s="7">
        <v>7538</v>
      </c>
      <c r="P1608">
        <v>4</v>
      </c>
      <c r="Q1608" t="s">
        <v>54</v>
      </c>
      <c r="R1608" t="s">
        <v>60</v>
      </c>
      <c r="S1608">
        <f t="shared" si="125"/>
        <v>2025</v>
      </c>
      <c r="T1608" t="str">
        <f t="shared" si="126"/>
        <v>May</v>
      </c>
      <c r="U1608">
        <f t="shared" si="127"/>
        <v>4</v>
      </c>
      <c r="V1608">
        <f t="shared" si="128"/>
        <v>6</v>
      </c>
      <c r="W1608" s="9">
        <f t="shared" si="129"/>
        <v>0.14671078240560528</v>
      </c>
    </row>
    <row r="1609" spans="1:23">
      <c r="A1609">
        <v>11608</v>
      </c>
      <c r="B1609" s="5">
        <v>45804</v>
      </c>
      <c r="C1609" s="5">
        <v>45808</v>
      </c>
      <c r="D1609" s="5">
        <v>45809</v>
      </c>
      <c r="E1609" t="s">
        <v>20</v>
      </c>
      <c r="F1609" t="s">
        <v>22</v>
      </c>
      <c r="G1609" t="s">
        <v>25</v>
      </c>
      <c r="H1609" t="s">
        <v>33</v>
      </c>
      <c r="I1609" t="s">
        <v>35</v>
      </c>
      <c r="J1609" t="s">
        <v>43</v>
      </c>
      <c r="K1609" t="s">
        <v>48</v>
      </c>
      <c r="L1609" t="s">
        <v>51</v>
      </c>
      <c r="M1609" s="7">
        <v>15985</v>
      </c>
      <c r="N1609">
        <v>0.28000000000000003</v>
      </c>
      <c r="O1609" s="7">
        <v>8604</v>
      </c>
      <c r="P1609">
        <v>2</v>
      </c>
      <c r="Q1609" t="s">
        <v>58</v>
      </c>
      <c r="R1609" t="s">
        <v>62</v>
      </c>
      <c r="S1609">
        <f t="shared" si="125"/>
        <v>2025</v>
      </c>
      <c r="T1609" t="str">
        <f t="shared" si="126"/>
        <v>May</v>
      </c>
      <c r="U1609">
        <f t="shared" si="127"/>
        <v>4</v>
      </c>
      <c r="V1609">
        <f t="shared" si="128"/>
        <v>5</v>
      </c>
      <c r="W1609" s="9">
        <f t="shared" si="129"/>
        <v>0.53825461370034411</v>
      </c>
    </row>
    <row r="1610" spans="1:23">
      <c r="A1610">
        <v>11609</v>
      </c>
      <c r="B1610" s="5">
        <v>45805</v>
      </c>
      <c r="C1610" s="5">
        <v>45808</v>
      </c>
      <c r="D1610" s="5">
        <v>45811</v>
      </c>
      <c r="E1610" t="s">
        <v>21</v>
      </c>
      <c r="F1610" t="s">
        <v>22</v>
      </c>
      <c r="G1610" t="s">
        <v>26</v>
      </c>
      <c r="H1610" t="s">
        <v>33</v>
      </c>
      <c r="I1610" t="s">
        <v>34</v>
      </c>
      <c r="J1610" t="s">
        <v>42</v>
      </c>
      <c r="K1610" t="s">
        <v>44</v>
      </c>
      <c r="L1610" t="s">
        <v>51</v>
      </c>
      <c r="M1610" s="7">
        <v>52457</v>
      </c>
      <c r="N1610">
        <v>7.0000000000000007E-2</v>
      </c>
      <c r="O1610" s="7">
        <v>6612</v>
      </c>
      <c r="P1610">
        <v>23</v>
      </c>
      <c r="Q1610" t="s">
        <v>54</v>
      </c>
      <c r="R1610" t="s">
        <v>60</v>
      </c>
      <c r="S1610">
        <f t="shared" si="125"/>
        <v>2025</v>
      </c>
      <c r="T1610" t="str">
        <f t="shared" si="126"/>
        <v>May</v>
      </c>
      <c r="U1610">
        <f t="shared" si="127"/>
        <v>3</v>
      </c>
      <c r="V1610">
        <f t="shared" si="128"/>
        <v>6</v>
      </c>
      <c r="W1610" s="9">
        <f t="shared" si="129"/>
        <v>0.1260460948967726</v>
      </c>
    </row>
    <row r="1611" spans="1:23">
      <c r="A1611">
        <v>11610</v>
      </c>
      <c r="B1611" s="5">
        <v>45806</v>
      </c>
      <c r="C1611" s="5">
        <v>45813</v>
      </c>
      <c r="D1611" s="5">
        <v>45816</v>
      </c>
      <c r="E1611" t="s">
        <v>18</v>
      </c>
      <c r="F1611" t="s">
        <v>22</v>
      </c>
      <c r="G1611" t="s">
        <v>28</v>
      </c>
      <c r="H1611" t="s">
        <v>31</v>
      </c>
      <c r="I1611" t="s">
        <v>34</v>
      </c>
      <c r="J1611" t="s">
        <v>42</v>
      </c>
      <c r="K1611" t="s">
        <v>45</v>
      </c>
      <c r="L1611" t="s">
        <v>51</v>
      </c>
      <c r="M1611" s="7">
        <v>17144</v>
      </c>
      <c r="N1611">
        <v>0.05</v>
      </c>
      <c r="O1611" s="7">
        <v>9620</v>
      </c>
      <c r="P1611">
        <v>10</v>
      </c>
      <c r="Q1611" t="s">
        <v>55</v>
      </c>
      <c r="R1611" t="s">
        <v>59</v>
      </c>
      <c r="S1611">
        <f t="shared" si="125"/>
        <v>2025</v>
      </c>
      <c r="T1611" t="str">
        <f t="shared" si="126"/>
        <v>May</v>
      </c>
      <c r="U1611">
        <f t="shared" si="127"/>
        <v>7</v>
      </c>
      <c r="V1611">
        <f t="shared" si="128"/>
        <v>10</v>
      </c>
      <c r="W1611" s="9">
        <f t="shared" si="129"/>
        <v>0.56112925804946334</v>
      </c>
    </row>
    <row r="1612" spans="1:23">
      <c r="A1612">
        <v>11611</v>
      </c>
      <c r="B1612" s="5">
        <v>45807</v>
      </c>
      <c r="C1612" s="5">
        <v>45814</v>
      </c>
      <c r="D1612" s="5">
        <v>45816</v>
      </c>
      <c r="E1612" t="s">
        <v>18</v>
      </c>
      <c r="F1612" t="s">
        <v>22</v>
      </c>
      <c r="G1612" t="s">
        <v>28</v>
      </c>
      <c r="H1612" t="s">
        <v>33</v>
      </c>
      <c r="I1612" t="s">
        <v>34</v>
      </c>
      <c r="J1612" t="s">
        <v>42</v>
      </c>
      <c r="K1612" t="s">
        <v>44</v>
      </c>
      <c r="L1612" t="s">
        <v>53</v>
      </c>
      <c r="M1612" s="7">
        <v>36443</v>
      </c>
      <c r="N1612">
        <v>0.24</v>
      </c>
      <c r="O1612" s="7">
        <v>9288</v>
      </c>
      <c r="P1612">
        <v>1</v>
      </c>
      <c r="Q1612" t="s">
        <v>58</v>
      </c>
      <c r="R1612" t="s">
        <v>61</v>
      </c>
      <c r="S1612">
        <f t="shared" si="125"/>
        <v>2025</v>
      </c>
      <c r="T1612" t="str">
        <f t="shared" si="126"/>
        <v>May</v>
      </c>
      <c r="U1612">
        <f t="shared" si="127"/>
        <v>7</v>
      </c>
      <c r="V1612">
        <f t="shared" si="128"/>
        <v>9</v>
      </c>
      <c r="W1612" s="9">
        <f t="shared" si="129"/>
        <v>0.25486375984414017</v>
      </c>
    </row>
    <row r="1613" spans="1:23">
      <c r="A1613">
        <v>11612</v>
      </c>
      <c r="B1613" s="5">
        <v>45808</v>
      </c>
      <c r="C1613" s="5">
        <v>45813</v>
      </c>
      <c r="D1613" s="5">
        <v>45818</v>
      </c>
      <c r="E1613" t="s">
        <v>18</v>
      </c>
      <c r="F1613" t="s">
        <v>22</v>
      </c>
      <c r="G1613" t="s">
        <v>24</v>
      </c>
      <c r="H1613" t="s">
        <v>31</v>
      </c>
      <c r="I1613" t="s">
        <v>36</v>
      </c>
      <c r="J1613" t="s">
        <v>41</v>
      </c>
      <c r="K1613" t="s">
        <v>46</v>
      </c>
      <c r="L1613" t="s">
        <v>53</v>
      </c>
      <c r="M1613" s="7">
        <v>5996</v>
      </c>
      <c r="N1613">
        <v>0.26</v>
      </c>
      <c r="O1613" s="7">
        <v>13652</v>
      </c>
      <c r="P1613">
        <v>11</v>
      </c>
      <c r="Q1613" t="s">
        <v>55</v>
      </c>
      <c r="R1613" t="s">
        <v>59</v>
      </c>
      <c r="S1613">
        <f t="shared" si="125"/>
        <v>2025</v>
      </c>
      <c r="T1613" t="str">
        <f t="shared" si="126"/>
        <v>May</v>
      </c>
      <c r="U1613">
        <f t="shared" si="127"/>
        <v>5</v>
      </c>
      <c r="V1613">
        <f t="shared" si="128"/>
        <v>10</v>
      </c>
      <c r="W1613" s="9">
        <f t="shared" si="129"/>
        <v>2.276851234156104</v>
      </c>
    </row>
    <row r="1614" spans="1:23">
      <c r="A1614">
        <v>11613</v>
      </c>
      <c r="B1614" s="5">
        <v>45809</v>
      </c>
      <c r="C1614" s="5">
        <v>45811</v>
      </c>
      <c r="D1614" s="5">
        <v>45814</v>
      </c>
      <c r="E1614" t="s">
        <v>21</v>
      </c>
      <c r="F1614" t="s">
        <v>22</v>
      </c>
      <c r="G1614" t="s">
        <v>23</v>
      </c>
      <c r="H1614" t="s">
        <v>30</v>
      </c>
      <c r="I1614" t="s">
        <v>35</v>
      </c>
      <c r="J1614" t="s">
        <v>41</v>
      </c>
      <c r="K1614" t="s">
        <v>45</v>
      </c>
      <c r="L1614" t="s">
        <v>51</v>
      </c>
      <c r="M1614" s="7">
        <v>16573</v>
      </c>
      <c r="N1614">
        <v>0.15</v>
      </c>
      <c r="O1614" s="7">
        <v>6410</v>
      </c>
      <c r="P1614">
        <v>7</v>
      </c>
      <c r="Q1614" t="s">
        <v>54</v>
      </c>
      <c r="R1614" t="s">
        <v>60</v>
      </c>
      <c r="S1614">
        <f t="shared" si="125"/>
        <v>2025</v>
      </c>
      <c r="T1614" t="str">
        <f t="shared" si="126"/>
        <v>Jun</v>
      </c>
      <c r="U1614">
        <f t="shared" si="127"/>
        <v>2</v>
      </c>
      <c r="V1614">
        <f t="shared" si="128"/>
        <v>5</v>
      </c>
      <c r="W1614" s="9">
        <f t="shared" si="129"/>
        <v>0.38677366801424001</v>
      </c>
    </row>
    <row r="1615" spans="1:23">
      <c r="A1615">
        <v>11614</v>
      </c>
      <c r="B1615" s="5">
        <v>45810</v>
      </c>
      <c r="C1615" s="5">
        <v>45817</v>
      </c>
      <c r="D1615" s="5">
        <v>45822</v>
      </c>
      <c r="E1615" t="s">
        <v>21</v>
      </c>
      <c r="F1615" t="s">
        <v>22</v>
      </c>
      <c r="G1615" t="s">
        <v>25</v>
      </c>
      <c r="H1615" t="s">
        <v>32</v>
      </c>
      <c r="I1615" t="s">
        <v>34</v>
      </c>
      <c r="J1615" t="s">
        <v>40</v>
      </c>
      <c r="K1615" t="s">
        <v>46</v>
      </c>
      <c r="L1615" t="s">
        <v>52</v>
      </c>
      <c r="M1615" s="7">
        <v>12920</v>
      </c>
      <c r="N1615">
        <v>0.05</v>
      </c>
      <c r="O1615" s="7">
        <v>2310</v>
      </c>
      <c r="P1615">
        <v>20</v>
      </c>
      <c r="Q1615" t="s">
        <v>56</v>
      </c>
      <c r="R1615" t="s">
        <v>62</v>
      </c>
      <c r="S1615">
        <f t="shared" si="125"/>
        <v>2025</v>
      </c>
      <c r="T1615" t="str">
        <f t="shared" si="126"/>
        <v>Jun</v>
      </c>
      <c r="U1615">
        <f t="shared" si="127"/>
        <v>7</v>
      </c>
      <c r="V1615">
        <f t="shared" si="128"/>
        <v>12</v>
      </c>
      <c r="W1615" s="9">
        <f t="shared" si="129"/>
        <v>0.17879256965944273</v>
      </c>
    </row>
    <row r="1616" spans="1:23">
      <c r="A1616">
        <v>11615</v>
      </c>
      <c r="B1616" s="5">
        <v>45811</v>
      </c>
      <c r="C1616" s="5">
        <v>45813</v>
      </c>
      <c r="D1616" s="5">
        <v>45814</v>
      </c>
      <c r="E1616" t="s">
        <v>20</v>
      </c>
      <c r="F1616" t="s">
        <v>22</v>
      </c>
      <c r="G1616" t="s">
        <v>26</v>
      </c>
      <c r="H1616" t="s">
        <v>25</v>
      </c>
      <c r="I1616" t="s">
        <v>34</v>
      </c>
      <c r="J1616" t="s">
        <v>39</v>
      </c>
      <c r="K1616" t="s">
        <v>50</v>
      </c>
      <c r="L1616" t="s">
        <v>51</v>
      </c>
      <c r="M1616" s="7">
        <v>73157</v>
      </c>
      <c r="N1616">
        <v>0.14000000000000001</v>
      </c>
      <c r="O1616" s="7">
        <v>8733</v>
      </c>
      <c r="P1616">
        <v>24</v>
      </c>
      <c r="Q1616" t="s">
        <v>54</v>
      </c>
      <c r="R1616" t="s">
        <v>60</v>
      </c>
      <c r="S1616">
        <f t="shared" si="125"/>
        <v>2025</v>
      </c>
      <c r="T1616" t="str">
        <f t="shared" si="126"/>
        <v>Jun</v>
      </c>
      <c r="U1616">
        <f t="shared" si="127"/>
        <v>2</v>
      </c>
      <c r="V1616">
        <f t="shared" si="128"/>
        <v>3</v>
      </c>
      <c r="W1616" s="9">
        <f t="shared" si="129"/>
        <v>0.11937340240851867</v>
      </c>
    </row>
    <row r="1617" spans="1:23">
      <c r="A1617">
        <v>11616</v>
      </c>
      <c r="B1617" s="5">
        <v>45812</v>
      </c>
      <c r="C1617" s="5">
        <v>45818</v>
      </c>
      <c r="D1617" s="5">
        <v>45819</v>
      </c>
      <c r="E1617" t="s">
        <v>20</v>
      </c>
      <c r="F1617" t="s">
        <v>22</v>
      </c>
      <c r="G1617" t="s">
        <v>27</v>
      </c>
      <c r="H1617" t="s">
        <v>31</v>
      </c>
      <c r="I1617" t="s">
        <v>35</v>
      </c>
      <c r="J1617" t="s">
        <v>43</v>
      </c>
      <c r="K1617" t="s">
        <v>44</v>
      </c>
      <c r="L1617" t="s">
        <v>53</v>
      </c>
      <c r="M1617" s="7">
        <v>3422</v>
      </c>
      <c r="N1617">
        <v>0.22</v>
      </c>
      <c r="O1617" s="7">
        <v>19513</v>
      </c>
      <c r="P1617">
        <v>11</v>
      </c>
      <c r="Q1617" t="s">
        <v>57</v>
      </c>
      <c r="R1617" t="s">
        <v>59</v>
      </c>
      <c r="S1617">
        <f t="shared" si="125"/>
        <v>2025</v>
      </c>
      <c r="T1617" t="str">
        <f t="shared" si="126"/>
        <v>Jun</v>
      </c>
      <c r="U1617">
        <f t="shared" si="127"/>
        <v>6</v>
      </c>
      <c r="V1617">
        <f t="shared" si="128"/>
        <v>7</v>
      </c>
      <c r="W1617" s="9">
        <f t="shared" si="129"/>
        <v>5.7022209234365864</v>
      </c>
    </row>
    <row r="1618" spans="1:23">
      <c r="A1618">
        <v>11617</v>
      </c>
      <c r="B1618" s="5">
        <v>45813</v>
      </c>
      <c r="C1618" s="5">
        <v>45816</v>
      </c>
      <c r="D1618" s="5">
        <v>45819</v>
      </c>
      <c r="E1618" t="s">
        <v>20</v>
      </c>
      <c r="F1618" t="s">
        <v>22</v>
      </c>
      <c r="G1618" t="s">
        <v>23</v>
      </c>
      <c r="H1618" t="s">
        <v>31</v>
      </c>
      <c r="I1618" t="s">
        <v>36</v>
      </c>
      <c r="J1618" t="s">
        <v>40</v>
      </c>
      <c r="K1618" t="s">
        <v>45</v>
      </c>
      <c r="L1618" t="s">
        <v>51</v>
      </c>
      <c r="M1618" s="7">
        <v>58853</v>
      </c>
      <c r="N1618">
        <v>0.1</v>
      </c>
      <c r="O1618" s="7">
        <v>4726</v>
      </c>
      <c r="P1618">
        <v>1</v>
      </c>
      <c r="Q1618" t="s">
        <v>55</v>
      </c>
      <c r="R1618" t="s">
        <v>62</v>
      </c>
      <c r="S1618">
        <f t="shared" si="125"/>
        <v>2025</v>
      </c>
      <c r="T1618" t="str">
        <f t="shared" si="126"/>
        <v>Jun</v>
      </c>
      <c r="U1618">
        <f t="shared" si="127"/>
        <v>3</v>
      </c>
      <c r="V1618">
        <f t="shared" si="128"/>
        <v>6</v>
      </c>
      <c r="W1618" s="9">
        <f t="shared" si="129"/>
        <v>8.0301768813824267E-2</v>
      </c>
    </row>
    <row r="1619" spans="1:23">
      <c r="A1619">
        <v>11618</v>
      </c>
      <c r="B1619" s="5">
        <v>45814</v>
      </c>
      <c r="C1619" s="5">
        <v>45821</v>
      </c>
      <c r="D1619" s="5">
        <v>45825</v>
      </c>
      <c r="E1619" t="s">
        <v>18</v>
      </c>
      <c r="F1619" t="s">
        <v>22</v>
      </c>
      <c r="G1619" t="s">
        <v>25</v>
      </c>
      <c r="H1619" t="s">
        <v>33</v>
      </c>
      <c r="I1619" t="s">
        <v>34</v>
      </c>
      <c r="J1619" t="s">
        <v>40</v>
      </c>
      <c r="K1619" t="s">
        <v>46</v>
      </c>
      <c r="L1619" t="s">
        <v>53</v>
      </c>
      <c r="M1619" s="7">
        <v>28821</v>
      </c>
      <c r="N1619">
        <v>0.08</v>
      </c>
      <c r="O1619" s="7">
        <v>-944</v>
      </c>
      <c r="P1619">
        <v>11</v>
      </c>
      <c r="Q1619" t="s">
        <v>55</v>
      </c>
      <c r="R1619" t="s">
        <v>62</v>
      </c>
      <c r="S1619">
        <f t="shared" si="125"/>
        <v>2025</v>
      </c>
      <c r="T1619" t="str">
        <f t="shared" si="126"/>
        <v>Jun</v>
      </c>
      <c r="U1619">
        <f t="shared" si="127"/>
        <v>7</v>
      </c>
      <c r="V1619">
        <f t="shared" si="128"/>
        <v>11</v>
      </c>
      <c r="W1619" s="9">
        <f t="shared" si="129"/>
        <v>-3.2753894729537492E-2</v>
      </c>
    </row>
    <row r="1620" spans="1:23">
      <c r="A1620">
        <v>11619</v>
      </c>
      <c r="B1620" s="5">
        <v>45815</v>
      </c>
      <c r="C1620" s="5">
        <v>45821</v>
      </c>
      <c r="D1620" s="5">
        <v>45825</v>
      </c>
      <c r="E1620" t="s">
        <v>21</v>
      </c>
      <c r="F1620" t="s">
        <v>22</v>
      </c>
      <c r="G1620" t="s">
        <v>26</v>
      </c>
      <c r="H1620" t="s">
        <v>30</v>
      </c>
      <c r="I1620" t="s">
        <v>36</v>
      </c>
      <c r="J1620" t="s">
        <v>42</v>
      </c>
      <c r="K1620" t="s">
        <v>49</v>
      </c>
      <c r="L1620" t="s">
        <v>53</v>
      </c>
      <c r="M1620" s="7">
        <v>23025</v>
      </c>
      <c r="N1620">
        <v>0.15</v>
      </c>
      <c r="O1620" s="7">
        <v>775</v>
      </c>
      <c r="P1620">
        <v>21</v>
      </c>
      <c r="Q1620" t="s">
        <v>58</v>
      </c>
      <c r="R1620" t="s">
        <v>61</v>
      </c>
      <c r="S1620">
        <f t="shared" si="125"/>
        <v>2025</v>
      </c>
      <c r="T1620" t="str">
        <f t="shared" si="126"/>
        <v>Jun</v>
      </c>
      <c r="U1620">
        <f t="shared" si="127"/>
        <v>6</v>
      </c>
      <c r="V1620">
        <f t="shared" si="128"/>
        <v>10</v>
      </c>
      <c r="W1620" s="9">
        <f t="shared" si="129"/>
        <v>3.3659066232356136E-2</v>
      </c>
    </row>
    <row r="1621" spans="1:23">
      <c r="A1621">
        <v>11620</v>
      </c>
      <c r="B1621" s="5">
        <v>45816</v>
      </c>
      <c r="C1621" s="5">
        <v>45822</v>
      </c>
      <c r="D1621" s="5">
        <v>45825</v>
      </c>
      <c r="E1621" t="s">
        <v>20</v>
      </c>
      <c r="F1621" t="s">
        <v>22</v>
      </c>
      <c r="G1621" t="s">
        <v>27</v>
      </c>
      <c r="H1621" t="s">
        <v>33</v>
      </c>
      <c r="I1621" t="s">
        <v>34</v>
      </c>
      <c r="J1621" t="s">
        <v>38</v>
      </c>
      <c r="K1621" t="s">
        <v>50</v>
      </c>
      <c r="L1621" t="s">
        <v>53</v>
      </c>
      <c r="M1621" s="7">
        <v>47827</v>
      </c>
      <c r="N1621">
        <v>0.18</v>
      </c>
      <c r="O1621" s="7">
        <v>-1094</v>
      </c>
      <c r="P1621">
        <v>21</v>
      </c>
      <c r="Q1621" t="s">
        <v>55</v>
      </c>
      <c r="R1621" t="s">
        <v>60</v>
      </c>
      <c r="S1621">
        <f t="shared" si="125"/>
        <v>2025</v>
      </c>
      <c r="T1621" t="str">
        <f t="shared" si="126"/>
        <v>Jun</v>
      </c>
      <c r="U1621">
        <f t="shared" si="127"/>
        <v>6</v>
      </c>
      <c r="V1621">
        <f t="shared" si="128"/>
        <v>9</v>
      </c>
      <c r="W1621" s="9">
        <f t="shared" si="129"/>
        <v>-2.2874108767014449E-2</v>
      </c>
    </row>
    <row r="1622" spans="1:23">
      <c r="A1622">
        <v>11621</v>
      </c>
      <c r="B1622" s="5">
        <v>45817</v>
      </c>
      <c r="C1622" s="5">
        <v>45820</v>
      </c>
      <c r="D1622" s="5">
        <v>45823</v>
      </c>
      <c r="E1622" t="s">
        <v>19</v>
      </c>
      <c r="F1622" t="s">
        <v>22</v>
      </c>
      <c r="G1622" t="s">
        <v>24</v>
      </c>
      <c r="H1622" t="s">
        <v>29</v>
      </c>
      <c r="I1622" t="s">
        <v>34</v>
      </c>
      <c r="J1622" t="s">
        <v>37</v>
      </c>
      <c r="K1622" t="s">
        <v>45</v>
      </c>
      <c r="L1622" t="s">
        <v>53</v>
      </c>
      <c r="M1622" s="7">
        <v>63400</v>
      </c>
      <c r="N1622">
        <v>0.36</v>
      </c>
      <c r="O1622" s="7">
        <v>2333</v>
      </c>
      <c r="P1622">
        <v>6</v>
      </c>
      <c r="Q1622" t="s">
        <v>54</v>
      </c>
      <c r="R1622" t="s">
        <v>62</v>
      </c>
      <c r="S1622">
        <f t="shared" si="125"/>
        <v>2025</v>
      </c>
      <c r="T1622" t="str">
        <f t="shared" si="126"/>
        <v>Jun</v>
      </c>
      <c r="U1622">
        <f t="shared" si="127"/>
        <v>3</v>
      </c>
      <c r="V1622">
        <f t="shared" si="128"/>
        <v>6</v>
      </c>
      <c r="W1622" s="9">
        <f t="shared" si="129"/>
        <v>3.6798107255520504E-2</v>
      </c>
    </row>
    <row r="1623" spans="1:23">
      <c r="A1623">
        <v>11622</v>
      </c>
      <c r="B1623" s="5">
        <v>45818</v>
      </c>
      <c r="C1623" s="5">
        <v>45824</v>
      </c>
      <c r="D1623" s="5">
        <v>45829</v>
      </c>
      <c r="E1623" t="s">
        <v>21</v>
      </c>
      <c r="F1623" t="s">
        <v>22</v>
      </c>
      <c r="G1623" t="s">
        <v>25</v>
      </c>
      <c r="H1623" t="s">
        <v>32</v>
      </c>
      <c r="I1623" t="s">
        <v>34</v>
      </c>
      <c r="J1623" t="s">
        <v>40</v>
      </c>
      <c r="K1623" t="s">
        <v>50</v>
      </c>
      <c r="L1623" t="s">
        <v>53</v>
      </c>
      <c r="M1623" s="7">
        <v>64985</v>
      </c>
      <c r="N1623">
        <v>0.34</v>
      </c>
      <c r="O1623" s="7">
        <v>16860</v>
      </c>
      <c r="P1623">
        <v>23</v>
      </c>
      <c r="Q1623" t="s">
        <v>55</v>
      </c>
      <c r="R1623" t="s">
        <v>60</v>
      </c>
      <c r="S1623">
        <f t="shared" si="125"/>
        <v>2025</v>
      </c>
      <c r="T1623" t="str">
        <f t="shared" si="126"/>
        <v>Jun</v>
      </c>
      <c r="U1623">
        <f t="shared" si="127"/>
        <v>6</v>
      </c>
      <c r="V1623">
        <f t="shared" si="128"/>
        <v>11</v>
      </c>
      <c r="W1623" s="9">
        <f t="shared" si="129"/>
        <v>0.25944448718935137</v>
      </c>
    </row>
    <row r="1624" spans="1:23">
      <c r="A1624">
        <v>11623</v>
      </c>
      <c r="B1624" s="5">
        <v>45819</v>
      </c>
      <c r="C1624" s="5">
        <v>45824</v>
      </c>
      <c r="D1624" s="5">
        <v>45826</v>
      </c>
      <c r="E1624" t="s">
        <v>21</v>
      </c>
      <c r="F1624" t="s">
        <v>22</v>
      </c>
      <c r="G1624" t="s">
        <v>24</v>
      </c>
      <c r="H1624" t="s">
        <v>30</v>
      </c>
      <c r="I1624" t="s">
        <v>36</v>
      </c>
      <c r="J1624" t="s">
        <v>41</v>
      </c>
      <c r="K1624" t="s">
        <v>50</v>
      </c>
      <c r="L1624" t="s">
        <v>53</v>
      </c>
      <c r="M1624" s="7">
        <v>17421</v>
      </c>
      <c r="N1624">
        <v>0.05</v>
      </c>
      <c r="O1624" s="7">
        <v>18458</v>
      </c>
      <c r="P1624">
        <v>1</v>
      </c>
      <c r="Q1624" t="s">
        <v>54</v>
      </c>
      <c r="R1624" t="s">
        <v>62</v>
      </c>
      <c r="S1624">
        <f t="shared" si="125"/>
        <v>2025</v>
      </c>
      <c r="T1624" t="str">
        <f t="shared" si="126"/>
        <v>Jun</v>
      </c>
      <c r="U1624">
        <f t="shared" si="127"/>
        <v>5</v>
      </c>
      <c r="V1624">
        <f t="shared" si="128"/>
        <v>7</v>
      </c>
      <c r="W1624" s="9">
        <f t="shared" si="129"/>
        <v>1.0595258595947419</v>
      </c>
    </row>
    <row r="1625" spans="1:23">
      <c r="A1625">
        <v>11624</v>
      </c>
      <c r="B1625" s="5">
        <v>45820</v>
      </c>
      <c r="C1625" s="5">
        <v>45823</v>
      </c>
      <c r="D1625" s="5">
        <v>45826</v>
      </c>
      <c r="E1625" t="s">
        <v>20</v>
      </c>
      <c r="F1625" t="s">
        <v>22</v>
      </c>
      <c r="G1625" t="s">
        <v>24</v>
      </c>
      <c r="H1625" t="s">
        <v>30</v>
      </c>
      <c r="I1625" t="s">
        <v>34</v>
      </c>
      <c r="J1625" t="s">
        <v>38</v>
      </c>
      <c r="K1625" t="s">
        <v>48</v>
      </c>
      <c r="L1625" t="s">
        <v>53</v>
      </c>
      <c r="M1625" s="7">
        <v>5779</v>
      </c>
      <c r="N1625">
        <v>0.22</v>
      </c>
      <c r="O1625" s="7">
        <v>16904</v>
      </c>
      <c r="P1625">
        <v>2</v>
      </c>
      <c r="Q1625" t="s">
        <v>58</v>
      </c>
      <c r="R1625" t="s">
        <v>62</v>
      </c>
      <c r="S1625">
        <f t="shared" si="125"/>
        <v>2025</v>
      </c>
      <c r="T1625" t="str">
        <f t="shared" si="126"/>
        <v>Jun</v>
      </c>
      <c r="U1625">
        <f t="shared" si="127"/>
        <v>3</v>
      </c>
      <c r="V1625">
        <f t="shared" si="128"/>
        <v>6</v>
      </c>
      <c r="W1625" s="9">
        <f t="shared" si="129"/>
        <v>2.9250735421353173</v>
      </c>
    </row>
    <row r="1626" spans="1:23">
      <c r="A1626">
        <v>11625</v>
      </c>
      <c r="B1626" s="5">
        <v>45821</v>
      </c>
      <c r="C1626" s="5">
        <v>45824</v>
      </c>
      <c r="D1626" s="5">
        <v>45829</v>
      </c>
      <c r="E1626" t="s">
        <v>18</v>
      </c>
      <c r="F1626" t="s">
        <v>22</v>
      </c>
      <c r="G1626" t="s">
        <v>23</v>
      </c>
      <c r="H1626" t="s">
        <v>32</v>
      </c>
      <c r="I1626" t="s">
        <v>34</v>
      </c>
      <c r="J1626" t="s">
        <v>41</v>
      </c>
      <c r="K1626" t="s">
        <v>46</v>
      </c>
      <c r="L1626" t="s">
        <v>53</v>
      </c>
      <c r="M1626" s="7">
        <v>73860</v>
      </c>
      <c r="N1626">
        <v>0.14000000000000001</v>
      </c>
      <c r="O1626" s="7">
        <v>2571</v>
      </c>
      <c r="P1626">
        <v>14</v>
      </c>
      <c r="Q1626" t="s">
        <v>54</v>
      </c>
      <c r="R1626" t="s">
        <v>59</v>
      </c>
      <c r="S1626">
        <f t="shared" si="125"/>
        <v>2025</v>
      </c>
      <c r="T1626" t="str">
        <f t="shared" si="126"/>
        <v>Jun</v>
      </c>
      <c r="U1626">
        <f t="shared" si="127"/>
        <v>3</v>
      </c>
      <c r="V1626">
        <f t="shared" si="128"/>
        <v>8</v>
      </c>
      <c r="W1626" s="9">
        <f t="shared" si="129"/>
        <v>3.4809098294069862E-2</v>
      </c>
    </row>
    <row r="1627" spans="1:23">
      <c r="A1627">
        <v>11626</v>
      </c>
      <c r="B1627" s="5">
        <v>45822</v>
      </c>
      <c r="C1627" s="5">
        <v>45825</v>
      </c>
      <c r="D1627" s="5">
        <v>45830</v>
      </c>
      <c r="E1627" t="s">
        <v>19</v>
      </c>
      <c r="F1627" t="s">
        <v>22</v>
      </c>
      <c r="G1627" t="s">
        <v>23</v>
      </c>
      <c r="H1627" t="s">
        <v>30</v>
      </c>
      <c r="I1627" t="s">
        <v>35</v>
      </c>
      <c r="J1627" t="s">
        <v>40</v>
      </c>
      <c r="K1627" t="s">
        <v>49</v>
      </c>
      <c r="L1627" t="s">
        <v>53</v>
      </c>
      <c r="M1627" s="7">
        <v>22127</v>
      </c>
      <c r="N1627">
        <v>0.36</v>
      </c>
      <c r="O1627" s="7">
        <v>10969</v>
      </c>
      <c r="P1627">
        <v>10</v>
      </c>
      <c r="Q1627" t="s">
        <v>54</v>
      </c>
      <c r="R1627" t="s">
        <v>62</v>
      </c>
      <c r="S1627">
        <f t="shared" si="125"/>
        <v>2025</v>
      </c>
      <c r="T1627" t="str">
        <f t="shared" si="126"/>
        <v>Jun</v>
      </c>
      <c r="U1627">
        <f t="shared" si="127"/>
        <v>3</v>
      </c>
      <c r="V1627">
        <f t="shared" si="128"/>
        <v>8</v>
      </c>
      <c r="W1627" s="9">
        <f t="shared" si="129"/>
        <v>0.49572919962037332</v>
      </c>
    </row>
    <row r="1628" spans="1:23">
      <c r="A1628">
        <v>11627</v>
      </c>
      <c r="B1628" s="5">
        <v>45823</v>
      </c>
      <c r="C1628" s="5">
        <v>45830</v>
      </c>
      <c r="D1628" s="5">
        <v>45833</v>
      </c>
      <c r="E1628" t="s">
        <v>19</v>
      </c>
      <c r="F1628" t="s">
        <v>22</v>
      </c>
      <c r="G1628" t="s">
        <v>25</v>
      </c>
      <c r="H1628" t="s">
        <v>30</v>
      </c>
      <c r="I1628" t="s">
        <v>36</v>
      </c>
      <c r="J1628" t="s">
        <v>41</v>
      </c>
      <c r="K1628" t="s">
        <v>50</v>
      </c>
      <c r="L1628" t="s">
        <v>53</v>
      </c>
      <c r="M1628" s="7">
        <v>41422</v>
      </c>
      <c r="N1628">
        <v>0.1</v>
      </c>
      <c r="O1628" s="7">
        <v>10972</v>
      </c>
      <c r="P1628">
        <v>7</v>
      </c>
      <c r="Q1628" t="s">
        <v>54</v>
      </c>
      <c r="R1628" t="s">
        <v>59</v>
      </c>
      <c r="S1628">
        <f t="shared" si="125"/>
        <v>2025</v>
      </c>
      <c r="T1628" t="str">
        <f t="shared" si="126"/>
        <v>Jun</v>
      </c>
      <c r="U1628">
        <f t="shared" si="127"/>
        <v>7</v>
      </c>
      <c r="V1628">
        <f t="shared" si="128"/>
        <v>10</v>
      </c>
      <c r="W1628" s="9">
        <f t="shared" si="129"/>
        <v>0.26488339529718508</v>
      </c>
    </row>
    <row r="1629" spans="1:23">
      <c r="A1629">
        <v>11628</v>
      </c>
      <c r="B1629" s="5">
        <v>45824</v>
      </c>
      <c r="C1629" s="5">
        <v>45828</v>
      </c>
      <c r="D1629" s="5">
        <v>45829</v>
      </c>
      <c r="E1629" t="s">
        <v>21</v>
      </c>
      <c r="F1629" t="s">
        <v>22</v>
      </c>
      <c r="G1629" t="s">
        <v>23</v>
      </c>
      <c r="H1629" t="s">
        <v>33</v>
      </c>
      <c r="I1629" t="s">
        <v>35</v>
      </c>
      <c r="J1629" t="s">
        <v>41</v>
      </c>
      <c r="K1629" t="s">
        <v>47</v>
      </c>
      <c r="L1629" t="s">
        <v>51</v>
      </c>
      <c r="M1629" s="7">
        <v>54393</v>
      </c>
      <c r="N1629">
        <v>0.03</v>
      </c>
      <c r="O1629" s="7">
        <v>19253</v>
      </c>
      <c r="P1629">
        <v>14</v>
      </c>
      <c r="Q1629" t="s">
        <v>54</v>
      </c>
      <c r="R1629" t="s">
        <v>60</v>
      </c>
      <c r="S1629">
        <f t="shared" si="125"/>
        <v>2025</v>
      </c>
      <c r="T1629" t="str">
        <f t="shared" si="126"/>
        <v>Jun</v>
      </c>
      <c r="U1629">
        <f t="shared" si="127"/>
        <v>4</v>
      </c>
      <c r="V1629">
        <f t="shared" si="128"/>
        <v>5</v>
      </c>
      <c r="W1629" s="9">
        <f t="shared" si="129"/>
        <v>0.35396098762708439</v>
      </c>
    </row>
    <row r="1630" spans="1:23">
      <c r="A1630">
        <v>11629</v>
      </c>
      <c r="B1630" s="5">
        <v>45825</v>
      </c>
      <c r="C1630" s="5">
        <v>45831</v>
      </c>
      <c r="D1630" s="5">
        <v>45834</v>
      </c>
      <c r="E1630" t="s">
        <v>20</v>
      </c>
      <c r="F1630" t="s">
        <v>22</v>
      </c>
      <c r="G1630" t="s">
        <v>25</v>
      </c>
      <c r="H1630" t="s">
        <v>30</v>
      </c>
      <c r="I1630" t="s">
        <v>36</v>
      </c>
      <c r="J1630" t="s">
        <v>41</v>
      </c>
      <c r="K1630" t="s">
        <v>45</v>
      </c>
      <c r="L1630" t="s">
        <v>51</v>
      </c>
      <c r="M1630" s="7">
        <v>51206</v>
      </c>
      <c r="N1630">
        <v>0.13</v>
      </c>
      <c r="O1630" s="7">
        <v>15513</v>
      </c>
      <c r="P1630">
        <v>22</v>
      </c>
      <c r="Q1630" t="s">
        <v>58</v>
      </c>
      <c r="R1630" t="s">
        <v>61</v>
      </c>
      <c r="S1630">
        <f t="shared" si="125"/>
        <v>2025</v>
      </c>
      <c r="T1630" t="str">
        <f t="shared" si="126"/>
        <v>Jun</v>
      </c>
      <c r="U1630">
        <f t="shared" si="127"/>
        <v>6</v>
      </c>
      <c r="V1630">
        <f t="shared" si="128"/>
        <v>9</v>
      </c>
      <c r="W1630" s="9">
        <f t="shared" si="129"/>
        <v>0.30295277897121431</v>
      </c>
    </row>
    <row r="1631" spans="1:23">
      <c r="A1631">
        <v>11630</v>
      </c>
      <c r="B1631" s="5">
        <v>45826</v>
      </c>
      <c r="C1631" s="5">
        <v>45830</v>
      </c>
      <c r="D1631" s="5">
        <v>45835</v>
      </c>
      <c r="E1631" t="s">
        <v>19</v>
      </c>
      <c r="F1631" t="s">
        <v>22</v>
      </c>
      <c r="G1631" t="s">
        <v>25</v>
      </c>
      <c r="H1631" t="s">
        <v>31</v>
      </c>
      <c r="I1631" t="s">
        <v>35</v>
      </c>
      <c r="J1631" t="s">
        <v>38</v>
      </c>
      <c r="K1631" t="s">
        <v>50</v>
      </c>
      <c r="L1631" t="s">
        <v>51</v>
      </c>
      <c r="M1631" s="7">
        <v>8086</v>
      </c>
      <c r="N1631">
        <v>0.34</v>
      </c>
      <c r="O1631" s="7">
        <v>9082</v>
      </c>
      <c r="P1631">
        <v>21</v>
      </c>
      <c r="Q1631" t="s">
        <v>57</v>
      </c>
      <c r="R1631" t="s">
        <v>61</v>
      </c>
      <c r="S1631">
        <f t="shared" si="125"/>
        <v>2025</v>
      </c>
      <c r="T1631" t="str">
        <f t="shared" si="126"/>
        <v>Jun</v>
      </c>
      <c r="U1631">
        <f t="shared" si="127"/>
        <v>4</v>
      </c>
      <c r="V1631">
        <f t="shared" si="128"/>
        <v>9</v>
      </c>
      <c r="W1631" s="9">
        <f t="shared" si="129"/>
        <v>1.1231758595102646</v>
      </c>
    </row>
    <row r="1632" spans="1:23">
      <c r="A1632">
        <v>11631</v>
      </c>
      <c r="B1632" s="5">
        <v>45827</v>
      </c>
      <c r="C1632" s="5">
        <v>45833</v>
      </c>
      <c r="D1632" s="5">
        <v>45837</v>
      </c>
      <c r="E1632" t="s">
        <v>19</v>
      </c>
      <c r="F1632" t="s">
        <v>22</v>
      </c>
      <c r="G1632" t="s">
        <v>24</v>
      </c>
      <c r="H1632" t="s">
        <v>31</v>
      </c>
      <c r="I1632" t="s">
        <v>36</v>
      </c>
      <c r="J1632" t="s">
        <v>42</v>
      </c>
      <c r="K1632" t="s">
        <v>49</v>
      </c>
      <c r="L1632" t="s">
        <v>52</v>
      </c>
      <c r="M1632" s="7">
        <v>6546</v>
      </c>
      <c r="N1632">
        <v>0.06</v>
      </c>
      <c r="O1632" s="7">
        <v>652</v>
      </c>
      <c r="P1632">
        <v>24</v>
      </c>
      <c r="Q1632" t="s">
        <v>56</v>
      </c>
      <c r="R1632" t="s">
        <v>59</v>
      </c>
      <c r="S1632">
        <f t="shared" si="125"/>
        <v>2025</v>
      </c>
      <c r="T1632" t="str">
        <f t="shared" si="126"/>
        <v>Jun</v>
      </c>
      <c r="U1632">
        <f t="shared" si="127"/>
        <v>6</v>
      </c>
      <c r="V1632">
        <f t="shared" si="128"/>
        <v>10</v>
      </c>
      <c r="W1632" s="9">
        <f t="shared" si="129"/>
        <v>9.9602810876871367E-2</v>
      </c>
    </row>
    <row r="1633" spans="1:23">
      <c r="A1633">
        <v>11632</v>
      </c>
      <c r="B1633" s="5">
        <v>45828</v>
      </c>
      <c r="C1633" s="5">
        <v>45835</v>
      </c>
      <c r="D1633" s="5">
        <v>45840</v>
      </c>
      <c r="E1633" t="s">
        <v>19</v>
      </c>
      <c r="F1633" t="s">
        <v>22</v>
      </c>
      <c r="G1633" t="s">
        <v>28</v>
      </c>
      <c r="H1633" t="s">
        <v>29</v>
      </c>
      <c r="I1633" t="s">
        <v>34</v>
      </c>
      <c r="J1633" t="s">
        <v>43</v>
      </c>
      <c r="K1633" t="s">
        <v>46</v>
      </c>
      <c r="L1633" t="s">
        <v>51</v>
      </c>
      <c r="M1633" s="7">
        <v>40689</v>
      </c>
      <c r="N1633">
        <v>0.02</v>
      </c>
      <c r="O1633" s="7">
        <v>14542</v>
      </c>
      <c r="P1633">
        <v>20</v>
      </c>
      <c r="Q1633" t="s">
        <v>54</v>
      </c>
      <c r="R1633" t="s">
        <v>59</v>
      </c>
      <c r="S1633">
        <f t="shared" si="125"/>
        <v>2025</v>
      </c>
      <c r="T1633" t="str">
        <f t="shared" si="126"/>
        <v>Jun</v>
      </c>
      <c r="U1633">
        <f t="shared" si="127"/>
        <v>7</v>
      </c>
      <c r="V1633">
        <f t="shared" si="128"/>
        <v>12</v>
      </c>
      <c r="W1633" s="9">
        <f t="shared" si="129"/>
        <v>0.35739389024060558</v>
      </c>
    </row>
    <row r="1634" spans="1:23">
      <c r="A1634">
        <v>11633</v>
      </c>
      <c r="B1634" s="5">
        <v>45829</v>
      </c>
      <c r="C1634" s="5">
        <v>45836</v>
      </c>
      <c r="D1634" s="5">
        <v>45839</v>
      </c>
      <c r="E1634" t="s">
        <v>20</v>
      </c>
      <c r="F1634" t="s">
        <v>22</v>
      </c>
      <c r="G1634" t="s">
        <v>26</v>
      </c>
      <c r="H1634" t="s">
        <v>30</v>
      </c>
      <c r="I1634" t="s">
        <v>34</v>
      </c>
      <c r="J1634" t="s">
        <v>38</v>
      </c>
      <c r="K1634" t="s">
        <v>45</v>
      </c>
      <c r="L1634" t="s">
        <v>53</v>
      </c>
      <c r="M1634" s="7">
        <v>67025</v>
      </c>
      <c r="N1634">
        <v>0.39</v>
      </c>
      <c r="O1634" s="7">
        <v>15270</v>
      </c>
      <c r="P1634">
        <v>1</v>
      </c>
      <c r="Q1634" t="s">
        <v>54</v>
      </c>
      <c r="R1634" t="s">
        <v>59</v>
      </c>
      <c r="S1634">
        <f t="shared" si="125"/>
        <v>2025</v>
      </c>
      <c r="T1634" t="str">
        <f t="shared" si="126"/>
        <v>Jun</v>
      </c>
      <c r="U1634">
        <f t="shared" si="127"/>
        <v>7</v>
      </c>
      <c r="V1634">
        <f t="shared" si="128"/>
        <v>10</v>
      </c>
      <c r="W1634" s="9">
        <f t="shared" si="129"/>
        <v>0.22782543826930249</v>
      </c>
    </row>
    <row r="1635" spans="1:23">
      <c r="A1635">
        <v>11634</v>
      </c>
      <c r="B1635" s="5">
        <v>45830</v>
      </c>
      <c r="C1635" s="5">
        <v>45836</v>
      </c>
      <c r="D1635" s="5">
        <v>45841</v>
      </c>
      <c r="E1635" t="s">
        <v>21</v>
      </c>
      <c r="F1635" t="s">
        <v>22</v>
      </c>
      <c r="G1635" t="s">
        <v>28</v>
      </c>
      <c r="H1635" t="s">
        <v>32</v>
      </c>
      <c r="I1635" t="s">
        <v>36</v>
      </c>
      <c r="J1635" t="s">
        <v>40</v>
      </c>
      <c r="K1635" t="s">
        <v>44</v>
      </c>
      <c r="L1635" t="s">
        <v>51</v>
      </c>
      <c r="M1635" s="7">
        <v>22312</v>
      </c>
      <c r="N1635">
        <v>0.35</v>
      </c>
      <c r="O1635" s="7">
        <v>14062</v>
      </c>
      <c r="P1635">
        <v>19</v>
      </c>
      <c r="Q1635" t="s">
        <v>54</v>
      </c>
      <c r="R1635" t="s">
        <v>62</v>
      </c>
      <c r="S1635">
        <f t="shared" si="125"/>
        <v>2025</v>
      </c>
      <c r="T1635" t="str">
        <f t="shared" si="126"/>
        <v>Jun</v>
      </c>
      <c r="U1635">
        <f t="shared" si="127"/>
        <v>6</v>
      </c>
      <c r="V1635">
        <f t="shared" si="128"/>
        <v>11</v>
      </c>
      <c r="W1635" s="9">
        <f t="shared" si="129"/>
        <v>0.63024381498745075</v>
      </c>
    </row>
    <row r="1636" spans="1:23">
      <c r="A1636">
        <v>11635</v>
      </c>
      <c r="B1636" s="5">
        <v>45831</v>
      </c>
      <c r="C1636" s="5">
        <v>45838</v>
      </c>
      <c r="D1636" s="5">
        <v>45840</v>
      </c>
      <c r="E1636" t="s">
        <v>20</v>
      </c>
      <c r="F1636" t="s">
        <v>22</v>
      </c>
      <c r="G1636" t="s">
        <v>25</v>
      </c>
      <c r="H1636" t="s">
        <v>32</v>
      </c>
      <c r="I1636" t="s">
        <v>36</v>
      </c>
      <c r="J1636" t="s">
        <v>42</v>
      </c>
      <c r="K1636" t="s">
        <v>46</v>
      </c>
      <c r="L1636" t="s">
        <v>51</v>
      </c>
      <c r="M1636" s="7">
        <v>54218</v>
      </c>
      <c r="N1636">
        <v>0.28000000000000003</v>
      </c>
      <c r="O1636" s="7">
        <v>10709</v>
      </c>
      <c r="P1636">
        <v>4</v>
      </c>
      <c r="Q1636" t="s">
        <v>56</v>
      </c>
      <c r="R1636" t="s">
        <v>59</v>
      </c>
      <c r="S1636">
        <f t="shared" si="125"/>
        <v>2025</v>
      </c>
      <c r="T1636" t="str">
        <f t="shared" si="126"/>
        <v>Jun</v>
      </c>
      <c r="U1636">
        <f t="shared" si="127"/>
        <v>7</v>
      </c>
      <c r="V1636">
        <f t="shared" si="128"/>
        <v>9</v>
      </c>
      <c r="W1636" s="9">
        <f t="shared" si="129"/>
        <v>0.19751742963591426</v>
      </c>
    </row>
    <row r="1637" spans="1:23">
      <c r="A1637">
        <v>11636</v>
      </c>
      <c r="B1637" s="5">
        <v>45832</v>
      </c>
      <c r="C1637" s="5">
        <v>45836</v>
      </c>
      <c r="D1637" s="5">
        <v>45838</v>
      </c>
      <c r="E1637" t="s">
        <v>21</v>
      </c>
      <c r="F1637" t="s">
        <v>22</v>
      </c>
      <c r="G1637" t="s">
        <v>28</v>
      </c>
      <c r="H1637" t="s">
        <v>30</v>
      </c>
      <c r="I1637" t="s">
        <v>35</v>
      </c>
      <c r="J1637" t="s">
        <v>42</v>
      </c>
      <c r="K1637" t="s">
        <v>44</v>
      </c>
      <c r="L1637" t="s">
        <v>51</v>
      </c>
      <c r="M1637" s="7">
        <v>66786</v>
      </c>
      <c r="N1637">
        <v>0.27</v>
      </c>
      <c r="O1637" s="7">
        <v>9862</v>
      </c>
      <c r="P1637">
        <v>16</v>
      </c>
      <c r="Q1637" t="s">
        <v>54</v>
      </c>
      <c r="R1637" t="s">
        <v>60</v>
      </c>
      <c r="S1637">
        <f t="shared" si="125"/>
        <v>2025</v>
      </c>
      <c r="T1637" t="str">
        <f t="shared" si="126"/>
        <v>Jun</v>
      </c>
      <c r="U1637">
        <f t="shared" si="127"/>
        <v>4</v>
      </c>
      <c r="V1637">
        <f t="shared" si="128"/>
        <v>6</v>
      </c>
      <c r="W1637" s="9">
        <f t="shared" si="129"/>
        <v>0.14766567843560027</v>
      </c>
    </row>
    <row r="1638" spans="1:23">
      <c r="A1638">
        <v>11637</v>
      </c>
      <c r="B1638" s="5">
        <v>45833</v>
      </c>
      <c r="C1638" s="5">
        <v>45838</v>
      </c>
      <c r="D1638" s="5">
        <v>45839</v>
      </c>
      <c r="E1638" t="s">
        <v>20</v>
      </c>
      <c r="F1638" t="s">
        <v>22</v>
      </c>
      <c r="G1638" t="s">
        <v>25</v>
      </c>
      <c r="H1638" t="s">
        <v>29</v>
      </c>
      <c r="I1638" t="s">
        <v>35</v>
      </c>
      <c r="J1638" t="s">
        <v>42</v>
      </c>
      <c r="K1638" t="s">
        <v>48</v>
      </c>
      <c r="L1638" t="s">
        <v>51</v>
      </c>
      <c r="M1638" s="7">
        <v>30263</v>
      </c>
      <c r="N1638">
        <v>0.35</v>
      </c>
      <c r="O1638" s="7">
        <v>18853</v>
      </c>
      <c r="P1638">
        <v>3</v>
      </c>
      <c r="Q1638" t="s">
        <v>58</v>
      </c>
      <c r="R1638" t="s">
        <v>60</v>
      </c>
      <c r="S1638">
        <f t="shared" si="125"/>
        <v>2025</v>
      </c>
      <c r="T1638" t="str">
        <f t="shared" si="126"/>
        <v>Jun</v>
      </c>
      <c r="U1638">
        <f t="shared" si="127"/>
        <v>5</v>
      </c>
      <c r="V1638">
        <f t="shared" si="128"/>
        <v>6</v>
      </c>
      <c r="W1638" s="9">
        <f t="shared" si="129"/>
        <v>0.62297194594058747</v>
      </c>
    </row>
    <row r="1639" spans="1:23">
      <c r="A1639">
        <v>11638</v>
      </c>
      <c r="B1639" s="5">
        <v>45834</v>
      </c>
      <c r="C1639" s="5">
        <v>45836</v>
      </c>
      <c r="D1639" s="5">
        <v>45840</v>
      </c>
      <c r="E1639" t="s">
        <v>21</v>
      </c>
      <c r="F1639" t="s">
        <v>22</v>
      </c>
      <c r="G1639" t="s">
        <v>27</v>
      </c>
      <c r="H1639" t="s">
        <v>29</v>
      </c>
      <c r="I1639" t="s">
        <v>34</v>
      </c>
      <c r="J1639" t="s">
        <v>41</v>
      </c>
      <c r="K1639" t="s">
        <v>49</v>
      </c>
      <c r="L1639" t="s">
        <v>51</v>
      </c>
      <c r="M1639" s="7">
        <v>20573</v>
      </c>
      <c r="N1639">
        <v>0.38</v>
      </c>
      <c r="O1639" s="7">
        <v>16336</v>
      </c>
      <c r="P1639">
        <v>13</v>
      </c>
      <c r="Q1639" t="s">
        <v>56</v>
      </c>
      <c r="R1639" t="s">
        <v>62</v>
      </c>
      <c r="S1639">
        <f t="shared" si="125"/>
        <v>2025</v>
      </c>
      <c r="T1639" t="str">
        <f t="shared" si="126"/>
        <v>Jun</v>
      </c>
      <c r="U1639">
        <f t="shared" si="127"/>
        <v>2</v>
      </c>
      <c r="V1639">
        <f t="shared" si="128"/>
        <v>6</v>
      </c>
      <c r="W1639" s="9">
        <f t="shared" si="129"/>
        <v>0.79405045447917177</v>
      </c>
    </row>
    <row r="1640" spans="1:23">
      <c r="A1640">
        <v>11639</v>
      </c>
      <c r="B1640" s="5">
        <v>45835</v>
      </c>
      <c r="C1640" s="5">
        <v>45841</v>
      </c>
      <c r="D1640" s="5">
        <v>45842</v>
      </c>
      <c r="E1640" t="s">
        <v>20</v>
      </c>
      <c r="F1640" t="s">
        <v>22</v>
      </c>
      <c r="G1640" t="s">
        <v>28</v>
      </c>
      <c r="H1640" t="s">
        <v>30</v>
      </c>
      <c r="I1640" t="s">
        <v>34</v>
      </c>
      <c r="J1640" t="s">
        <v>42</v>
      </c>
      <c r="K1640" t="s">
        <v>45</v>
      </c>
      <c r="L1640" t="s">
        <v>51</v>
      </c>
      <c r="M1640" s="7">
        <v>32889</v>
      </c>
      <c r="N1640">
        <v>0.15</v>
      </c>
      <c r="O1640" s="7">
        <v>9382</v>
      </c>
      <c r="P1640">
        <v>18</v>
      </c>
      <c r="Q1640" t="s">
        <v>57</v>
      </c>
      <c r="R1640" t="s">
        <v>59</v>
      </c>
      <c r="S1640">
        <f t="shared" si="125"/>
        <v>2025</v>
      </c>
      <c r="T1640" t="str">
        <f t="shared" si="126"/>
        <v>Jun</v>
      </c>
      <c r="U1640">
        <f t="shared" si="127"/>
        <v>6</v>
      </c>
      <c r="V1640">
        <f t="shared" si="128"/>
        <v>7</v>
      </c>
      <c r="W1640" s="9">
        <f t="shared" si="129"/>
        <v>0.28526254978868315</v>
      </c>
    </row>
    <row r="1641" spans="1:23">
      <c r="A1641">
        <v>11640</v>
      </c>
      <c r="B1641" s="5">
        <v>45836</v>
      </c>
      <c r="C1641" s="5">
        <v>45841</v>
      </c>
      <c r="D1641" s="5">
        <v>45845</v>
      </c>
      <c r="E1641" t="s">
        <v>18</v>
      </c>
      <c r="F1641" t="s">
        <v>22</v>
      </c>
      <c r="G1641" t="s">
        <v>27</v>
      </c>
      <c r="H1641" t="s">
        <v>29</v>
      </c>
      <c r="I1641" t="s">
        <v>34</v>
      </c>
      <c r="J1641" t="s">
        <v>40</v>
      </c>
      <c r="K1641" t="s">
        <v>44</v>
      </c>
      <c r="L1641" t="s">
        <v>51</v>
      </c>
      <c r="M1641" s="7">
        <v>22811</v>
      </c>
      <c r="N1641">
        <v>0.23</v>
      </c>
      <c r="O1641" s="7">
        <v>8662</v>
      </c>
      <c r="P1641">
        <v>22</v>
      </c>
      <c r="Q1641" t="s">
        <v>55</v>
      </c>
      <c r="R1641" t="s">
        <v>60</v>
      </c>
      <c r="S1641">
        <f t="shared" si="125"/>
        <v>2025</v>
      </c>
      <c r="T1641" t="str">
        <f t="shared" si="126"/>
        <v>Jun</v>
      </c>
      <c r="U1641">
        <f t="shared" si="127"/>
        <v>5</v>
      </c>
      <c r="V1641">
        <f t="shared" si="128"/>
        <v>9</v>
      </c>
      <c r="W1641" s="9">
        <f t="shared" si="129"/>
        <v>0.37972907807636669</v>
      </c>
    </row>
    <row r="1642" spans="1:23">
      <c r="A1642">
        <v>11641</v>
      </c>
      <c r="B1642" s="5">
        <v>45837</v>
      </c>
      <c r="C1642" s="5">
        <v>45844</v>
      </c>
      <c r="D1642" s="5">
        <v>45845</v>
      </c>
      <c r="E1642" t="s">
        <v>18</v>
      </c>
      <c r="F1642" t="s">
        <v>22</v>
      </c>
      <c r="G1642" t="s">
        <v>28</v>
      </c>
      <c r="H1642" t="s">
        <v>30</v>
      </c>
      <c r="I1642" t="s">
        <v>35</v>
      </c>
      <c r="J1642" t="s">
        <v>38</v>
      </c>
      <c r="K1642" t="s">
        <v>47</v>
      </c>
      <c r="L1642" t="s">
        <v>53</v>
      </c>
      <c r="M1642" s="7">
        <v>42891</v>
      </c>
      <c r="N1642">
        <v>0.22</v>
      </c>
      <c r="O1642" s="7">
        <v>19675</v>
      </c>
      <c r="P1642">
        <v>12</v>
      </c>
      <c r="Q1642" t="s">
        <v>55</v>
      </c>
      <c r="R1642" t="s">
        <v>61</v>
      </c>
      <c r="S1642">
        <f t="shared" si="125"/>
        <v>2025</v>
      </c>
      <c r="T1642" t="str">
        <f t="shared" si="126"/>
        <v>Jun</v>
      </c>
      <c r="U1642">
        <f t="shared" si="127"/>
        <v>7</v>
      </c>
      <c r="V1642">
        <f t="shared" si="128"/>
        <v>8</v>
      </c>
      <c r="W1642" s="9">
        <f t="shared" si="129"/>
        <v>0.45872094378774103</v>
      </c>
    </row>
    <row r="1643" spans="1:23">
      <c r="A1643">
        <v>11642</v>
      </c>
      <c r="B1643" s="5">
        <v>45838</v>
      </c>
      <c r="C1643" s="5">
        <v>45842</v>
      </c>
      <c r="D1643" s="5">
        <v>45845</v>
      </c>
      <c r="E1643" t="s">
        <v>19</v>
      </c>
      <c r="F1643" t="s">
        <v>22</v>
      </c>
      <c r="G1643" t="s">
        <v>25</v>
      </c>
      <c r="H1643" t="s">
        <v>29</v>
      </c>
      <c r="I1643" t="s">
        <v>36</v>
      </c>
      <c r="J1643" t="s">
        <v>39</v>
      </c>
      <c r="K1643" t="s">
        <v>44</v>
      </c>
      <c r="L1643" t="s">
        <v>52</v>
      </c>
      <c r="M1643" s="7">
        <v>25165</v>
      </c>
      <c r="N1643">
        <v>0.23</v>
      </c>
      <c r="O1643" s="7">
        <v>11732</v>
      </c>
      <c r="P1643">
        <v>22</v>
      </c>
      <c r="Q1643" t="s">
        <v>55</v>
      </c>
      <c r="R1643" t="s">
        <v>59</v>
      </c>
      <c r="S1643">
        <f t="shared" si="125"/>
        <v>2025</v>
      </c>
      <c r="T1643" t="str">
        <f t="shared" si="126"/>
        <v>Jun</v>
      </c>
      <c r="U1643">
        <f t="shared" si="127"/>
        <v>4</v>
      </c>
      <c r="V1643">
        <f t="shared" si="128"/>
        <v>7</v>
      </c>
      <c r="W1643" s="9">
        <f t="shared" si="129"/>
        <v>0.46620305980528509</v>
      </c>
    </row>
    <row r="1644" spans="1:23">
      <c r="A1644">
        <v>11643</v>
      </c>
      <c r="B1644" s="5">
        <v>45839</v>
      </c>
      <c r="C1644" s="5">
        <v>45844</v>
      </c>
      <c r="D1644" s="5">
        <v>45846</v>
      </c>
      <c r="E1644" t="s">
        <v>18</v>
      </c>
      <c r="F1644" t="s">
        <v>22</v>
      </c>
      <c r="G1644" t="s">
        <v>26</v>
      </c>
      <c r="H1644" t="s">
        <v>30</v>
      </c>
      <c r="I1644" t="s">
        <v>34</v>
      </c>
      <c r="J1644" t="s">
        <v>42</v>
      </c>
      <c r="K1644" t="s">
        <v>49</v>
      </c>
      <c r="L1644" t="s">
        <v>51</v>
      </c>
      <c r="M1644" s="7">
        <v>24874</v>
      </c>
      <c r="N1644">
        <v>0.33</v>
      </c>
      <c r="O1644" s="7">
        <v>11227</v>
      </c>
      <c r="P1644">
        <v>22</v>
      </c>
      <c r="Q1644" t="s">
        <v>57</v>
      </c>
      <c r="R1644" t="s">
        <v>60</v>
      </c>
      <c r="S1644">
        <f t="shared" si="125"/>
        <v>2025</v>
      </c>
      <c r="T1644" t="str">
        <f t="shared" si="126"/>
        <v>Jul</v>
      </c>
      <c r="U1644">
        <f t="shared" si="127"/>
        <v>5</v>
      </c>
      <c r="V1644">
        <f t="shared" si="128"/>
        <v>7</v>
      </c>
      <c r="W1644" s="9">
        <f t="shared" si="129"/>
        <v>0.45135482833480745</v>
      </c>
    </row>
    <row r="1645" spans="1:23">
      <c r="A1645">
        <v>11644</v>
      </c>
      <c r="B1645" s="5">
        <v>45840</v>
      </c>
      <c r="C1645" s="5">
        <v>45842</v>
      </c>
      <c r="D1645" s="5">
        <v>45843</v>
      </c>
      <c r="E1645" t="s">
        <v>21</v>
      </c>
      <c r="F1645" t="s">
        <v>22</v>
      </c>
      <c r="G1645" t="s">
        <v>23</v>
      </c>
      <c r="H1645" t="s">
        <v>31</v>
      </c>
      <c r="I1645" t="s">
        <v>34</v>
      </c>
      <c r="J1645" t="s">
        <v>41</v>
      </c>
      <c r="K1645" t="s">
        <v>47</v>
      </c>
      <c r="L1645" t="s">
        <v>52</v>
      </c>
      <c r="M1645" s="7">
        <v>9573</v>
      </c>
      <c r="N1645">
        <v>0.3</v>
      </c>
      <c r="O1645" s="7">
        <v>16498</v>
      </c>
      <c r="P1645">
        <v>22</v>
      </c>
      <c r="Q1645" t="s">
        <v>54</v>
      </c>
      <c r="R1645" t="s">
        <v>62</v>
      </c>
      <c r="S1645">
        <f t="shared" si="125"/>
        <v>2025</v>
      </c>
      <c r="T1645" t="str">
        <f t="shared" si="126"/>
        <v>Jul</v>
      </c>
      <c r="U1645">
        <f t="shared" si="127"/>
        <v>2</v>
      </c>
      <c r="V1645">
        <f t="shared" si="128"/>
        <v>3</v>
      </c>
      <c r="W1645" s="9">
        <f t="shared" si="129"/>
        <v>1.7233886973780423</v>
      </c>
    </row>
    <row r="1646" spans="1:23">
      <c r="A1646">
        <v>11645</v>
      </c>
      <c r="B1646" s="5">
        <v>45841</v>
      </c>
      <c r="C1646" s="5">
        <v>45846</v>
      </c>
      <c r="D1646" s="5">
        <v>45849</v>
      </c>
      <c r="E1646" t="s">
        <v>19</v>
      </c>
      <c r="F1646" t="s">
        <v>22</v>
      </c>
      <c r="G1646" t="s">
        <v>24</v>
      </c>
      <c r="H1646" t="s">
        <v>31</v>
      </c>
      <c r="I1646" t="s">
        <v>35</v>
      </c>
      <c r="J1646" t="s">
        <v>37</v>
      </c>
      <c r="K1646" t="s">
        <v>50</v>
      </c>
      <c r="L1646" t="s">
        <v>52</v>
      </c>
      <c r="M1646" s="7">
        <v>61621</v>
      </c>
      <c r="N1646">
        <v>0.11</v>
      </c>
      <c r="O1646" s="7">
        <v>7037</v>
      </c>
      <c r="P1646">
        <v>20</v>
      </c>
      <c r="Q1646" t="s">
        <v>58</v>
      </c>
      <c r="R1646" t="s">
        <v>59</v>
      </c>
      <c r="S1646">
        <f t="shared" si="125"/>
        <v>2025</v>
      </c>
      <c r="T1646" t="str">
        <f t="shared" si="126"/>
        <v>Jul</v>
      </c>
      <c r="U1646">
        <f t="shared" si="127"/>
        <v>5</v>
      </c>
      <c r="V1646">
        <f t="shared" si="128"/>
        <v>8</v>
      </c>
      <c r="W1646" s="9">
        <f t="shared" si="129"/>
        <v>0.11419808182275523</v>
      </c>
    </row>
    <row r="1647" spans="1:23">
      <c r="A1647">
        <v>11646</v>
      </c>
      <c r="B1647" s="5">
        <v>45842</v>
      </c>
      <c r="C1647" s="5">
        <v>45849</v>
      </c>
      <c r="D1647" s="5">
        <v>45850</v>
      </c>
      <c r="E1647" t="s">
        <v>20</v>
      </c>
      <c r="F1647" t="s">
        <v>22</v>
      </c>
      <c r="G1647" t="s">
        <v>23</v>
      </c>
      <c r="H1647" t="s">
        <v>29</v>
      </c>
      <c r="I1647" t="s">
        <v>35</v>
      </c>
      <c r="J1647" t="s">
        <v>41</v>
      </c>
      <c r="K1647" t="s">
        <v>46</v>
      </c>
      <c r="L1647" t="s">
        <v>51</v>
      </c>
      <c r="M1647" s="7">
        <v>29526</v>
      </c>
      <c r="N1647">
        <v>0.23</v>
      </c>
      <c r="O1647" s="7">
        <v>18781</v>
      </c>
      <c r="P1647">
        <v>15</v>
      </c>
      <c r="Q1647" t="s">
        <v>58</v>
      </c>
      <c r="R1647" t="s">
        <v>62</v>
      </c>
      <c r="S1647">
        <f t="shared" si="125"/>
        <v>2025</v>
      </c>
      <c r="T1647" t="str">
        <f t="shared" si="126"/>
        <v>Jul</v>
      </c>
      <c r="U1647">
        <f t="shared" si="127"/>
        <v>7</v>
      </c>
      <c r="V1647">
        <f t="shared" si="128"/>
        <v>8</v>
      </c>
      <c r="W1647" s="9">
        <f t="shared" si="129"/>
        <v>0.63608345187292559</v>
      </c>
    </row>
    <row r="1648" spans="1:23">
      <c r="A1648">
        <v>11647</v>
      </c>
      <c r="B1648" s="5">
        <v>45843</v>
      </c>
      <c r="C1648" s="5">
        <v>45846</v>
      </c>
      <c r="D1648" s="5">
        <v>45851</v>
      </c>
      <c r="E1648" t="s">
        <v>19</v>
      </c>
      <c r="F1648" t="s">
        <v>22</v>
      </c>
      <c r="G1648" t="s">
        <v>24</v>
      </c>
      <c r="H1648" t="s">
        <v>33</v>
      </c>
      <c r="I1648" t="s">
        <v>35</v>
      </c>
      <c r="J1648" t="s">
        <v>40</v>
      </c>
      <c r="K1648" t="s">
        <v>46</v>
      </c>
      <c r="L1648" t="s">
        <v>52</v>
      </c>
      <c r="M1648" s="7">
        <v>21108</v>
      </c>
      <c r="N1648">
        <v>0.02</v>
      </c>
      <c r="O1648" s="7">
        <v>19969</v>
      </c>
      <c r="P1648">
        <v>1</v>
      </c>
      <c r="Q1648" t="s">
        <v>57</v>
      </c>
      <c r="R1648" t="s">
        <v>60</v>
      </c>
      <c r="S1648">
        <f t="shared" si="125"/>
        <v>2025</v>
      </c>
      <c r="T1648" t="str">
        <f t="shared" si="126"/>
        <v>Jul</v>
      </c>
      <c r="U1648">
        <f t="shared" si="127"/>
        <v>3</v>
      </c>
      <c r="V1648">
        <f t="shared" si="128"/>
        <v>8</v>
      </c>
      <c r="W1648" s="9">
        <f t="shared" si="129"/>
        <v>0.94603941633503885</v>
      </c>
    </row>
    <row r="1649" spans="1:23">
      <c r="A1649">
        <v>11648</v>
      </c>
      <c r="B1649" s="5">
        <v>45844</v>
      </c>
      <c r="C1649" s="5">
        <v>45849</v>
      </c>
      <c r="D1649" s="5">
        <v>45852</v>
      </c>
      <c r="E1649" t="s">
        <v>18</v>
      </c>
      <c r="F1649" t="s">
        <v>22</v>
      </c>
      <c r="G1649" t="s">
        <v>27</v>
      </c>
      <c r="H1649" t="s">
        <v>32</v>
      </c>
      <c r="I1649" t="s">
        <v>35</v>
      </c>
      <c r="J1649" t="s">
        <v>41</v>
      </c>
      <c r="K1649" t="s">
        <v>46</v>
      </c>
      <c r="L1649" t="s">
        <v>53</v>
      </c>
      <c r="M1649" s="7">
        <v>68987</v>
      </c>
      <c r="N1649">
        <v>0.09</v>
      </c>
      <c r="O1649" s="7">
        <v>16018</v>
      </c>
      <c r="P1649">
        <v>5</v>
      </c>
      <c r="Q1649" t="s">
        <v>58</v>
      </c>
      <c r="R1649" t="s">
        <v>60</v>
      </c>
      <c r="S1649">
        <f t="shared" si="125"/>
        <v>2025</v>
      </c>
      <c r="T1649" t="str">
        <f t="shared" si="126"/>
        <v>Jul</v>
      </c>
      <c r="U1649">
        <f t="shared" si="127"/>
        <v>5</v>
      </c>
      <c r="V1649">
        <f t="shared" si="128"/>
        <v>8</v>
      </c>
      <c r="W1649" s="9">
        <f t="shared" si="129"/>
        <v>0.2321886732282894</v>
      </c>
    </row>
    <row r="1650" spans="1:23">
      <c r="A1650">
        <v>11649</v>
      </c>
      <c r="B1650" s="5">
        <v>45845</v>
      </c>
      <c r="C1650" s="5">
        <v>45849</v>
      </c>
      <c r="D1650" s="5">
        <v>45853</v>
      </c>
      <c r="E1650" t="s">
        <v>19</v>
      </c>
      <c r="F1650" t="s">
        <v>22</v>
      </c>
      <c r="G1650" t="s">
        <v>28</v>
      </c>
      <c r="H1650" t="s">
        <v>29</v>
      </c>
      <c r="I1650" t="s">
        <v>34</v>
      </c>
      <c r="J1650" t="s">
        <v>39</v>
      </c>
      <c r="K1650" t="s">
        <v>44</v>
      </c>
      <c r="L1650" t="s">
        <v>51</v>
      </c>
      <c r="M1650" s="7">
        <v>43780</v>
      </c>
      <c r="N1650">
        <v>0.37</v>
      </c>
      <c r="O1650" s="7">
        <v>8837</v>
      </c>
      <c r="P1650">
        <v>8</v>
      </c>
      <c r="Q1650" t="s">
        <v>56</v>
      </c>
      <c r="R1650" t="s">
        <v>59</v>
      </c>
      <c r="S1650">
        <f t="shared" si="125"/>
        <v>2025</v>
      </c>
      <c r="T1650" t="str">
        <f t="shared" si="126"/>
        <v>Jul</v>
      </c>
      <c r="U1650">
        <f t="shared" si="127"/>
        <v>4</v>
      </c>
      <c r="V1650">
        <f t="shared" si="128"/>
        <v>8</v>
      </c>
      <c r="W1650" s="9">
        <f t="shared" si="129"/>
        <v>0.2018501598903609</v>
      </c>
    </row>
    <row r="1651" spans="1:23">
      <c r="A1651">
        <v>11650</v>
      </c>
      <c r="B1651" s="5">
        <v>45846</v>
      </c>
      <c r="C1651" s="5">
        <v>45850</v>
      </c>
      <c r="D1651" s="5">
        <v>45853</v>
      </c>
      <c r="E1651" t="s">
        <v>20</v>
      </c>
      <c r="F1651" t="s">
        <v>22</v>
      </c>
      <c r="G1651" t="s">
        <v>27</v>
      </c>
      <c r="H1651" t="s">
        <v>29</v>
      </c>
      <c r="I1651" t="s">
        <v>36</v>
      </c>
      <c r="J1651" t="s">
        <v>38</v>
      </c>
      <c r="K1651" t="s">
        <v>46</v>
      </c>
      <c r="L1651" t="s">
        <v>52</v>
      </c>
      <c r="M1651" s="7">
        <v>52796</v>
      </c>
      <c r="N1651">
        <v>0.13</v>
      </c>
      <c r="O1651" s="7">
        <v>4847</v>
      </c>
      <c r="P1651">
        <v>20</v>
      </c>
      <c r="Q1651" t="s">
        <v>57</v>
      </c>
      <c r="R1651" t="s">
        <v>62</v>
      </c>
      <c r="S1651">
        <f t="shared" si="125"/>
        <v>2025</v>
      </c>
      <c r="T1651" t="str">
        <f t="shared" si="126"/>
        <v>Jul</v>
      </c>
      <c r="U1651">
        <f t="shared" si="127"/>
        <v>4</v>
      </c>
      <c r="V1651">
        <f t="shared" si="128"/>
        <v>7</v>
      </c>
      <c r="W1651" s="9">
        <f t="shared" si="129"/>
        <v>9.1806197439199932E-2</v>
      </c>
    </row>
    <row r="1652" spans="1:23">
      <c r="A1652">
        <v>11651</v>
      </c>
      <c r="B1652" s="5">
        <v>45847</v>
      </c>
      <c r="C1652" s="5">
        <v>45854</v>
      </c>
      <c r="D1652" s="5">
        <v>45855</v>
      </c>
      <c r="E1652" t="s">
        <v>21</v>
      </c>
      <c r="F1652" t="s">
        <v>22</v>
      </c>
      <c r="G1652" t="s">
        <v>26</v>
      </c>
      <c r="H1652" t="s">
        <v>32</v>
      </c>
      <c r="I1652" t="s">
        <v>34</v>
      </c>
      <c r="J1652" t="s">
        <v>38</v>
      </c>
      <c r="K1652" t="s">
        <v>45</v>
      </c>
      <c r="L1652" t="s">
        <v>52</v>
      </c>
      <c r="M1652" s="7">
        <v>49204</v>
      </c>
      <c r="N1652">
        <v>0.23</v>
      </c>
      <c r="O1652" s="7">
        <v>152</v>
      </c>
      <c r="P1652">
        <v>23</v>
      </c>
      <c r="Q1652" t="s">
        <v>57</v>
      </c>
      <c r="R1652" t="s">
        <v>60</v>
      </c>
      <c r="S1652">
        <f t="shared" si="125"/>
        <v>2025</v>
      </c>
      <c r="T1652" t="str">
        <f t="shared" si="126"/>
        <v>Jul</v>
      </c>
      <c r="U1652">
        <f t="shared" si="127"/>
        <v>7</v>
      </c>
      <c r="V1652">
        <f t="shared" si="128"/>
        <v>8</v>
      </c>
      <c r="W1652" s="9">
        <f t="shared" si="129"/>
        <v>3.0891797414844321E-3</v>
      </c>
    </row>
    <row r="1653" spans="1:23">
      <c r="A1653">
        <v>11652</v>
      </c>
      <c r="B1653" s="5">
        <v>45848</v>
      </c>
      <c r="C1653" s="5">
        <v>45851</v>
      </c>
      <c r="D1653" s="5">
        <v>45853</v>
      </c>
      <c r="E1653" t="s">
        <v>20</v>
      </c>
      <c r="F1653" t="s">
        <v>22</v>
      </c>
      <c r="G1653" t="s">
        <v>28</v>
      </c>
      <c r="H1653" t="s">
        <v>29</v>
      </c>
      <c r="I1653" t="s">
        <v>34</v>
      </c>
      <c r="J1653" t="s">
        <v>42</v>
      </c>
      <c r="K1653" t="s">
        <v>49</v>
      </c>
      <c r="L1653" t="s">
        <v>53</v>
      </c>
      <c r="M1653" s="7">
        <v>55680</v>
      </c>
      <c r="N1653">
        <v>0.21</v>
      </c>
      <c r="O1653" s="7">
        <v>10141</v>
      </c>
      <c r="P1653">
        <v>12</v>
      </c>
      <c r="Q1653" t="s">
        <v>57</v>
      </c>
      <c r="R1653" t="s">
        <v>59</v>
      </c>
      <c r="S1653">
        <f t="shared" si="125"/>
        <v>2025</v>
      </c>
      <c r="T1653" t="str">
        <f t="shared" si="126"/>
        <v>Jul</v>
      </c>
      <c r="U1653">
        <f t="shared" si="127"/>
        <v>3</v>
      </c>
      <c r="V1653">
        <f t="shared" si="128"/>
        <v>5</v>
      </c>
      <c r="W1653" s="9">
        <f t="shared" si="129"/>
        <v>0.18213002873563219</v>
      </c>
    </row>
    <row r="1654" spans="1:23">
      <c r="A1654">
        <v>11653</v>
      </c>
      <c r="B1654" s="5">
        <v>45849</v>
      </c>
      <c r="C1654" s="5">
        <v>45853</v>
      </c>
      <c r="D1654" s="5">
        <v>45858</v>
      </c>
      <c r="E1654" t="s">
        <v>18</v>
      </c>
      <c r="F1654" t="s">
        <v>22</v>
      </c>
      <c r="G1654" t="s">
        <v>23</v>
      </c>
      <c r="H1654" t="s">
        <v>30</v>
      </c>
      <c r="I1654" t="s">
        <v>36</v>
      </c>
      <c r="J1654" t="s">
        <v>39</v>
      </c>
      <c r="K1654" t="s">
        <v>45</v>
      </c>
      <c r="L1654" t="s">
        <v>51</v>
      </c>
      <c r="M1654" s="7">
        <v>11139</v>
      </c>
      <c r="N1654">
        <v>0.37</v>
      </c>
      <c r="O1654" s="7">
        <v>-1105</v>
      </c>
      <c r="P1654">
        <v>10</v>
      </c>
      <c r="Q1654" t="s">
        <v>57</v>
      </c>
      <c r="R1654" t="s">
        <v>61</v>
      </c>
      <c r="S1654">
        <f t="shared" si="125"/>
        <v>2025</v>
      </c>
      <c r="T1654" t="str">
        <f t="shared" si="126"/>
        <v>Jul</v>
      </c>
      <c r="U1654">
        <f t="shared" si="127"/>
        <v>4</v>
      </c>
      <c r="V1654">
        <f t="shared" si="128"/>
        <v>9</v>
      </c>
      <c r="W1654" s="9">
        <f t="shared" si="129"/>
        <v>-9.92010054762546E-2</v>
      </c>
    </row>
    <row r="1655" spans="1:23">
      <c r="A1655">
        <v>11654</v>
      </c>
      <c r="B1655" s="5">
        <v>45850</v>
      </c>
      <c r="C1655" s="5">
        <v>45855</v>
      </c>
      <c r="D1655" s="5">
        <v>45856</v>
      </c>
      <c r="E1655" t="s">
        <v>18</v>
      </c>
      <c r="F1655" t="s">
        <v>22</v>
      </c>
      <c r="G1655" t="s">
        <v>26</v>
      </c>
      <c r="H1655" t="s">
        <v>29</v>
      </c>
      <c r="I1655" t="s">
        <v>34</v>
      </c>
      <c r="J1655" t="s">
        <v>37</v>
      </c>
      <c r="K1655" t="s">
        <v>44</v>
      </c>
      <c r="L1655" t="s">
        <v>52</v>
      </c>
      <c r="M1655" s="7">
        <v>22300</v>
      </c>
      <c r="N1655">
        <v>0.4</v>
      </c>
      <c r="O1655" s="7">
        <v>-1997</v>
      </c>
      <c r="P1655">
        <v>24</v>
      </c>
      <c r="Q1655" t="s">
        <v>57</v>
      </c>
      <c r="R1655" t="s">
        <v>60</v>
      </c>
      <c r="S1655">
        <f t="shared" si="125"/>
        <v>2025</v>
      </c>
      <c r="T1655" t="str">
        <f t="shared" si="126"/>
        <v>Jul</v>
      </c>
      <c r="U1655">
        <f t="shared" si="127"/>
        <v>5</v>
      </c>
      <c r="V1655">
        <f t="shared" si="128"/>
        <v>6</v>
      </c>
      <c r="W1655" s="9">
        <f t="shared" si="129"/>
        <v>-8.9551569506726464E-2</v>
      </c>
    </row>
    <row r="1656" spans="1:23">
      <c r="A1656">
        <v>11655</v>
      </c>
      <c r="B1656" s="5">
        <v>45851</v>
      </c>
      <c r="C1656" s="5">
        <v>45855</v>
      </c>
      <c r="D1656" s="5">
        <v>45858</v>
      </c>
      <c r="E1656" t="s">
        <v>20</v>
      </c>
      <c r="F1656" t="s">
        <v>22</v>
      </c>
      <c r="G1656" t="s">
        <v>25</v>
      </c>
      <c r="H1656" t="s">
        <v>31</v>
      </c>
      <c r="I1656" t="s">
        <v>35</v>
      </c>
      <c r="J1656" t="s">
        <v>41</v>
      </c>
      <c r="K1656" t="s">
        <v>44</v>
      </c>
      <c r="L1656" t="s">
        <v>52</v>
      </c>
      <c r="M1656" s="7">
        <v>21862</v>
      </c>
      <c r="N1656">
        <v>0.12</v>
      </c>
      <c r="O1656" s="7">
        <v>10027</v>
      </c>
      <c r="P1656">
        <v>3</v>
      </c>
      <c r="Q1656" t="s">
        <v>54</v>
      </c>
      <c r="R1656" t="s">
        <v>59</v>
      </c>
      <c r="S1656">
        <f t="shared" si="125"/>
        <v>2025</v>
      </c>
      <c r="T1656" t="str">
        <f t="shared" si="126"/>
        <v>Jul</v>
      </c>
      <c r="U1656">
        <f t="shared" si="127"/>
        <v>4</v>
      </c>
      <c r="V1656">
        <f t="shared" si="128"/>
        <v>7</v>
      </c>
      <c r="W1656" s="9">
        <f t="shared" si="129"/>
        <v>0.45864971182874392</v>
      </c>
    </row>
    <row r="1657" spans="1:23">
      <c r="A1657">
        <v>11656</v>
      </c>
      <c r="B1657" s="5">
        <v>45852</v>
      </c>
      <c r="C1657" s="5">
        <v>45855</v>
      </c>
      <c r="D1657" s="5">
        <v>45859</v>
      </c>
      <c r="E1657" t="s">
        <v>20</v>
      </c>
      <c r="F1657" t="s">
        <v>22</v>
      </c>
      <c r="G1657" t="s">
        <v>26</v>
      </c>
      <c r="H1657" t="s">
        <v>32</v>
      </c>
      <c r="I1657" t="s">
        <v>34</v>
      </c>
      <c r="J1657" t="s">
        <v>41</v>
      </c>
      <c r="K1657" t="s">
        <v>46</v>
      </c>
      <c r="L1657" t="s">
        <v>53</v>
      </c>
      <c r="M1657" s="7">
        <v>15200</v>
      </c>
      <c r="N1657">
        <v>0.04</v>
      </c>
      <c r="O1657" s="7">
        <v>17736</v>
      </c>
      <c r="P1657">
        <v>15</v>
      </c>
      <c r="Q1657" t="s">
        <v>54</v>
      </c>
      <c r="R1657" t="s">
        <v>62</v>
      </c>
      <c r="S1657">
        <f t="shared" si="125"/>
        <v>2025</v>
      </c>
      <c r="T1657" t="str">
        <f t="shared" si="126"/>
        <v>Jul</v>
      </c>
      <c r="U1657">
        <f t="shared" si="127"/>
        <v>3</v>
      </c>
      <c r="V1657">
        <f t="shared" si="128"/>
        <v>7</v>
      </c>
      <c r="W1657" s="9">
        <f t="shared" si="129"/>
        <v>1.1668421052631579</v>
      </c>
    </row>
    <row r="1658" spans="1:23">
      <c r="A1658">
        <v>11657</v>
      </c>
      <c r="B1658" s="5">
        <v>45853</v>
      </c>
      <c r="C1658" s="5">
        <v>45860</v>
      </c>
      <c r="D1658" s="5">
        <v>45862</v>
      </c>
      <c r="E1658" t="s">
        <v>20</v>
      </c>
      <c r="F1658" t="s">
        <v>22</v>
      </c>
      <c r="G1658" t="s">
        <v>28</v>
      </c>
      <c r="H1658" t="s">
        <v>33</v>
      </c>
      <c r="I1658" t="s">
        <v>34</v>
      </c>
      <c r="J1658" t="s">
        <v>43</v>
      </c>
      <c r="K1658" t="s">
        <v>45</v>
      </c>
      <c r="L1658" t="s">
        <v>53</v>
      </c>
      <c r="M1658" s="7">
        <v>39677</v>
      </c>
      <c r="N1658">
        <v>0.3</v>
      </c>
      <c r="O1658" s="7">
        <v>-572</v>
      </c>
      <c r="P1658">
        <v>13</v>
      </c>
      <c r="Q1658" t="s">
        <v>54</v>
      </c>
      <c r="R1658" t="s">
        <v>60</v>
      </c>
      <c r="S1658">
        <f t="shared" si="125"/>
        <v>2025</v>
      </c>
      <c r="T1658" t="str">
        <f t="shared" si="126"/>
        <v>Jul</v>
      </c>
      <c r="U1658">
        <f t="shared" si="127"/>
        <v>7</v>
      </c>
      <c r="V1658">
        <f t="shared" si="128"/>
        <v>9</v>
      </c>
      <c r="W1658" s="9">
        <f t="shared" si="129"/>
        <v>-1.4416412531189355E-2</v>
      </c>
    </row>
    <row r="1659" spans="1:23">
      <c r="A1659">
        <v>11658</v>
      </c>
      <c r="B1659" s="5">
        <v>45854</v>
      </c>
      <c r="C1659" s="5">
        <v>45858</v>
      </c>
      <c r="D1659" s="5">
        <v>45863</v>
      </c>
      <c r="E1659" t="s">
        <v>20</v>
      </c>
      <c r="F1659" t="s">
        <v>22</v>
      </c>
      <c r="G1659" t="s">
        <v>24</v>
      </c>
      <c r="H1659" t="s">
        <v>31</v>
      </c>
      <c r="I1659" t="s">
        <v>35</v>
      </c>
      <c r="J1659" t="s">
        <v>43</v>
      </c>
      <c r="K1659" t="s">
        <v>49</v>
      </c>
      <c r="L1659" t="s">
        <v>51</v>
      </c>
      <c r="M1659" s="7">
        <v>23512</v>
      </c>
      <c r="N1659">
        <v>0.26</v>
      </c>
      <c r="O1659" s="7">
        <v>1853</v>
      </c>
      <c r="P1659">
        <v>7</v>
      </c>
      <c r="Q1659" t="s">
        <v>54</v>
      </c>
      <c r="R1659" t="s">
        <v>61</v>
      </c>
      <c r="S1659">
        <f t="shared" si="125"/>
        <v>2025</v>
      </c>
      <c r="T1659" t="str">
        <f t="shared" si="126"/>
        <v>Jul</v>
      </c>
      <c r="U1659">
        <f t="shared" si="127"/>
        <v>4</v>
      </c>
      <c r="V1659">
        <f t="shared" si="128"/>
        <v>9</v>
      </c>
      <c r="W1659" s="9">
        <f t="shared" si="129"/>
        <v>7.8810820006805032E-2</v>
      </c>
    </row>
    <row r="1660" spans="1:23">
      <c r="A1660">
        <v>11659</v>
      </c>
      <c r="B1660" s="5">
        <v>45855</v>
      </c>
      <c r="C1660" s="5">
        <v>45859</v>
      </c>
      <c r="D1660" s="5">
        <v>45860</v>
      </c>
      <c r="E1660" t="s">
        <v>20</v>
      </c>
      <c r="F1660" t="s">
        <v>22</v>
      </c>
      <c r="G1660" t="s">
        <v>28</v>
      </c>
      <c r="H1660" t="s">
        <v>29</v>
      </c>
      <c r="I1660" t="s">
        <v>36</v>
      </c>
      <c r="J1660" t="s">
        <v>39</v>
      </c>
      <c r="K1660" t="s">
        <v>44</v>
      </c>
      <c r="L1660" t="s">
        <v>53</v>
      </c>
      <c r="M1660" s="7">
        <v>59906</v>
      </c>
      <c r="N1660">
        <v>0.08</v>
      </c>
      <c r="O1660" s="7">
        <v>7578</v>
      </c>
      <c r="P1660">
        <v>13</v>
      </c>
      <c r="Q1660" t="s">
        <v>55</v>
      </c>
      <c r="R1660" t="s">
        <v>60</v>
      </c>
      <c r="S1660">
        <f t="shared" si="125"/>
        <v>2025</v>
      </c>
      <c r="T1660" t="str">
        <f t="shared" si="126"/>
        <v>Jul</v>
      </c>
      <c r="U1660">
        <f t="shared" si="127"/>
        <v>4</v>
      </c>
      <c r="V1660">
        <f t="shared" si="128"/>
        <v>5</v>
      </c>
      <c r="W1660" s="9">
        <f t="shared" si="129"/>
        <v>0.12649818048275632</v>
      </c>
    </row>
    <row r="1661" spans="1:23">
      <c r="A1661">
        <v>11660</v>
      </c>
      <c r="B1661" s="5">
        <v>45856</v>
      </c>
      <c r="C1661" s="5">
        <v>45862</v>
      </c>
      <c r="D1661" s="5">
        <v>45865</v>
      </c>
      <c r="E1661" t="s">
        <v>21</v>
      </c>
      <c r="F1661" t="s">
        <v>22</v>
      </c>
      <c r="G1661" t="s">
        <v>23</v>
      </c>
      <c r="H1661" t="s">
        <v>33</v>
      </c>
      <c r="I1661" t="s">
        <v>34</v>
      </c>
      <c r="J1661" t="s">
        <v>37</v>
      </c>
      <c r="K1661" t="s">
        <v>47</v>
      </c>
      <c r="L1661" t="s">
        <v>51</v>
      </c>
      <c r="M1661" s="7">
        <v>2954</v>
      </c>
      <c r="N1661">
        <v>0.12</v>
      </c>
      <c r="O1661" s="7">
        <v>2561</v>
      </c>
      <c r="P1661">
        <v>16</v>
      </c>
      <c r="Q1661" t="s">
        <v>56</v>
      </c>
      <c r="R1661" t="s">
        <v>62</v>
      </c>
      <c r="S1661">
        <f t="shared" si="125"/>
        <v>2025</v>
      </c>
      <c r="T1661" t="str">
        <f t="shared" si="126"/>
        <v>Jul</v>
      </c>
      <c r="U1661">
        <f t="shared" si="127"/>
        <v>6</v>
      </c>
      <c r="V1661">
        <f t="shared" si="128"/>
        <v>9</v>
      </c>
      <c r="W1661" s="9">
        <f t="shared" si="129"/>
        <v>0.86696005416384558</v>
      </c>
    </row>
    <row r="1662" spans="1:23">
      <c r="A1662">
        <v>11661</v>
      </c>
      <c r="B1662" s="5">
        <v>45857</v>
      </c>
      <c r="C1662" s="5">
        <v>45859</v>
      </c>
      <c r="D1662" s="5">
        <v>45862</v>
      </c>
      <c r="E1662" t="s">
        <v>20</v>
      </c>
      <c r="F1662" t="s">
        <v>22</v>
      </c>
      <c r="G1662" t="s">
        <v>27</v>
      </c>
      <c r="H1662" t="s">
        <v>29</v>
      </c>
      <c r="I1662" t="s">
        <v>36</v>
      </c>
      <c r="J1662" t="s">
        <v>37</v>
      </c>
      <c r="K1662" t="s">
        <v>44</v>
      </c>
      <c r="L1662" t="s">
        <v>53</v>
      </c>
      <c r="M1662" s="7">
        <v>26730</v>
      </c>
      <c r="N1662">
        <v>0.37</v>
      </c>
      <c r="O1662" s="7">
        <v>3465</v>
      </c>
      <c r="P1662">
        <v>12</v>
      </c>
      <c r="Q1662" t="s">
        <v>56</v>
      </c>
      <c r="R1662" t="s">
        <v>60</v>
      </c>
      <c r="S1662">
        <f t="shared" si="125"/>
        <v>2025</v>
      </c>
      <c r="T1662" t="str">
        <f t="shared" si="126"/>
        <v>Jul</v>
      </c>
      <c r="U1662">
        <f t="shared" si="127"/>
        <v>2</v>
      </c>
      <c r="V1662">
        <f t="shared" si="128"/>
        <v>5</v>
      </c>
      <c r="W1662" s="9">
        <f t="shared" si="129"/>
        <v>0.12962962962962962</v>
      </c>
    </row>
    <row r="1663" spans="1:23">
      <c r="A1663">
        <v>11662</v>
      </c>
      <c r="B1663" s="5">
        <v>45858</v>
      </c>
      <c r="C1663" s="5">
        <v>45863</v>
      </c>
      <c r="D1663" s="5">
        <v>45864</v>
      </c>
      <c r="E1663" t="s">
        <v>21</v>
      </c>
      <c r="F1663" t="s">
        <v>22</v>
      </c>
      <c r="G1663" t="s">
        <v>26</v>
      </c>
      <c r="H1663" t="s">
        <v>31</v>
      </c>
      <c r="I1663" t="s">
        <v>34</v>
      </c>
      <c r="J1663" t="s">
        <v>38</v>
      </c>
      <c r="K1663" t="s">
        <v>50</v>
      </c>
      <c r="L1663" t="s">
        <v>51</v>
      </c>
      <c r="M1663" s="7">
        <v>48240</v>
      </c>
      <c r="N1663">
        <v>0.34</v>
      </c>
      <c r="O1663" s="7">
        <v>4400</v>
      </c>
      <c r="P1663">
        <v>17</v>
      </c>
      <c r="Q1663" t="s">
        <v>56</v>
      </c>
      <c r="R1663" t="s">
        <v>59</v>
      </c>
      <c r="S1663">
        <f t="shared" si="125"/>
        <v>2025</v>
      </c>
      <c r="T1663" t="str">
        <f t="shared" si="126"/>
        <v>Jul</v>
      </c>
      <c r="U1663">
        <f t="shared" si="127"/>
        <v>5</v>
      </c>
      <c r="V1663">
        <f t="shared" si="128"/>
        <v>6</v>
      </c>
      <c r="W1663" s="9">
        <f t="shared" si="129"/>
        <v>9.1210613598673301E-2</v>
      </c>
    </row>
    <row r="1664" spans="1:23">
      <c r="A1664">
        <v>11663</v>
      </c>
      <c r="B1664" s="5">
        <v>45859</v>
      </c>
      <c r="C1664" s="5">
        <v>45863</v>
      </c>
      <c r="D1664" s="5">
        <v>45868</v>
      </c>
      <c r="E1664" t="s">
        <v>19</v>
      </c>
      <c r="F1664" t="s">
        <v>22</v>
      </c>
      <c r="G1664" t="s">
        <v>25</v>
      </c>
      <c r="H1664" t="s">
        <v>33</v>
      </c>
      <c r="I1664" t="s">
        <v>35</v>
      </c>
      <c r="J1664" t="s">
        <v>39</v>
      </c>
      <c r="K1664" t="s">
        <v>44</v>
      </c>
      <c r="L1664" t="s">
        <v>52</v>
      </c>
      <c r="M1664" s="7">
        <v>63861</v>
      </c>
      <c r="N1664">
        <v>0.03</v>
      </c>
      <c r="O1664" s="7">
        <v>610</v>
      </c>
      <c r="P1664">
        <v>14</v>
      </c>
      <c r="Q1664" t="s">
        <v>55</v>
      </c>
      <c r="R1664" t="s">
        <v>60</v>
      </c>
      <c r="S1664">
        <f t="shared" si="125"/>
        <v>2025</v>
      </c>
      <c r="T1664" t="str">
        <f t="shared" si="126"/>
        <v>Jul</v>
      </c>
      <c r="U1664">
        <f t="shared" si="127"/>
        <v>4</v>
      </c>
      <c r="V1664">
        <f t="shared" si="128"/>
        <v>9</v>
      </c>
      <c r="W1664" s="9">
        <f t="shared" si="129"/>
        <v>9.5519957407494398E-3</v>
      </c>
    </row>
    <row r="1665" spans="1:23">
      <c r="A1665">
        <v>11664</v>
      </c>
      <c r="B1665" s="5">
        <v>45860</v>
      </c>
      <c r="C1665" s="5">
        <v>45867</v>
      </c>
      <c r="D1665" s="5">
        <v>45872</v>
      </c>
      <c r="E1665" t="s">
        <v>19</v>
      </c>
      <c r="F1665" t="s">
        <v>22</v>
      </c>
      <c r="G1665" t="s">
        <v>26</v>
      </c>
      <c r="H1665" t="s">
        <v>25</v>
      </c>
      <c r="I1665" t="s">
        <v>34</v>
      </c>
      <c r="J1665" t="s">
        <v>37</v>
      </c>
      <c r="K1665" t="s">
        <v>46</v>
      </c>
      <c r="L1665" t="s">
        <v>53</v>
      </c>
      <c r="M1665" s="7">
        <v>40668</v>
      </c>
      <c r="N1665">
        <v>0.36</v>
      </c>
      <c r="O1665" s="7">
        <v>10625</v>
      </c>
      <c r="P1665">
        <v>17</v>
      </c>
      <c r="Q1665" t="s">
        <v>55</v>
      </c>
      <c r="R1665" t="s">
        <v>59</v>
      </c>
      <c r="S1665">
        <f t="shared" si="125"/>
        <v>2025</v>
      </c>
      <c r="T1665" t="str">
        <f t="shared" si="126"/>
        <v>Jul</v>
      </c>
      <c r="U1665">
        <f t="shared" si="127"/>
        <v>7</v>
      </c>
      <c r="V1665">
        <f t="shared" si="128"/>
        <v>12</v>
      </c>
      <c r="W1665" s="9">
        <f t="shared" si="129"/>
        <v>0.26126192583849711</v>
      </c>
    </row>
    <row r="1666" spans="1:23">
      <c r="A1666">
        <v>11665</v>
      </c>
      <c r="B1666" s="5">
        <v>45861</v>
      </c>
      <c r="C1666" s="5">
        <v>45865</v>
      </c>
      <c r="D1666" s="5">
        <v>45867</v>
      </c>
      <c r="E1666" t="s">
        <v>19</v>
      </c>
      <c r="F1666" t="s">
        <v>22</v>
      </c>
      <c r="G1666" t="s">
        <v>23</v>
      </c>
      <c r="H1666" t="s">
        <v>32</v>
      </c>
      <c r="I1666" t="s">
        <v>36</v>
      </c>
      <c r="J1666" t="s">
        <v>38</v>
      </c>
      <c r="K1666" t="s">
        <v>44</v>
      </c>
      <c r="L1666" t="s">
        <v>52</v>
      </c>
      <c r="M1666" s="7">
        <v>69342</v>
      </c>
      <c r="N1666">
        <v>0.35</v>
      </c>
      <c r="O1666" s="7">
        <v>11791</v>
      </c>
      <c r="P1666">
        <v>9</v>
      </c>
      <c r="Q1666" t="s">
        <v>54</v>
      </c>
      <c r="R1666" t="s">
        <v>59</v>
      </c>
      <c r="S1666">
        <f t="shared" si="125"/>
        <v>2025</v>
      </c>
      <c r="T1666" t="str">
        <f t="shared" si="126"/>
        <v>Jul</v>
      </c>
      <c r="U1666">
        <f t="shared" si="127"/>
        <v>4</v>
      </c>
      <c r="V1666">
        <f t="shared" si="128"/>
        <v>6</v>
      </c>
      <c r="W1666" s="9">
        <f t="shared" si="129"/>
        <v>0.17004124484439445</v>
      </c>
    </row>
    <row r="1667" spans="1:23">
      <c r="A1667">
        <v>11666</v>
      </c>
      <c r="B1667" s="5">
        <v>45862</v>
      </c>
      <c r="C1667" s="5">
        <v>45865</v>
      </c>
      <c r="D1667" s="5">
        <v>45866</v>
      </c>
      <c r="E1667" t="s">
        <v>19</v>
      </c>
      <c r="F1667" t="s">
        <v>22</v>
      </c>
      <c r="G1667" t="s">
        <v>27</v>
      </c>
      <c r="H1667" t="s">
        <v>25</v>
      </c>
      <c r="I1667" t="s">
        <v>34</v>
      </c>
      <c r="J1667" t="s">
        <v>39</v>
      </c>
      <c r="K1667" t="s">
        <v>49</v>
      </c>
      <c r="L1667" t="s">
        <v>51</v>
      </c>
      <c r="M1667" s="7">
        <v>16228</v>
      </c>
      <c r="N1667">
        <v>0.19</v>
      </c>
      <c r="O1667" s="7">
        <v>7390</v>
      </c>
      <c r="P1667">
        <v>17</v>
      </c>
      <c r="Q1667" t="s">
        <v>57</v>
      </c>
      <c r="R1667" t="s">
        <v>59</v>
      </c>
      <c r="S1667">
        <f t="shared" ref="S1667:S1730" si="130">YEAR(B1667)</f>
        <v>2025</v>
      </c>
      <c r="T1667" t="str">
        <f t="shared" ref="T1667:T1730" si="131">TEXT(B1667,"mmm")</f>
        <v>Jul</v>
      </c>
      <c r="U1667">
        <f t="shared" ref="U1667:U1730" si="132">C1667-B1667</f>
        <v>3</v>
      </c>
      <c r="V1667">
        <f t="shared" ref="V1667:V1730" si="133">D1667-B1667</f>
        <v>4</v>
      </c>
      <c r="W1667" s="9">
        <f t="shared" ref="W1667:W1730" si="134">IFERROR(O1667/M1667,0)</f>
        <v>0.45538575301947254</v>
      </c>
    </row>
    <row r="1668" spans="1:23">
      <c r="A1668">
        <v>11667</v>
      </c>
      <c r="B1668" s="5">
        <v>45863</v>
      </c>
      <c r="C1668" s="5">
        <v>45869</v>
      </c>
      <c r="D1668" s="5">
        <v>45870</v>
      </c>
      <c r="E1668" t="s">
        <v>20</v>
      </c>
      <c r="F1668" t="s">
        <v>22</v>
      </c>
      <c r="G1668" t="s">
        <v>27</v>
      </c>
      <c r="H1668" t="s">
        <v>32</v>
      </c>
      <c r="I1668" t="s">
        <v>36</v>
      </c>
      <c r="J1668" t="s">
        <v>39</v>
      </c>
      <c r="K1668" t="s">
        <v>46</v>
      </c>
      <c r="L1668" t="s">
        <v>53</v>
      </c>
      <c r="M1668" s="7">
        <v>59347</v>
      </c>
      <c r="N1668">
        <v>7.0000000000000007E-2</v>
      </c>
      <c r="O1668" s="7">
        <v>-1686</v>
      </c>
      <c r="P1668">
        <v>17</v>
      </c>
      <c r="Q1668" t="s">
        <v>57</v>
      </c>
      <c r="R1668" t="s">
        <v>62</v>
      </c>
      <c r="S1668">
        <f t="shared" si="130"/>
        <v>2025</v>
      </c>
      <c r="T1668" t="str">
        <f t="shared" si="131"/>
        <v>Jul</v>
      </c>
      <c r="U1668">
        <f t="shared" si="132"/>
        <v>6</v>
      </c>
      <c r="V1668">
        <f t="shared" si="133"/>
        <v>7</v>
      </c>
      <c r="W1668" s="9">
        <f t="shared" si="134"/>
        <v>-2.8409186648019277E-2</v>
      </c>
    </row>
    <row r="1669" spans="1:23">
      <c r="A1669">
        <v>11668</v>
      </c>
      <c r="B1669" s="5">
        <v>45864</v>
      </c>
      <c r="C1669" s="5">
        <v>45868</v>
      </c>
      <c r="D1669" s="5">
        <v>45873</v>
      </c>
      <c r="E1669" t="s">
        <v>21</v>
      </c>
      <c r="F1669" t="s">
        <v>22</v>
      </c>
      <c r="G1669" t="s">
        <v>26</v>
      </c>
      <c r="H1669" t="s">
        <v>25</v>
      </c>
      <c r="I1669" t="s">
        <v>34</v>
      </c>
      <c r="J1669" t="s">
        <v>42</v>
      </c>
      <c r="K1669" t="s">
        <v>49</v>
      </c>
      <c r="L1669" t="s">
        <v>52</v>
      </c>
      <c r="M1669" s="7">
        <v>65381</v>
      </c>
      <c r="N1669">
        <v>0.05</v>
      </c>
      <c r="O1669" s="7">
        <v>-1920</v>
      </c>
      <c r="P1669">
        <v>24</v>
      </c>
      <c r="Q1669" t="s">
        <v>54</v>
      </c>
      <c r="R1669" t="s">
        <v>62</v>
      </c>
      <c r="S1669">
        <f t="shared" si="130"/>
        <v>2025</v>
      </c>
      <c r="T1669" t="str">
        <f t="shared" si="131"/>
        <v>Jul</v>
      </c>
      <c r="U1669">
        <f t="shared" si="132"/>
        <v>4</v>
      </c>
      <c r="V1669">
        <f t="shared" si="133"/>
        <v>9</v>
      </c>
      <c r="W1669" s="9">
        <f t="shared" si="134"/>
        <v>-2.9366329667640446E-2</v>
      </c>
    </row>
    <row r="1670" spans="1:23">
      <c r="A1670">
        <v>11669</v>
      </c>
      <c r="B1670" s="5">
        <v>45865</v>
      </c>
      <c r="C1670" s="5">
        <v>45871</v>
      </c>
      <c r="D1670" s="5">
        <v>45875</v>
      </c>
      <c r="E1670" t="s">
        <v>19</v>
      </c>
      <c r="F1670" t="s">
        <v>22</v>
      </c>
      <c r="G1670" t="s">
        <v>26</v>
      </c>
      <c r="H1670" t="s">
        <v>32</v>
      </c>
      <c r="I1670" t="s">
        <v>35</v>
      </c>
      <c r="J1670" t="s">
        <v>41</v>
      </c>
      <c r="K1670" t="s">
        <v>45</v>
      </c>
      <c r="L1670" t="s">
        <v>51</v>
      </c>
      <c r="M1670" s="7">
        <v>26845</v>
      </c>
      <c r="N1670">
        <v>0.03</v>
      </c>
      <c r="O1670" s="7">
        <v>1884</v>
      </c>
      <c r="P1670">
        <v>24</v>
      </c>
      <c r="Q1670" t="s">
        <v>54</v>
      </c>
      <c r="R1670" t="s">
        <v>61</v>
      </c>
      <c r="S1670">
        <f t="shared" si="130"/>
        <v>2025</v>
      </c>
      <c r="T1670" t="str">
        <f t="shared" si="131"/>
        <v>Jul</v>
      </c>
      <c r="U1670">
        <f t="shared" si="132"/>
        <v>6</v>
      </c>
      <c r="V1670">
        <f t="shared" si="133"/>
        <v>10</v>
      </c>
      <c r="W1670" s="9">
        <f t="shared" si="134"/>
        <v>7.0180666790836288E-2</v>
      </c>
    </row>
    <row r="1671" spans="1:23">
      <c r="A1671">
        <v>11670</v>
      </c>
      <c r="B1671" s="5">
        <v>45866</v>
      </c>
      <c r="C1671" s="5">
        <v>45868</v>
      </c>
      <c r="D1671" s="5">
        <v>45869</v>
      </c>
      <c r="E1671" t="s">
        <v>19</v>
      </c>
      <c r="F1671" t="s">
        <v>22</v>
      </c>
      <c r="G1671" t="s">
        <v>24</v>
      </c>
      <c r="H1671" t="s">
        <v>33</v>
      </c>
      <c r="I1671" t="s">
        <v>36</v>
      </c>
      <c r="J1671" t="s">
        <v>42</v>
      </c>
      <c r="K1671" t="s">
        <v>47</v>
      </c>
      <c r="L1671" t="s">
        <v>53</v>
      </c>
      <c r="M1671" s="7">
        <v>45358</v>
      </c>
      <c r="N1671">
        <v>0.21</v>
      </c>
      <c r="O1671" s="7">
        <v>18106</v>
      </c>
      <c r="P1671">
        <v>21</v>
      </c>
      <c r="Q1671" t="s">
        <v>55</v>
      </c>
      <c r="R1671" t="s">
        <v>62</v>
      </c>
      <c r="S1671">
        <f t="shared" si="130"/>
        <v>2025</v>
      </c>
      <c r="T1671" t="str">
        <f t="shared" si="131"/>
        <v>Jul</v>
      </c>
      <c r="U1671">
        <f t="shared" si="132"/>
        <v>2</v>
      </c>
      <c r="V1671">
        <f t="shared" si="133"/>
        <v>3</v>
      </c>
      <c r="W1671" s="9">
        <f t="shared" si="134"/>
        <v>0.39917985801843114</v>
      </c>
    </row>
    <row r="1672" spans="1:23">
      <c r="A1672">
        <v>11671</v>
      </c>
      <c r="B1672" s="5">
        <v>45867</v>
      </c>
      <c r="C1672" s="5">
        <v>45870</v>
      </c>
      <c r="D1672" s="5">
        <v>45873</v>
      </c>
      <c r="E1672" t="s">
        <v>19</v>
      </c>
      <c r="F1672" t="s">
        <v>22</v>
      </c>
      <c r="G1672" t="s">
        <v>27</v>
      </c>
      <c r="H1672" t="s">
        <v>30</v>
      </c>
      <c r="I1672" t="s">
        <v>35</v>
      </c>
      <c r="J1672" t="s">
        <v>38</v>
      </c>
      <c r="K1672" t="s">
        <v>45</v>
      </c>
      <c r="L1672" t="s">
        <v>53</v>
      </c>
      <c r="M1672" s="7">
        <v>54149</v>
      </c>
      <c r="N1672">
        <v>0.39</v>
      </c>
      <c r="O1672" s="7">
        <v>2975</v>
      </c>
      <c r="P1672">
        <v>12</v>
      </c>
      <c r="Q1672" t="s">
        <v>58</v>
      </c>
      <c r="R1672" t="s">
        <v>60</v>
      </c>
      <c r="S1672">
        <f t="shared" si="130"/>
        <v>2025</v>
      </c>
      <c r="T1672" t="str">
        <f t="shared" si="131"/>
        <v>Jul</v>
      </c>
      <c r="U1672">
        <f t="shared" si="132"/>
        <v>3</v>
      </c>
      <c r="V1672">
        <f t="shared" si="133"/>
        <v>6</v>
      </c>
      <c r="W1672" s="9">
        <f t="shared" si="134"/>
        <v>5.4940996140279599E-2</v>
      </c>
    </row>
    <row r="1673" spans="1:23">
      <c r="A1673">
        <v>11672</v>
      </c>
      <c r="B1673" s="5">
        <v>45868</v>
      </c>
      <c r="C1673" s="5">
        <v>45873</v>
      </c>
      <c r="D1673" s="5">
        <v>45876</v>
      </c>
      <c r="E1673" t="s">
        <v>19</v>
      </c>
      <c r="F1673" t="s">
        <v>22</v>
      </c>
      <c r="G1673" t="s">
        <v>23</v>
      </c>
      <c r="H1673" t="s">
        <v>30</v>
      </c>
      <c r="I1673" t="s">
        <v>36</v>
      </c>
      <c r="J1673" t="s">
        <v>39</v>
      </c>
      <c r="K1673" t="s">
        <v>48</v>
      </c>
      <c r="L1673" t="s">
        <v>51</v>
      </c>
      <c r="M1673" s="7">
        <v>10784</v>
      </c>
      <c r="N1673">
        <v>0.1</v>
      </c>
      <c r="O1673" s="7">
        <v>15570</v>
      </c>
      <c r="P1673">
        <v>11</v>
      </c>
      <c r="Q1673" t="s">
        <v>56</v>
      </c>
      <c r="R1673" t="s">
        <v>61</v>
      </c>
      <c r="S1673">
        <f t="shared" si="130"/>
        <v>2025</v>
      </c>
      <c r="T1673" t="str">
        <f t="shared" si="131"/>
        <v>Jul</v>
      </c>
      <c r="U1673">
        <f t="shared" si="132"/>
        <v>5</v>
      </c>
      <c r="V1673">
        <f t="shared" si="133"/>
        <v>8</v>
      </c>
      <c r="W1673" s="9">
        <f t="shared" si="134"/>
        <v>1.4438056379821957</v>
      </c>
    </row>
    <row r="1674" spans="1:23">
      <c r="A1674">
        <v>11673</v>
      </c>
      <c r="B1674" s="5">
        <v>45869</v>
      </c>
      <c r="C1674" s="5">
        <v>45872</v>
      </c>
      <c r="D1674" s="5">
        <v>45876</v>
      </c>
      <c r="E1674" t="s">
        <v>20</v>
      </c>
      <c r="F1674" t="s">
        <v>22</v>
      </c>
      <c r="G1674" t="s">
        <v>24</v>
      </c>
      <c r="H1674" t="s">
        <v>33</v>
      </c>
      <c r="I1674" t="s">
        <v>35</v>
      </c>
      <c r="J1674" t="s">
        <v>37</v>
      </c>
      <c r="K1674" t="s">
        <v>45</v>
      </c>
      <c r="L1674" t="s">
        <v>52</v>
      </c>
      <c r="M1674" s="7">
        <v>12726</v>
      </c>
      <c r="N1674">
        <v>0.18</v>
      </c>
      <c r="O1674" s="7">
        <v>17099</v>
      </c>
      <c r="P1674">
        <v>14</v>
      </c>
      <c r="Q1674" t="s">
        <v>54</v>
      </c>
      <c r="R1674" t="s">
        <v>61</v>
      </c>
      <c r="S1674">
        <f t="shared" si="130"/>
        <v>2025</v>
      </c>
      <c r="T1674" t="str">
        <f t="shared" si="131"/>
        <v>Jul</v>
      </c>
      <c r="U1674">
        <f t="shared" si="132"/>
        <v>3</v>
      </c>
      <c r="V1674">
        <f t="shared" si="133"/>
        <v>7</v>
      </c>
      <c r="W1674" s="9">
        <f t="shared" si="134"/>
        <v>1.3436272198648436</v>
      </c>
    </row>
    <row r="1675" spans="1:23">
      <c r="A1675">
        <v>11674</v>
      </c>
      <c r="B1675" s="5">
        <v>45870</v>
      </c>
      <c r="C1675" s="5">
        <v>45877</v>
      </c>
      <c r="D1675" s="5">
        <v>45882</v>
      </c>
      <c r="E1675" t="s">
        <v>20</v>
      </c>
      <c r="F1675" t="s">
        <v>22</v>
      </c>
      <c r="G1675" t="s">
        <v>26</v>
      </c>
      <c r="H1675" t="s">
        <v>31</v>
      </c>
      <c r="I1675" t="s">
        <v>36</v>
      </c>
      <c r="J1675" t="s">
        <v>43</v>
      </c>
      <c r="K1675" t="s">
        <v>50</v>
      </c>
      <c r="L1675" t="s">
        <v>53</v>
      </c>
      <c r="M1675" s="7">
        <v>15694</v>
      </c>
      <c r="N1675">
        <v>0.06</v>
      </c>
      <c r="O1675" s="7">
        <v>15532</v>
      </c>
      <c r="P1675">
        <v>13</v>
      </c>
      <c r="Q1675" t="s">
        <v>55</v>
      </c>
      <c r="R1675" t="s">
        <v>59</v>
      </c>
      <c r="S1675">
        <f t="shared" si="130"/>
        <v>2025</v>
      </c>
      <c r="T1675" t="str">
        <f t="shared" si="131"/>
        <v>Aug</v>
      </c>
      <c r="U1675">
        <f t="shared" si="132"/>
        <v>7</v>
      </c>
      <c r="V1675">
        <f t="shared" si="133"/>
        <v>12</v>
      </c>
      <c r="W1675" s="9">
        <f t="shared" si="134"/>
        <v>0.98967758378998338</v>
      </c>
    </row>
    <row r="1676" spans="1:23">
      <c r="A1676">
        <v>11675</v>
      </c>
      <c r="B1676" s="5">
        <v>45871</v>
      </c>
      <c r="C1676" s="5">
        <v>45875</v>
      </c>
      <c r="D1676" s="5">
        <v>45878</v>
      </c>
      <c r="E1676" t="s">
        <v>20</v>
      </c>
      <c r="F1676" t="s">
        <v>22</v>
      </c>
      <c r="G1676" t="s">
        <v>23</v>
      </c>
      <c r="H1676" t="s">
        <v>32</v>
      </c>
      <c r="I1676" t="s">
        <v>34</v>
      </c>
      <c r="J1676" t="s">
        <v>39</v>
      </c>
      <c r="K1676" t="s">
        <v>47</v>
      </c>
      <c r="L1676" t="s">
        <v>51</v>
      </c>
      <c r="M1676" s="7">
        <v>51336</v>
      </c>
      <c r="N1676">
        <v>0.16</v>
      </c>
      <c r="O1676" s="7">
        <v>5197</v>
      </c>
      <c r="P1676">
        <v>9</v>
      </c>
      <c r="Q1676" t="s">
        <v>55</v>
      </c>
      <c r="R1676" t="s">
        <v>61</v>
      </c>
      <c r="S1676">
        <f t="shared" si="130"/>
        <v>2025</v>
      </c>
      <c r="T1676" t="str">
        <f t="shared" si="131"/>
        <v>Aug</v>
      </c>
      <c r="U1676">
        <f t="shared" si="132"/>
        <v>4</v>
      </c>
      <c r="V1676">
        <f t="shared" si="133"/>
        <v>7</v>
      </c>
      <c r="W1676" s="9">
        <f t="shared" si="134"/>
        <v>0.10123500077918031</v>
      </c>
    </row>
    <row r="1677" spans="1:23">
      <c r="A1677">
        <v>11676</v>
      </c>
      <c r="B1677" s="5">
        <v>45872</v>
      </c>
      <c r="C1677" s="5">
        <v>45877</v>
      </c>
      <c r="D1677" s="5">
        <v>45881</v>
      </c>
      <c r="E1677" t="s">
        <v>18</v>
      </c>
      <c r="F1677" t="s">
        <v>22</v>
      </c>
      <c r="G1677" t="s">
        <v>28</v>
      </c>
      <c r="H1677" t="s">
        <v>30</v>
      </c>
      <c r="I1677" t="s">
        <v>34</v>
      </c>
      <c r="J1677" t="s">
        <v>43</v>
      </c>
      <c r="K1677" t="s">
        <v>48</v>
      </c>
      <c r="L1677" t="s">
        <v>53</v>
      </c>
      <c r="M1677" s="7">
        <v>70669</v>
      </c>
      <c r="N1677">
        <v>0.06</v>
      </c>
      <c r="O1677" s="7">
        <v>568</v>
      </c>
      <c r="P1677">
        <v>17</v>
      </c>
      <c r="Q1677" t="s">
        <v>55</v>
      </c>
      <c r="R1677" t="s">
        <v>62</v>
      </c>
      <c r="S1677">
        <f t="shared" si="130"/>
        <v>2025</v>
      </c>
      <c r="T1677" t="str">
        <f t="shared" si="131"/>
        <v>Aug</v>
      </c>
      <c r="U1677">
        <f t="shared" si="132"/>
        <v>5</v>
      </c>
      <c r="V1677">
        <f t="shared" si="133"/>
        <v>9</v>
      </c>
      <c r="W1677" s="9">
        <f t="shared" si="134"/>
        <v>8.0374704608810084E-3</v>
      </c>
    </row>
    <row r="1678" spans="1:23">
      <c r="A1678">
        <v>11677</v>
      </c>
      <c r="B1678" s="5">
        <v>45873</v>
      </c>
      <c r="C1678" s="5">
        <v>45879</v>
      </c>
      <c r="D1678" s="5">
        <v>45883</v>
      </c>
      <c r="E1678" t="s">
        <v>19</v>
      </c>
      <c r="F1678" t="s">
        <v>22</v>
      </c>
      <c r="G1678" t="s">
        <v>28</v>
      </c>
      <c r="H1678" t="s">
        <v>31</v>
      </c>
      <c r="I1678" t="s">
        <v>34</v>
      </c>
      <c r="J1678" t="s">
        <v>43</v>
      </c>
      <c r="K1678" t="s">
        <v>46</v>
      </c>
      <c r="L1678" t="s">
        <v>52</v>
      </c>
      <c r="M1678" s="7">
        <v>42779</v>
      </c>
      <c r="N1678">
        <v>0.19</v>
      </c>
      <c r="O1678" s="7">
        <v>10480</v>
      </c>
      <c r="P1678">
        <v>11</v>
      </c>
      <c r="Q1678" t="s">
        <v>58</v>
      </c>
      <c r="R1678" t="s">
        <v>60</v>
      </c>
      <c r="S1678">
        <f t="shared" si="130"/>
        <v>2025</v>
      </c>
      <c r="T1678" t="str">
        <f t="shared" si="131"/>
        <v>Aug</v>
      </c>
      <c r="U1678">
        <f t="shared" si="132"/>
        <v>6</v>
      </c>
      <c r="V1678">
        <f t="shared" si="133"/>
        <v>10</v>
      </c>
      <c r="W1678" s="9">
        <f t="shared" si="134"/>
        <v>0.24498001355805418</v>
      </c>
    </row>
    <row r="1679" spans="1:23">
      <c r="A1679">
        <v>11678</v>
      </c>
      <c r="B1679" s="5">
        <v>45874</v>
      </c>
      <c r="C1679" s="5">
        <v>45881</v>
      </c>
      <c r="D1679" s="5">
        <v>45885</v>
      </c>
      <c r="E1679" t="s">
        <v>20</v>
      </c>
      <c r="F1679" t="s">
        <v>22</v>
      </c>
      <c r="G1679" t="s">
        <v>25</v>
      </c>
      <c r="H1679" t="s">
        <v>29</v>
      </c>
      <c r="I1679" t="s">
        <v>34</v>
      </c>
      <c r="J1679" t="s">
        <v>42</v>
      </c>
      <c r="K1679" t="s">
        <v>50</v>
      </c>
      <c r="L1679" t="s">
        <v>51</v>
      </c>
      <c r="M1679" s="7">
        <v>1012</v>
      </c>
      <c r="N1679">
        <v>0.15</v>
      </c>
      <c r="O1679" s="7">
        <v>14588</v>
      </c>
      <c r="P1679">
        <v>23</v>
      </c>
      <c r="Q1679" t="s">
        <v>54</v>
      </c>
      <c r="R1679" t="s">
        <v>60</v>
      </c>
      <c r="S1679">
        <f t="shared" si="130"/>
        <v>2025</v>
      </c>
      <c r="T1679" t="str">
        <f t="shared" si="131"/>
        <v>Aug</v>
      </c>
      <c r="U1679">
        <f t="shared" si="132"/>
        <v>7</v>
      </c>
      <c r="V1679">
        <f t="shared" si="133"/>
        <v>11</v>
      </c>
      <c r="W1679" s="9">
        <f t="shared" si="134"/>
        <v>14.41501976284585</v>
      </c>
    </row>
    <row r="1680" spans="1:23">
      <c r="A1680">
        <v>11679</v>
      </c>
      <c r="B1680" s="5">
        <v>45875</v>
      </c>
      <c r="C1680" s="5">
        <v>45882</v>
      </c>
      <c r="D1680" s="5">
        <v>45884</v>
      </c>
      <c r="E1680" t="s">
        <v>19</v>
      </c>
      <c r="F1680" t="s">
        <v>22</v>
      </c>
      <c r="G1680" t="s">
        <v>24</v>
      </c>
      <c r="H1680" t="s">
        <v>31</v>
      </c>
      <c r="I1680" t="s">
        <v>36</v>
      </c>
      <c r="J1680" t="s">
        <v>41</v>
      </c>
      <c r="K1680" t="s">
        <v>49</v>
      </c>
      <c r="L1680" t="s">
        <v>53</v>
      </c>
      <c r="M1680" s="7">
        <v>61309</v>
      </c>
      <c r="N1680">
        <v>0.38</v>
      </c>
      <c r="O1680" s="7">
        <v>16931</v>
      </c>
      <c r="P1680">
        <v>3</v>
      </c>
      <c r="Q1680" t="s">
        <v>54</v>
      </c>
      <c r="R1680" t="s">
        <v>59</v>
      </c>
      <c r="S1680">
        <f t="shared" si="130"/>
        <v>2025</v>
      </c>
      <c r="T1680" t="str">
        <f t="shared" si="131"/>
        <v>Aug</v>
      </c>
      <c r="U1680">
        <f t="shared" si="132"/>
        <v>7</v>
      </c>
      <c r="V1680">
        <f t="shared" si="133"/>
        <v>9</v>
      </c>
      <c r="W1680" s="9">
        <f t="shared" si="134"/>
        <v>0.27615847591707582</v>
      </c>
    </row>
    <row r="1681" spans="1:23">
      <c r="A1681">
        <v>11680</v>
      </c>
      <c r="B1681" s="5">
        <v>45876</v>
      </c>
      <c r="C1681" s="5">
        <v>45879</v>
      </c>
      <c r="D1681" s="5">
        <v>45884</v>
      </c>
      <c r="E1681" t="s">
        <v>18</v>
      </c>
      <c r="F1681" t="s">
        <v>22</v>
      </c>
      <c r="G1681" t="s">
        <v>24</v>
      </c>
      <c r="H1681" t="s">
        <v>29</v>
      </c>
      <c r="I1681" t="s">
        <v>35</v>
      </c>
      <c r="J1681" t="s">
        <v>39</v>
      </c>
      <c r="K1681" t="s">
        <v>47</v>
      </c>
      <c r="L1681" t="s">
        <v>51</v>
      </c>
      <c r="M1681" s="7">
        <v>23311</v>
      </c>
      <c r="N1681">
        <v>0.14000000000000001</v>
      </c>
      <c r="O1681" s="7">
        <v>15344</v>
      </c>
      <c r="P1681">
        <v>11</v>
      </c>
      <c r="Q1681" t="s">
        <v>57</v>
      </c>
      <c r="R1681" t="s">
        <v>60</v>
      </c>
      <c r="S1681">
        <f t="shared" si="130"/>
        <v>2025</v>
      </c>
      <c r="T1681" t="str">
        <f t="shared" si="131"/>
        <v>Aug</v>
      </c>
      <c r="U1681">
        <f t="shared" si="132"/>
        <v>3</v>
      </c>
      <c r="V1681">
        <f t="shared" si="133"/>
        <v>8</v>
      </c>
      <c r="W1681" s="9">
        <f t="shared" si="134"/>
        <v>0.65823002016215526</v>
      </c>
    </row>
    <row r="1682" spans="1:23">
      <c r="A1682">
        <v>11681</v>
      </c>
      <c r="B1682" s="5">
        <v>45877</v>
      </c>
      <c r="C1682" s="5">
        <v>45882</v>
      </c>
      <c r="D1682" s="5">
        <v>45886</v>
      </c>
      <c r="E1682" t="s">
        <v>20</v>
      </c>
      <c r="F1682" t="s">
        <v>22</v>
      </c>
      <c r="G1682" t="s">
        <v>25</v>
      </c>
      <c r="H1682" t="s">
        <v>30</v>
      </c>
      <c r="I1682" t="s">
        <v>36</v>
      </c>
      <c r="J1682" t="s">
        <v>38</v>
      </c>
      <c r="K1682" t="s">
        <v>48</v>
      </c>
      <c r="L1682" t="s">
        <v>51</v>
      </c>
      <c r="M1682" s="7">
        <v>8520</v>
      </c>
      <c r="N1682">
        <v>0.23</v>
      </c>
      <c r="O1682" s="7">
        <v>13958</v>
      </c>
      <c r="P1682">
        <v>15</v>
      </c>
      <c r="Q1682" t="s">
        <v>57</v>
      </c>
      <c r="R1682" t="s">
        <v>61</v>
      </c>
      <c r="S1682">
        <f t="shared" si="130"/>
        <v>2025</v>
      </c>
      <c r="T1682" t="str">
        <f t="shared" si="131"/>
        <v>Aug</v>
      </c>
      <c r="U1682">
        <f t="shared" si="132"/>
        <v>5</v>
      </c>
      <c r="V1682">
        <f t="shared" si="133"/>
        <v>9</v>
      </c>
      <c r="W1682" s="9">
        <f t="shared" si="134"/>
        <v>1.6382629107981221</v>
      </c>
    </row>
    <row r="1683" spans="1:23">
      <c r="A1683">
        <v>11682</v>
      </c>
      <c r="B1683" s="5">
        <v>45878</v>
      </c>
      <c r="C1683" s="5">
        <v>45880</v>
      </c>
      <c r="D1683" s="5">
        <v>45884</v>
      </c>
      <c r="E1683" t="s">
        <v>21</v>
      </c>
      <c r="F1683" t="s">
        <v>22</v>
      </c>
      <c r="G1683" t="s">
        <v>25</v>
      </c>
      <c r="H1683" t="s">
        <v>30</v>
      </c>
      <c r="I1683" t="s">
        <v>36</v>
      </c>
      <c r="J1683" t="s">
        <v>42</v>
      </c>
      <c r="K1683" t="s">
        <v>44</v>
      </c>
      <c r="L1683" t="s">
        <v>52</v>
      </c>
      <c r="M1683" s="7">
        <v>65808</v>
      </c>
      <c r="N1683">
        <v>0.21</v>
      </c>
      <c r="O1683" s="7">
        <v>100</v>
      </c>
      <c r="P1683">
        <v>18</v>
      </c>
      <c r="Q1683" t="s">
        <v>54</v>
      </c>
      <c r="R1683" t="s">
        <v>61</v>
      </c>
      <c r="S1683">
        <f t="shared" si="130"/>
        <v>2025</v>
      </c>
      <c r="T1683" t="str">
        <f t="shared" si="131"/>
        <v>Aug</v>
      </c>
      <c r="U1683">
        <f t="shared" si="132"/>
        <v>2</v>
      </c>
      <c r="V1683">
        <f t="shared" si="133"/>
        <v>6</v>
      </c>
      <c r="W1683" s="9">
        <f t="shared" si="134"/>
        <v>1.5195720884998785E-3</v>
      </c>
    </row>
    <row r="1684" spans="1:23">
      <c r="A1684">
        <v>11683</v>
      </c>
      <c r="B1684" s="5">
        <v>45879</v>
      </c>
      <c r="C1684" s="5">
        <v>45881</v>
      </c>
      <c r="D1684" s="5">
        <v>45882</v>
      </c>
      <c r="E1684" t="s">
        <v>21</v>
      </c>
      <c r="F1684" t="s">
        <v>22</v>
      </c>
      <c r="G1684" t="s">
        <v>27</v>
      </c>
      <c r="H1684" t="s">
        <v>30</v>
      </c>
      <c r="I1684" t="s">
        <v>34</v>
      </c>
      <c r="J1684" t="s">
        <v>40</v>
      </c>
      <c r="K1684" t="s">
        <v>44</v>
      </c>
      <c r="L1684" t="s">
        <v>53</v>
      </c>
      <c r="M1684" s="7">
        <v>60140</v>
      </c>
      <c r="N1684">
        <v>0.02</v>
      </c>
      <c r="O1684" s="7">
        <v>12664</v>
      </c>
      <c r="P1684">
        <v>8</v>
      </c>
      <c r="Q1684" t="s">
        <v>57</v>
      </c>
      <c r="R1684" t="s">
        <v>62</v>
      </c>
      <c r="S1684">
        <f t="shared" si="130"/>
        <v>2025</v>
      </c>
      <c r="T1684" t="str">
        <f t="shared" si="131"/>
        <v>Aug</v>
      </c>
      <c r="U1684">
        <f t="shared" si="132"/>
        <v>2</v>
      </c>
      <c r="V1684">
        <f t="shared" si="133"/>
        <v>3</v>
      </c>
      <c r="W1684" s="9">
        <f t="shared" si="134"/>
        <v>0.210575324243432</v>
      </c>
    </row>
    <row r="1685" spans="1:23">
      <c r="A1685">
        <v>11684</v>
      </c>
      <c r="B1685" s="5">
        <v>45880</v>
      </c>
      <c r="C1685" s="5">
        <v>45883</v>
      </c>
      <c r="D1685" s="5">
        <v>45886</v>
      </c>
      <c r="E1685" t="s">
        <v>20</v>
      </c>
      <c r="F1685" t="s">
        <v>22</v>
      </c>
      <c r="G1685" t="s">
        <v>25</v>
      </c>
      <c r="H1685" t="s">
        <v>25</v>
      </c>
      <c r="I1685" t="s">
        <v>35</v>
      </c>
      <c r="J1685" t="s">
        <v>37</v>
      </c>
      <c r="K1685" t="s">
        <v>45</v>
      </c>
      <c r="L1685" t="s">
        <v>52</v>
      </c>
      <c r="M1685" s="7">
        <v>44874</v>
      </c>
      <c r="N1685">
        <v>0.28999999999999998</v>
      </c>
      <c r="O1685" s="7">
        <v>14091</v>
      </c>
      <c r="P1685">
        <v>14</v>
      </c>
      <c r="Q1685" t="s">
        <v>55</v>
      </c>
      <c r="R1685" t="s">
        <v>60</v>
      </c>
      <c r="S1685">
        <f t="shared" si="130"/>
        <v>2025</v>
      </c>
      <c r="T1685" t="str">
        <f t="shared" si="131"/>
        <v>Aug</v>
      </c>
      <c r="U1685">
        <f t="shared" si="132"/>
        <v>3</v>
      </c>
      <c r="V1685">
        <f t="shared" si="133"/>
        <v>6</v>
      </c>
      <c r="W1685" s="9">
        <f t="shared" si="134"/>
        <v>0.31401256852520393</v>
      </c>
    </row>
    <row r="1686" spans="1:23">
      <c r="A1686">
        <v>11685</v>
      </c>
      <c r="B1686" s="5">
        <v>45881</v>
      </c>
      <c r="C1686" s="5">
        <v>45887</v>
      </c>
      <c r="D1686" s="5">
        <v>45890</v>
      </c>
      <c r="E1686" t="s">
        <v>20</v>
      </c>
      <c r="F1686" t="s">
        <v>22</v>
      </c>
      <c r="G1686" t="s">
        <v>24</v>
      </c>
      <c r="H1686" t="s">
        <v>31</v>
      </c>
      <c r="I1686" t="s">
        <v>36</v>
      </c>
      <c r="J1686" t="s">
        <v>37</v>
      </c>
      <c r="K1686" t="s">
        <v>48</v>
      </c>
      <c r="L1686" t="s">
        <v>52</v>
      </c>
      <c r="M1686" s="7">
        <v>47083</v>
      </c>
      <c r="N1686">
        <v>0.31</v>
      </c>
      <c r="O1686" s="7">
        <v>18337</v>
      </c>
      <c r="P1686">
        <v>14</v>
      </c>
      <c r="Q1686" t="s">
        <v>58</v>
      </c>
      <c r="R1686" t="s">
        <v>62</v>
      </c>
      <c r="S1686">
        <f t="shared" si="130"/>
        <v>2025</v>
      </c>
      <c r="T1686" t="str">
        <f t="shared" si="131"/>
        <v>Aug</v>
      </c>
      <c r="U1686">
        <f t="shared" si="132"/>
        <v>6</v>
      </c>
      <c r="V1686">
        <f t="shared" si="133"/>
        <v>9</v>
      </c>
      <c r="W1686" s="9">
        <f t="shared" si="134"/>
        <v>0.38946116432682709</v>
      </c>
    </row>
    <row r="1687" spans="1:23">
      <c r="A1687">
        <v>11686</v>
      </c>
      <c r="B1687" s="5">
        <v>45882</v>
      </c>
      <c r="C1687" s="5">
        <v>45886</v>
      </c>
      <c r="D1687" s="5">
        <v>45887</v>
      </c>
      <c r="E1687" t="s">
        <v>19</v>
      </c>
      <c r="F1687" t="s">
        <v>22</v>
      </c>
      <c r="G1687" t="s">
        <v>27</v>
      </c>
      <c r="H1687" t="s">
        <v>33</v>
      </c>
      <c r="I1687" t="s">
        <v>36</v>
      </c>
      <c r="J1687" t="s">
        <v>38</v>
      </c>
      <c r="K1687" t="s">
        <v>48</v>
      </c>
      <c r="L1687" t="s">
        <v>51</v>
      </c>
      <c r="M1687" s="7">
        <v>28560</v>
      </c>
      <c r="N1687">
        <v>0.13</v>
      </c>
      <c r="O1687" s="7">
        <v>12311</v>
      </c>
      <c r="P1687">
        <v>18</v>
      </c>
      <c r="Q1687" t="s">
        <v>58</v>
      </c>
      <c r="R1687" t="s">
        <v>59</v>
      </c>
      <c r="S1687">
        <f t="shared" si="130"/>
        <v>2025</v>
      </c>
      <c r="T1687" t="str">
        <f t="shared" si="131"/>
        <v>Aug</v>
      </c>
      <c r="U1687">
        <f t="shared" si="132"/>
        <v>4</v>
      </c>
      <c r="V1687">
        <f t="shared" si="133"/>
        <v>5</v>
      </c>
      <c r="W1687" s="9">
        <f t="shared" si="134"/>
        <v>0.4310574229691877</v>
      </c>
    </row>
    <row r="1688" spans="1:23">
      <c r="A1688">
        <v>11687</v>
      </c>
      <c r="B1688" s="5">
        <v>45883</v>
      </c>
      <c r="C1688" s="5">
        <v>45885</v>
      </c>
      <c r="D1688" s="5">
        <v>45890</v>
      </c>
      <c r="E1688" t="s">
        <v>18</v>
      </c>
      <c r="F1688" t="s">
        <v>22</v>
      </c>
      <c r="G1688" t="s">
        <v>25</v>
      </c>
      <c r="H1688" t="s">
        <v>33</v>
      </c>
      <c r="I1688" t="s">
        <v>34</v>
      </c>
      <c r="J1688" t="s">
        <v>38</v>
      </c>
      <c r="K1688" t="s">
        <v>47</v>
      </c>
      <c r="L1688" t="s">
        <v>53</v>
      </c>
      <c r="M1688" s="7">
        <v>16356</v>
      </c>
      <c r="N1688">
        <v>0.16</v>
      </c>
      <c r="O1688" s="7">
        <v>14952</v>
      </c>
      <c r="P1688">
        <v>23</v>
      </c>
      <c r="Q1688" t="s">
        <v>56</v>
      </c>
      <c r="R1688" t="s">
        <v>62</v>
      </c>
      <c r="S1688">
        <f t="shared" si="130"/>
        <v>2025</v>
      </c>
      <c r="T1688" t="str">
        <f t="shared" si="131"/>
        <v>Aug</v>
      </c>
      <c r="U1688">
        <f t="shared" si="132"/>
        <v>2</v>
      </c>
      <c r="V1688">
        <f t="shared" si="133"/>
        <v>7</v>
      </c>
      <c r="W1688" s="9">
        <f t="shared" si="134"/>
        <v>0.9141599413059428</v>
      </c>
    </row>
    <row r="1689" spans="1:23">
      <c r="A1689">
        <v>11688</v>
      </c>
      <c r="B1689" s="5">
        <v>45884</v>
      </c>
      <c r="C1689" s="5">
        <v>45890</v>
      </c>
      <c r="D1689" s="5">
        <v>45891</v>
      </c>
      <c r="E1689" t="s">
        <v>20</v>
      </c>
      <c r="F1689" t="s">
        <v>22</v>
      </c>
      <c r="G1689" t="s">
        <v>23</v>
      </c>
      <c r="H1689" t="s">
        <v>33</v>
      </c>
      <c r="I1689" t="s">
        <v>35</v>
      </c>
      <c r="J1689" t="s">
        <v>42</v>
      </c>
      <c r="K1689" t="s">
        <v>46</v>
      </c>
      <c r="L1689" t="s">
        <v>52</v>
      </c>
      <c r="M1689" s="7">
        <v>34134</v>
      </c>
      <c r="N1689">
        <v>0.38</v>
      </c>
      <c r="O1689" s="7">
        <v>16770</v>
      </c>
      <c r="P1689">
        <v>13</v>
      </c>
      <c r="Q1689" t="s">
        <v>57</v>
      </c>
      <c r="R1689" t="s">
        <v>62</v>
      </c>
      <c r="S1689">
        <f t="shared" si="130"/>
        <v>2025</v>
      </c>
      <c r="T1689" t="str">
        <f t="shared" si="131"/>
        <v>Aug</v>
      </c>
      <c r="U1689">
        <f t="shared" si="132"/>
        <v>6</v>
      </c>
      <c r="V1689">
        <f t="shared" si="133"/>
        <v>7</v>
      </c>
      <c r="W1689" s="9">
        <f t="shared" si="134"/>
        <v>0.491298998066444</v>
      </c>
    </row>
    <row r="1690" spans="1:23">
      <c r="A1690">
        <v>11689</v>
      </c>
      <c r="B1690" s="5">
        <v>45885</v>
      </c>
      <c r="C1690" s="5">
        <v>45889</v>
      </c>
      <c r="D1690" s="5">
        <v>45890</v>
      </c>
      <c r="E1690" t="s">
        <v>21</v>
      </c>
      <c r="F1690" t="s">
        <v>22</v>
      </c>
      <c r="G1690" t="s">
        <v>24</v>
      </c>
      <c r="H1690" t="s">
        <v>33</v>
      </c>
      <c r="I1690" t="s">
        <v>35</v>
      </c>
      <c r="J1690" t="s">
        <v>37</v>
      </c>
      <c r="K1690" t="s">
        <v>47</v>
      </c>
      <c r="L1690" t="s">
        <v>53</v>
      </c>
      <c r="M1690" s="7">
        <v>22310</v>
      </c>
      <c r="N1690">
        <v>0.17</v>
      </c>
      <c r="O1690" s="7">
        <v>14514</v>
      </c>
      <c r="P1690">
        <v>4</v>
      </c>
      <c r="Q1690" t="s">
        <v>55</v>
      </c>
      <c r="R1690" t="s">
        <v>61</v>
      </c>
      <c r="S1690">
        <f t="shared" si="130"/>
        <v>2025</v>
      </c>
      <c r="T1690" t="str">
        <f t="shared" si="131"/>
        <v>Aug</v>
      </c>
      <c r="U1690">
        <f t="shared" si="132"/>
        <v>4</v>
      </c>
      <c r="V1690">
        <f t="shared" si="133"/>
        <v>5</v>
      </c>
      <c r="W1690" s="9">
        <f t="shared" si="134"/>
        <v>0.65056028686687584</v>
      </c>
    </row>
    <row r="1691" spans="1:23">
      <c r="A1691">
        <v>11690</v>
      </c>
      <c r="B1691" s="5">
        <v>45886</v>
      </c>
      <c r="C1691" s="5">
        <v>45891</v>
      </c>
      <c r="D1691" s="5">
        <v>45896</v>
      </c>
      <c r="E1691" t="s">
        <v>20</v>
      </c>
      <c r="F1691" t="s">
        <v>22</v>
      </c>
      <c r="G1691" t="s">
        <v>25</v>
      </c>
      <c r="H1691" t="s">
        <v>25</v>
      </c>
      <c r="I1691" t="s">
        <v>35</v>
      </c>
      <c r="J1691" t="s">
        <v>40</v>
      </c>
      <c r="K1691" t="s">
        <v>47</v>
      </c>
      <c r="L1691" t="s">
        <v>51</v>
      </c>
      <c r="M1691" s="7">
        <v>21789</v>
      </c>
      <c r="N1691">
        <v>0.01</v>
      </c>
      <c r="O1691" s="7">
        <v>15195</v>
      </c>
      <c r="P1691">
        <v>20</v>
      </c>
      <c r="Q1691" t="s">
        <v>54</v>
      </c>
      <c r="R1691" t="s">
        <v>60</v>
      </c>
      <c r="S1691">
        <f t="shared" si="130"/>
        <v>2025</v>
      </c>
      <c r="T1691" t="str">
        <f t="shared" si="131"/>
        <v>Aug</v>
      </c>
      <c r="U1691">
        <f t="shared" si="132"/>
        <v>5</v>
      </c>
      <c r="V1691">
        <f t="shared" si="133"/>
        <v>10</v>
      </c>
      <c r="W1691" s="9">
        <f t="shared" si="134"/>
        <v>0.69737023268621778</v>
      </c>
    </row>
    <row r="1692" spans="1:23">
      <c r="A1692">
        <v>11691</v>
      </c>
      <c r="B1692" s="5">
        <v>45887</v>
      </c>
      <c r="C1692" s="5">
        <v>45893</v>
      </c>
      <c r="D1692" s="5">
        <v>45894</v>
      </c>
      <c r="E1692" t="s">
        <v>19</v>
      </c>
      <c r="F1692" t="s">
        <v>22</v>
      </c>
      <c r="G1692" t="s">
        <v>24</v>
      </c>
      <c r="H1692" t="s">
        <v>32</v>
      </c>
      <c r="I1692" t="s">
        <v>35</v>
      </c>
      <c r="J1692" t="s">
        <v>40</v>
      </c>
      <c r="K1692" t="s">
        <v>50</v>
      </c>
      <c r="L1692" t="s">
        <v>52</v>
      </c>
      <c r="M1692" s="7">
        <v>63386</v>
      </c>
      <c r="N1692">
        <v>0.01</v>
      </c>
      <c r="O1692" s="7">
        <v>18512</v>
      </c>
      <c r="P1692">
        <v>24</v>
      </c>
      <c r="Q1692" t="s">
        <v>58</v>
      </c>
      <c r="R1692" t="s">
        <v>60</v>
      </c>
      <c r="S1692">
        <f t="shared" si="130"/>
        <v>2025</v>
      </c>
      <c r="T1692" t="str">
        <f t="shared" si="131"/>
        <v>Aug</v>
      </c>
      <c r="U1692">
        <f t="shared" si="132"/>
        <v>6</v>
      </c>
      <c r="V1692">
        <f t="shared" si="133"/>
        <v>7</v>
      </c>
      <c r="W1692" s="9">
        <f t="shared" si="134"/>
        <v>0.29205187265326726</v>
      </c>
    </row>
    <row r="1693" spans="1:23">
      <c r="A1693">
        <v>11692</v>
      </c>
      <c r="B1693" s="5">
        <v>45888</v>
      </c>
      <c r="C1693" s="5">
        <v>45895</v>
      </c>
      <c r="D1693" s="5">
        <v>45897</v>
      </c>
      <c r="E1693" t="s">
        <v>20</v>
      </c>
      <c r="F1693" t="s">
        <v>22</v>
      </c>
      <c r="G1693" t="s">
        <v>25</v>
      </c>
      <c r="H1693" t="s">
        <v>30</v>
      </c>
      <c r="I1693" t="s">
        <v>34</v>
      </c>
      <c r="J1693" t="s">
        <v>40</v>
      </c>
      <c r="K1693" t="s">
        <v>50</v>
      </c>
      <c r="L1693" t="s">
        <v>53</v>
      </c>
      <c r="M1693" s="7">
        <v>36735</v>
      </c>
      <c r="N1693">
        <v>0.25</v>
      </c>
      <c r="O1693" s="7">
        <v>15436</v>
      </c>
      <c r="P1693">
        <v>13</v>
      </c>
      <c r="Q1693" t="s">
        <v>55</v>
      </c>
      <c r="R1693" t="s">
        <v>62</v>
      </c>
      <c r="S1693">
        <f t="shared" si="130"/>
        <v>2025</v>
      </c>
      <c r="T1693" t="str">
        <f t="shared" si="131"/>
        <v>Aug</v>
      </c>
      <c r="U1693">
        <f t="shared" si="132"/>
        <v>7</v>
      </c>
      <c r="V1693">
        <f t="shared" si="133"/>
        <v>9</v>
      </c>
      <c r="W1693" s="9">
        <f t="shared" si="134"/>
        <v>0.42019872056621749</v>
      </c>
    </row>
    <row r="1694" spans="1:23">
      <c r="A1694">
        <v>11693</v>
      </c>
      <c r="B1694" s="5">
        <v>45889</v>
      </c>
      <c r="C1694" s="5">
        <v>45893</v>
      </c>
      <c r="D1694" s="5">
        <v>45897</v>
      </c>
      <c r="E1694" t="s">
        <v>19</v>
      </c>
      <c r="F1694" t="s">
        <v>22</v>
      </c>
      <c r="G1694" t="s">
        <v>25</v>
      </c>
      <c r="H1694" t="s">
        <v>33</v>
      </c>
      <c r="I1694" t="s">
        <v>36</v>
      </c>
      <c r="J1694" t="s">
        <v>41</v>
      </c>
      <c r="K1694" t="s">
        <v>49</v>
      </c>
      <c r="L1694" t="s">
        <v>52</v>
      </c>
      <c r="M1694" s="7">
        <v>41930</v>
      </c>
      <c r="N1694">
        <v>0.15</v>
      </c>
      <c r="O1694" s="7">
        <v>2790</v>
      </c>
      <c r="P1694">
        <v>18</v>
      </c>
      <c r="Q1694" t="s">
        <v>56</v>
      </c>
      <c r="R1694" t="s">
        <v>60</v>
      </c>
      <c r="S1694">
        <f t="shared" si="130"/>
        <v>2025</v>
      </c>
      <c r="T1694" t="str">
        <f t="shared" si="131"/>
        <v>Aug</v>
      </c>
      <c r="U1694">
        <f t="shared" si="132"/>
        <v>4</v>
      </c>
      <c r="V1694">
        <f t="shared" si="133"/>
        <v>8</v>
      </c>
      <c r="W1694" s="9">
        <f t="shared" si="134"/>
        <v>6.6539470546148338E-2</v>
      </c>
    </row>
    <row r="1695" spans="1:23">
      <c r="A1695">
        <v>11694</v>
      </c>
      <c r="B1695" s="5">
        <v>45890</v>
      </c>
      <c r="C1695" s="5">
        <v>45895</v>
      </c>
      <c r="D1695" s="5">
        <v>45897</v>
      </c>
      <c r="E1695" t="s">
        <v>18</v>
      </c>
      <c r="F1695" t="s">
        <v>22</v>
      </c>
      <c r="G1695" t="s">
        <v>27</v>
      </c>
      <c r="H1695" t="s">
        <v>33</v>
      </c>
      <c r="I1695" t="s">
        <v>36</v>
      </c>
      <c r="J1695" t="s">
        <v>42</v>
      </c>
      <c r="K1695" t="s">
        <v>46</v>
      </c>
      <c r="L1695" t="s">
        <v>53</v>
      </c>
      <c r="M1695" s="7">
        <v>73301</v>
      </c>
      <c r="N1695">
        <v>0.26</v>
      </c>
      <c r="O1695" s="7">
        <v>365</v>
      </c>
      <c r="P1695">
        <v>9</v>
      </c>
      <c r="Q1695" t="s">
        <v>57</v>
      </c>
      <c r="R1695" t="s">
        <v>62</v>
      </c>
      <c r="S1695">
        <f t="shared" si="130"/>
        <v>2025</v>
      </c>
      <c r="T1695" t="str">
        <f t="shared" si="131"/>
        <v>Aug</v>
      </c>
      <c r="U1695">
        <f t="shared" si="132"/>
        <v>5</v>
      </c>
      <c r="V1695">
        <f t="shared" si="133"/>
        <v>7</v>
      </c>
      <c r="W1695" s="9">
        <f t="shared" si="134"/>
        <v>4.9794682200788526E-3</v>
      </c>
    </row>
    <row r="1696" spans="1:23">
      <c r="A1696">
        <v>11695</v>
      </c>
      <c r="B1696" s="5">
        <v>45891</v>
      </c>
      <c r="C1696" s="5">
        <v>45893</v>
      </c>
      <c r="D1696" s="5">
        <v>45895</v>
      </c>
      <c r="E1696" t="s">
        <v>19</v>
      </c>
      <c r="F1696" t="s">
        <v>22</v>
      </c>
      <c r="G1696" t="s">
        <v>26</v>
      </c>
      <c r="H1696" t="s">
        <v>32</v>
      </c>
      <c r="I1696" t="s">
        <v>35</v>
      </c>
      <c r="J1696" t="s">
        <v>42</v>
      </c>
      <c r="K1696" t="s">
        <v>50</v>
      </c>
      <c r="L1696" t="s">
        <v>51</v>
      </c>
      <c r="M1696" s="7">
        <v>19173</v>
      </c>
      <c r="N1696">
        <v>0.03</v>
      </c>
      <c r="O1696" s="7">
        <v>8400</v>
      </c>
      <c r="P1696">
        <v>6</v>
      </c>
      <c r="Q1696" t="s">
        <v>56</v>
      </c>
      <c r="R1696" t="s">
        <v>59</v>
      </c>
      <c r="S1696">
        <f t="shared" si="130"/>
        <v>2025</v>
      </c>
      <c r="T1696" t="str">
        <f t="shared" si="131"/>
        <v>Aug</v>
      </c>
      <c r="U1696">
        <f t="shared" si="132"/>
        <v>2</v>
      </c>
      <c r="V1696">
        <f t="shared" si="133"/>
        <v>4</v>
      </c>
      <c r="W1696" s="9">
        <f t="shared" si="134"/>
        <v>0.43811610076670315</v>
      </c>
    </row>
    <row r="1697" spans="1:23">
      <c r="A1697">
        <v>11696</v>
      </c>
      <c r="B1697" s="5">
        <v>45892</v>
      </c>
      <c r="C1697" s="5">
        <v>45897</v>
      </c>
      <c r="D1697" s="5">
        <v>45901</v>
      </c>
      <c r="E1697" t="s">
        <v>19</v>
      </c>
      <c r="F1697" t="s">
        <v>22</v>
      </c>
      <c r="G1697" t="s">
        <v>25</v>
      </c>
      <c r="H1697" t="s">
        <v>33</v>
      </c>
      <c r="I1697" t="s">
        <v>35</v>
      </c>
      <c r="J1697" t="s">
        <v>42</v>
      </c>
      <c r="K1697" t="s">
        <v>45</v>
      </c>
      <c r="L1697" t="s">
        <v>53</v>
      </c>
      <c r="M1697" s="7">
        <v>27602</v>
      </c>
      <c r="N1697">
        <v>0.37</v>
      </c>
      <c r="O1697" s="7">
        <v>10670</v>
      </c>
      <c r="P1697">
        <v>10</v>
      </c>
      <c r="Q1697" t="s">
        <v>56</v>
      </c>
      <c r="R1697" t="s">
        <v>59</v>
      </c>
      <c r="S1697">
        <f t="shared" si="130"/>
        <v>2025</v>
      </c>
      <c r="T1697" t="str">
        <f t="shared" si="131"/>
        <v>Aug</v>
      </c>
      <c r="U1697">
        <f t="shared" si="132"/>
        <v>5</v>
      </c>
      <c r="V1697">
        <f t="shared" si="133"/>
        <v>9</v>
      </c>
      <c r="W1697" s="9">
        <f t="shared" si="134"/>
        <v>0.38656619085573507</v>
      </c>
    </row>
    <row r="1698" spans="1:23">
      <c r="A1698">
        <v>11697</v>
      </c>
      <c r="B1698" s="5">
        <v>45893</v>
      </c>
      <c r="C1698" s="5">
        <v>45898</v>
      </c>
      <c r="D1698" s="5">
        <v>45901</v>
      </c>
      <c r="E1698" t="s">
        <v>19</v>
      </c>
      <c r="F1698" t="s">
        <v>22</v>
      </c>
      <c r="G1698" t="s">
        <v>28</v>
      </c>
      <c r="H1698" t="s">
        <v>30</v>
      </c>
      <c r="I1698" t="s">
        <v>35</v>
      </c>
      <c r="J1698" t="s">
        <v>37</v>
      </c>
      <c r="K1698" t="s">
        <v>50</v>
      </c>
      <c r="L1698" t="s">
        <v>51</v>
      </c>
      <c r="M1698" s="7">
        <v>49146</v>
      </c>
      <c r="N1698">
        <v>0.22</v>
      </c>
      <c r="O1698" s="7">
        <v>4496</v>
      </c>
      <c r="P1698">
        <v>9</v>
      </c>
      <c r="Q1698" t="s">
        <v>54</v>
      </c>
      <c r="R1698" t="s">
        <v>62</v>
      </c>
      <c r="S1698">
        <f t="shared" si="130"/>
        <v>2025</v>
      </c>
      <c r="T1698" t="str">
        <f t="shared" si="131"/>
        <v>Aug</v>
      </c>
      <c r="U1698">
        <f t="shared" si="132"/>
        <v>5</v>
      </c>
      <c r="V1698">
        <f t="shared" si="133"/>
        <v>8</v>
      </c>
      <c r="W1698" s="9">
        <f t="shared" si="134"/>
        <v>9.1482521466650382E-2</v>
      </c>
    </row>
    <row r="1699" spans="1:23">
      <c r="A1699">
        <v>11698</v>
      </c>
      <c r="B1699" s="5">
        <v>45894</v>
      </c>
      <c r="C1699" s="5">
        <v>45901</v>
      </c>
      <c r="D1699" s="5">
        <v>45902</v>
      </c>
      <c r="E1699" t="s">
        <v>19</v>
      </c>
      <c r="F1699" t="s">
        <v>22</v>
      </c>
      <c r="G1699" t="s">
        <v>25</v>
      </c>
      <c r="H1699" t="s">
        <v>33</v>
      </c>
      <c r="I1699" t="s">
        <v>35</v>
      </c>
      <c r="J1699" t="s">
        <v>38</v>
      </c>
      <c r="K1699" t="s">
        <v>44</v>
      </c>
      <c r="L1699" t="s">
        <v>53</v>
      </c>
      <c r="M1699" s="7">
        <v>60199</v>
      </c>
      <c r="N1699">
        <v>0.21</v>
      </c>
      <c r="O1699" s="7">
        <v>3364</v>
      </c>
      <c r="P1699">
        <v>19</v>
      </c>
      <c r="Q1699" t="s">
        <v>56</v>
      </c>
      <c r="R1699" t="s">
        <v>61</v>
      </c>
      <c r="S1699">
        <f t="shared" si="130"/>
        <v>2025</v>
      </c>
      <c r="T1699" t="str">
        <f t="shared" si="131"/>
        <v>Aug</v>
      </c>
      <c r="U1699">
        <f t="shared" si="132"/>
        <v>7</v>
      </c>
      <c r="V1699">
        <f t="shared" si="133"/>
        <v>8</v>
      </c>
      <c r="W1699" s="9">
        <f t="shared" si="134"/>
        <v>5.5881326932341067E-2</v>
      </c>
    </row>
    <row r="1700" spans="1:23">
      <c r="A1700">
        <v>11699</v>
      </c>
      <c r="B1700" s="5">
        <v>45895</v>
      </c>
      <c r="C1700" s="5">
        <v>45901</v>
      </c>
      <c r="D1700" s="5">
        <v>45903</v>
      </c>
      <c r="E1700" t="s">
        <v>21</v>
      </c>
      <c r="F1700" t="s">
        <v>22</v>
      </c>
      <c r="G1700" t="s">
        <v>28</v>
      </c>
      <c r="H1700" t="s">
        <v>30</v>
      </c>
      <c r="I1700" t="s">
        <v>36</v>
      </c>
      <c r="J1700" t="s">
        <v>37</v>
      </c>
      <c r="K1700" t="s">
        <v>50</v>
      </c>
      <c r="L1700" t="s">
        <v>53</v>
      </c>
      <c r="M1700" s="7">
        <v>23959</v>
      </c>
      <c r="N1700">
        <v>0.35</v>
      </c>
      <c r="O1700" s="7">
        <v>13807</v>
      </c>
      <c r="P1700">
        <v>9</v>
      </c>
      <c r="Q1700" t="s">
        <v>56</v>
      </c>
      <c r="R1700" t="s">
        <v>60</v>
      </c>
      <c r="S1700">
        <f t="shared" si="130"/>
        <v>2025</v>
      </c>
      <c r="T1700" t="str">
        <f t="shared" si="131"/>
        <v>Aug</v>
      </c>
      <c r="U1700">
        <f t="shared" si="132"/>
        <v>6</v>
      </c>
      <c r="V1700">
        <f t="shared" si="133"/>
        <v>8</v>
      </c>
      <c r="W1700" s="9">
        <f t="shared" si="134"/>
        <v>0.57627613840310532</v>
      </c>
    </row>
    <row r="1701" spans="1:23">
      <c r="A1701">
        <v>11700</v>
      </c>
      <c r="B1701" s="5">
        <v>45896</v>
      </c>
      <c r="C1701" s="5">
        <v>45900</v>
      </c>
      <c r="D1701" s="5">
        <v>45901</v>
      </c>
      <c r="E1701" t="s">
        <v>18</v>
      </c>
      <c r="F1701" t="s">
        <v>22</v>
      </c>
      <c r="G1701" t="s">
        <v>26</v>
      </c>
      <c r="H1701" t="s">
        <v>31</v>
      </c>
      <c r="I1701" t="s">
        <v>36</v>
      </c>
      <c r="J1701" t="s">
        <v>37</v>
      </c>
      <c r="K1701" t="s">
        <v>50</v>
      </c>
      <c r="L1701" t="s">
        <v>53</v>
      </c>
      <c r="M1701" s="7">
        <v>23299</v>
      </c>
      <c r="N1701">
        <v>0.35</v>
      </c>
      <c r="O1701" s="7">
        <v>-1691</v>
      </c>
      <c r="P1701">
        <v>22</v>
      </c>
      <c r="Q1701" t="s">
        <v>57</v>
      </c>
      <c r="R1701" t="s">
        <v>62</v>
      </c>
      <c r="S1701">
        <f t="shared" si="130"/>
        <v>2025</v>
      </c>
      <c r="T1701" t="str">
        <f t="shared" si="131"/>
        <v>Aug</v>
      </c>
      <c r="U1701">
        <f t="shared" si="132"/>
        <v>4</v>
      </c>
      <c r="V1701">
        <f t="shared" si="133"/>
        <v>5</v>
      </c>
      <c r="W1701" s="9">
        <f t="shared" si="134"/>
        <v>-7.257822224129791E-2</v>
      </c>
    </row>
    <row r="1702" spans="1:23">
      <c r="A1702">
        <v>11701</v>
      </c>
      <c r="B1702" s="5">
        <v>45897</v>
      </c>
      <c r="C1702" s="5">
        <v>45903</v>
      </c>
      <c r="D1702" s="5">
        <v>45906</v>
      </c>
      <c r="E1702" t="s">
        <v>19</v>
      </c>
      <c r="F1702" t="s">
        <v>22</v>
      </c>
      <c r="G1702" t="s">
        <v>24</v>
      </c>
      <c r="H1702" t="s">
        <v>31</v>
      </c>
      <c r="I1702" t="s">
        <v>35</v>
      </c>
      <c r="J1702" t="s">
        <v>38</v>
      </c>
      <c r="K1702" t="s">
        <v>49</v>
      </c>
      <c r="L1702" t="s">
        <v>51</v>
      </c>
      <c r="M1702" s="7">
        <v>11297</v>
      </c>
      <c r="N1702">
        <v>0.3</v>
      </c>
      <c r="O1702" s="7">
        <v>-1060</v>
      </c>
      <c r="P1702">
        <v>3</v>
      </c>
      <c r="Q1702" t="s">
        <v>58</v>
      </c>
      <c r="R1702" t="s">
        <v>59</v>
      </c>
      <c r="S1702">
        <f t="shared" si="130"/>
        <v>2025</v>
      </c>
      <c r="T1702" t="str">
        <f t="shared" si="131"/>
        <v>Aug</v>
      </c>
      <c r="U1702">
        <f t="shared" si="132"/>
        <v>6</v>
      </c>
      <c r="V1702">
        <f t="shared" si="133"/>
        <v>9</v>
      </c>
      <c r="W1702" s="9">
        <f t="shared" si="134"/>
        <v>-9.3830220412498888E-2</v>
      </c>
    </row>
    <row r="1703" spans="1:23">
      <c r="A1703">
        <v>11702</v>
      </c>
      <c r="B1703" s="5">
        <v>45898</v>
      </c>
      <c r="C1703" s="5">
        <v>45904</v>
      </c>
      <c r="D1703" s="5">
        <v>45905</v>
      </c>
      <c r="E1703" t="s">
        <v>19</v>
      </c>
      <c r="F1703" t="s">
        <v>22</v>
      </c>
      <c r="G1703" t="s">
        <v>28</v>
      </c>
      <c r="H1703" t="s">
        <v>32</v>
      </c>
      <c r="I1703" t="s">
        <v>35</v>
      </c>
      <c r="J1703" t="s">
        <v>40</v>
      </c>
      <c r="K1703" t="s">
        <v>50</v>
      </c>
      <c r="L1703" t="s">
        <v>53</v>
      </c>
      <c r="M1703" s="7">
        <v>2003</v>
      </c>
      <c r="N1703">
        <v>0.16</v>
      </c>
      <c r="O1703" s="7">
        <v>11691</v>
      </c>
      <c r="P1703">
        <v>5</v>
      </c>
      <c r="Q1703" t="s">
        <v>56</v>
      </c>
      <c r="R1703" t="s">
        <v>60</v>
      </c>
      <c r="S1703">
        <f t="shared" si="130"/>
        <v>2025</v>
      </c>
      <c r="T1703" t="str">
        <f t="shared" si="131"/>
        <v>Aug</v>
      </c>
      <c r="U1703">
        <f t="shared" si="132"/>
        <v>6</v>
      </c>
      <c r="V1703">
        <f t="shared" si="133"/>
        <v>7</v>
      </c>
      <c r="W1703" s="9">
        <f t="shared" si="134"/>
        <v>5.836744882675986</v>
      </c>
    </row>
    <row r="1704" spans="1:23">
      <c r="A1704">
        <v>11703</v>
      </c>
      <c r="B1704" s="5">
        <v>45899</v>
      </c>
      <c r="C1704" s="5">
        <v>45906</v>
      </c>
      <c r="D1704" s="5">
        <v>45908</v>
      </c>
      <c r="E1704" t="s">
        <v>21</v>
      </c>
      <c r="F1704" t="s">
        <v>22</v>
      </c>
      <c r="G1704" t="s">
        <v>25</v>
      </c>
      <c r="H1704" t="s">
        <v>31</v>
      </c>
      <c r="I1704" t="s">
        <v>36</v>
      </c>
      <c r="J1704" t="s">
        <v>37</v>
      </c>
      <c r="K1704" t="s">
        <v>50</v>
      </c>
      <c r="L1704" t="s">
        <v>52</v>
      </c>
      <c r="M1704" s="7">
        <v>74444</v>
      </c>
      <c r="N1704">
        <v>0.15</v>
      </c>
      <c r="O1704" s="7">
        <v>10904</v>
      </c>
      <c r="P1704">
        <v>5</v>
      </c>
      <c r="Q1704" t="s">
        <v>56</v>
      </c>
      <c r="R1704" t="s">
        <v>60</v>
      </c>
      <c r="S1704">
        <f t="shared" si="130"/>
        <v>2025</v>
      </c>
      <c r="T1704" t="str">
        <f t="shared" si="131"/>
        <v>Aug</v>
      </c>
      <c r="U1704">
        <f t="shared" si="132"/>
        <v>7</v>
      </c>
      <c r="V1704">
        <f t="shared" si="133"/>
        <v>9</v>
      </c>
      <c r="W1704" s="9">
        <f t="shared" si="134"/>
        <v>0.14647251625382837</v>
      </c>
    </row>
    <row r="1705" spans="1:23">
      <c r="A1705">
        <v>11704</v>
      </c>
      <c r="B1705" s="5">
        <v>45900</v>
      </c>
      <c r="C1705" s="5">
        <v>45903</v>
      </c>
      <c r="D1705" s="5">
        <v>45906</v>
      </c>
      <c r="E1705" t="s">
        <v>20</v>
      </c>
      <c r="F1705" t="s">
        <v>22</v>
      </c>
      <c r="G1705" t="s">
        <v>26</v>
      </c>
      <c r="H1705" t="s">
        <v>31</v>
      </c>
      <c r="I1705" t="s">
        <v>34</v>
      </c>
      <c r="J1705" t="s">
        <v>39</v>
      </c>
      <c r="K1705" t="s">
        <v>45</v>
      </c>
      <c r="L1705" t="s">
        <v>51</v>
      </c>
      <c r="M1705" s="7">
        <v>46345</v>
      </c>
      <c r="N1705">
        <v>0.39</v>
      </c>
      <c r="O1705" s="7">
        <v>201</v>
      </c>
      <c r="P1705">
        <v>8</v>
      </c>
      <c r="Q1705" t="s">
        <v>55</v>
      </c>
      <c r="R1705" t="s">
        <v>59</v>
      </c>
      <c r="S1705">
        <f t="shared" si="130"/>
        <v>2025</v>
      </c>
      <c r="T1705" t="str">
        <f t="shared" si="131"/>
        <v>Aug</v>
      </c>
      <c r="U1705">
        <f t="shared" si="132"/>
        <v>3</v>
      </c>
      <c r="V1705">
        <f t="shared" si="133"/>
        <v>6</v>
      </c>
      <c r="W1705" s="9">
        <f t="shared" si="134"/>
        <v>4.3370374366166796E-3</v>
      </c>
    </row>
    <row r="1706" spans="1:23">
      <c r="A1706">
        <v>11705</v>
      </c>
      <c r="B1706" s="5">
        <v>45901</v>
      </c>
      <c r="C1706" s="5">
        <v>45904</v>
      </c>
      <c r="D1706" s="5">
        <v>45905</v>
      </c>
      <c r="E1706" t="s">
        <v>21</v>
      </c>
      <c r="F1706" t="s">
        <v>22</v>
      </c>
      <c r="G1706" t="s">
        <v>24</v>
      </c>
      <c r="H1706" t="s">
        <v>31</v>
      </c>
      <c r="I1706" t="s">
        <v>36</v>
      </c>
      <c r="J1706" t="s">
        <v>42</v>
      </c>
      <c r="K1706" t="s">
        <v>50</v>
      </c>
      <c r="L1706" t="s">
        <v>52</v>
      </c>
      <c r="M1706" s="7">
        <v>9301</v>
      </c>
      <c r="N1706">
        <v>0.32</v>
      </c>
      <c r="O1706" s="7">
        <v>18077</v>
      </c>
      <c r="P1706">
        <v>13</v>
      </c>
      <c r="Q1706" t="s">
        <v>58</v>
      </c>
      <c r="R1706" t="s">
        <v>60</v>
      </c>
      <c r="S1706">
        <f t="shared" si="130"/>
        <v>2025</v>
      </c>
      <c r="T1706" t="str">
        <f t="shared" si="131"/>
        <v>Sep</v>
      </c>
      <c r="U1706">
        <f t="shared" si="132"/>
        <v>3</v>
      </c>
      <c r="V1706">
        <f t="shared" si="133"/>
        <v>4</v>
      </c>
      <c r="W1706" s="9">
        <f t="shared" si="134"/>
        <v>1.9435544565100527</v>
      </c>
    </row>
    <row r="1707" spans="1:23">
      <c r="A1707">
        <v>11706</v>
      </c>
      <c r="B1707" s="5">
        <v>45902</v>
      </c>
      <c r="C1707" s="5">
        <v>45909</v>
      </c>
      <c r="D1707" s="5">
        <v>45914</v>
      </c>
      <c r="E1707" t="s">
        <v>19</v>
      </c>
      <c r="F1707" t="s">
        <v>22</v>
      </c>
      <c r="G1707" t="s">
        <v>23</v>
      </c>
      <c r="H1707" t="s">
        <v>31</v>
      </c>
      <c r="I1707" t="s">
        <v>34</v>
      </c>
      <c r="J1707" t="s">
        <v>40</v>
      </c>
      <c r="K1707" t="s">
        <v>48</v>
      </c>
      <c r="L1707" t="s">
        <v>51</v>
      </c>
      <c r="M1707" s="7">
        <v>14595</v>
      </c>
      <c r="N1707">
        <v>0.14000000000000001</v>
      </c>
      <c r="O1707" s="7">
        <v>7733</v>
      </c>
      <c r="P1707">
        <v>23</v>
      </c>
      <c r="Q1707" t="s">
        <v>56</v>
      </c>
      <c r="R1707" t="s">
        <v>62</v>
      </c>
      <c r="S1707">
        <f t="shared" si="130"/>
        <v>2025</v>
      </c>
      <c r="T1707" t="str">
        <f t="shared" si="131"/>
        <v>Sep</v>
      </c>
      <c r="U1707">
        <f t="shared" si="132"/>
        <v>7</v>
      </c>
      <c r="V1707">
        <f t="shared" si="133"/>
        <v>12</v>
      </c>
      <c r="W1707" s="9">
        <f t="shared" si="134"/>
        <v>0.52983898595409384</v>
      </c>
    </row>
    <row r="1708" spans="1:23">
      <c r="A1708">
        <v>11707</v>
      </c>
      <c r="B1708" s="5">
        <v>45903</v>
      </c>
      <c r="C1708" s="5">
        <v>45908</v>
      </c>
      <c r="D1708" s="5">
        <v>45913</v>
      </c>
      <c r="E1708" t="s">
        <v>21</v>
      </c>
      <c r="F1708" t="s">
        <v>22</v>
      </c>
      <c r="G1708" t="s">
        <v>24</v>
      </c>
      <c r="H1708" t="s">
        <v>25</v>
      </c>
      <c r="I1708" t="s">
        <v>35</v>
      </c>
      <c r="J1708" t="s">
        <v>40</v>
      </c>
      <c r="K1708" t="s">
        <v>47</v>
      </c>
      <c r="L1708" t="s">
        <v>53</v>
      </c>
      <c r="M1708" s="7">
        <v>70356</v>
      </c>
      <c r="N1708">
        <v>0.35</v>
      </c>
      <c r="O1708" s="7">
        <v>-608</v>
      </c>
      <c r="P1708">
        <v>6</v>
      </c>
      <c r="Q1708" t="s">
        <v>56</v>
      </c>
      <c r="R1708" t="s">
        <v>61</v>
      </c>
      <c r="S1708">
        <f t="shared" si="130"/>
        <v>2025</v>
      </c>
      <c r="T1708" t="str">
        <f t="shared" si="131"/>
        <v>Sep</v>
      </c>
      <c r="U1708">
        <f t="shared" si="132"/>
        <v>5</v>
      </c>
      <c r="V1708">
        <f t="shared" si="133"/>
        <v>10</v>
      </c>
      <c r="W1708" s="9">
        <f t="shared" si="134"/>
        <v>-8.6417647393257149E-3</v>
      </c>
    </row>
    <row r="1709" spans="1:23">
      <c r="A1709">
        <v>11708</v>
      </c>
      <c r="B1709" s="5">
        <v>45904</v>
      </c>
      <c r="C1709" s="5">
        <v>45907</v>
      </c>
      <c r="D1709" s="5">
        <v>45910</v>
      </c>
      <c r="E1709" t="s">
        <v>18</v>
      </c>
      <c r="F1709" t="s">
        <v>22</v>
      </c>
      <c r="G1709" t="s">
        <v>25</v>
      </c>
      <c r="H1709" t="s">
        <v>32</v>
      </c>
      <c r="I1709" t="s">
        <v>34</v>
      </c>
      <c r="J1709" t="s">
        <v>39</v>
      </c>
      <c r="K1709" t="s">
        <v>47</v>
      </c>
      <c r="L1709" t="s">
        <v>52</v>
      </c>
      <c r="M1709" s="7">
        <v>45072</v>
      </c>
      <c r="N1709">
        <v>0.18</v>
      </c>
      <c r="O1709" s="7">
        <v>2592</v>
      </c>
      <c r="P1709">
        <v>12</v>
      </c>
      <c r="Q1709" t="s">
        <v>57</v>
      </c>
      <c r="R1709" t="s">
        <v>60</v>
      </c>
      <c r="S1709">
        <f t="shared" si="130"/>
        <v>2025</v>
      </c>
      <c r="T1709" t="str">
        <f t="shared" si="131"/>
        <v>Sep</v>
      </c>
      <c r="U1709">
        <f t="shared" si="132"/>
        <v>3</v>
      </c>
      <c r="V1709">
        <f t="shared" si="133"/>
        <v>6</v>
      </c>
      <c r="W1709" s="9">
        <f t="shared" si="134"/>
        <v>5.7507987220447282E-2</v>
      </c>
    </row>
    <row r="1710" spans="1:23">
      <c r="A1710">
        <v>11709</v>
      </c>
      <c r="B1710" s="5">
        <v>45905</v>
      </c>
      <c r="C1710" s="5">
        <v>45908</v>
      </c>
      <c r="D1710" s="5">
        <v>45909</v>
      </c>
      <c r="E1710" t="s">
        <v>21</v>
      </c>
      <c r="F1710" t="s">
        <v>22</v>
      </c>
      <c r="G1710" t="s">
        <v>25</v>
      </c>
      <c r="H1710" t="s">
        <v>32</v>
      </c>
      <c r="I1710" t="s">
        <v>36</v>
      </c>
      <c r="J1710" t="s">
        <v>39</v>
      </c>
      <c r="K1710" t="s">
        <v>45</v>
      </c>
      <c r="L1710" t="s">
        <v>52</v>
      </c>
      <c r="M1710" s="7">
        <v>6122</v>
      </c>
      <c r="N1710">
        <v>0.06</v>
      </c>
      <c r="O1710" s="7">
        <v>7875</v>
      </c>
      <c r="P1710">
        <v>16</v>
      </c>
      <c r="Q1710" t="s">
        <v>54</v>
      </c>
      <c r="R1710" t="s">
        <v>61</v>
      </c>
      <c r="S1710">
        <f t="shared" si="130"/>
        <v>2025</v>
      </c>
      <c r="T1710" t="str">
        <f t="shared" si="131"/>
        <v>Sep</v>
      </c>
      <c r="U1710">
        <f t="shared" si="132"/>
        <v>3</v>
      </c>
      <c r="V1710">
        <f t="shared" si="133"/>
        <v>4</v>
      </c>
      <c r="W1710" s="9">
        <f t="shared" si="134"/>
        <v>1.2863443319176739</v>
      </c>
    </row>
    <row r="1711" spans="1:23">
      <c r="A1711">
        <v>11710</v>
      </c>
      <c r="B1711" s="5">
        <v>45906</v>
      </c>
      <c r="C1711" s="5">
        <v>45909</v>
      </c>
      <c r="D1711" s="5">
        <v>45911</v>
      </c>
      <c r="E1711" t="s">
        <v>18</v>
      </c>
      <c r="F1711" t="s">
        <v>22</v>
      </c>
      <c r="G1711" t="s">
        <v>28</v>
      </c>
      <c r="H1711" t="s">
        <v>33</v>
      </c>
      <c r="I1711" t="s">
        <v>36</v>
      </c>
      <c r="J1711" t="s">
        <v>41</v>
      </c>
      <c r="K1711" t="s">
        <v>46</v>
      </c>
      <c r="L1711" t="s">
        <v>51</v>
      </c>
      <c r="M1711" s="7">
        <v>41159</v>
      </c>
      <c r="N1711">
        <v>0</v>
      </c>
      <c r="O1711" s="7">
        <v>5268</v>
      </c>
      <c r="P1711">
        <v>24</v>
      </c>
      <c r="Q1711" t="s">
        <v>55</v>
      </c>
      <c r="R1711" t="s">
        <v>60</v>
      </c>
      <c r="S1711">
        <f t="shared" si="130"/>
        <v>2025</v>
      </c>
      <c r="T1711" t="str">
        <f t="shared" si="131"/>
        <v>Sep</v>
      </c>
      <c r="U1711">
        <f t="shared" si="132"/>
        <v>3</v>
      </c>
      <c r="V1711">
        <f t="shared" si="133"/>
        <v>5</v>
      </c>
      <c r="W1711" s="9">
        <f t="shared" si="134"/>
        <v>0.12799144779999513</v>
      </c>
    </row>
    <row r="1712" spans="1:23">
      <c r="A1712">
        <v>11711</v>
      </c>
      <c r="B1712" s="5">
        <v>45907</v>
      </c>
      <c r="C1712" s="5">
        <v>45910</v>
      </c>
      <c r="D1712" s="5">
        <v>45913</v>
      </c>
      <c r="E1712" t="s">
        <v>20</v>
      </c>
      <c r="F1712" t="s">
        <v>22</v>
      </c>
      <c r="G1712" t="s">
        <v>27</v>
      </c>
      <c r="H1712" t="s">
        <v>30</v>
      </c>
      <c r="I1712" t="s">
        <v>34</v>
      </c>
      <c r="J1712" t="s">
        <v>39</v>
      </c>
      <c r="K1712" t="s">
        <v>48</v>
      </c>
      <c r="L1712" t="s">
        <v>51</v>
      </c>
      <c r="M1712" s="7">
        <v>21369</v>
      </c>
      <c r="N1712">
        <v>0.28999999999999998</v>
      </c>
      <c r="O1712" s="7">
        <v>1305</v>
      </c>
      <c r="P1712">
        <v>16</v>
      </c>
      <c r="Q1712" t="s">
        <v>54</v>
      </c>
      <c r="R1712" t="s">
        <v>60</v>
      </c>
      <c r="S1712">
        <f t="shared" si="130"/>
        <v>2025</v>
      </c>
      <c r="T1712" t="str">
        <f t="shared" si="131"/>
        <v>Sep</v>
      </c>
      <c r="U1712">
        <f t="shared" si="132"/>
        <v>3</v>
      </c>
      <c r="V1712">
        <f t="shared" si="133"/>
        <v>6</v>
      </c>
      <c r="W1712" s="9">
        <f t="shared" si="134"/>
        <v>6.1069773971641164E-2</v>
      </c>
    </row>
    <row r="1713" spans="1:23">
      <c r="A1713">
        <v>11712</v>
      </c>
      <c r="B1713" s="5">
        <v>45908</v>
      </c>
      <c r="C1713" s="5">
        <v>45915</v>
      </c>
      <c r="D1713" s="5">
        <v>45916</v>
      </c>
      <c r="E1713" t="s">
        <v>19</v>
      </c>
      <c r="F1713" t="s">
        <v>22</v>
      </c>
      <c r="G1713" t="s">
        <v>23</v>
      </c>
      <c r="H1713" t="s">
        <v>31</v>
      </c>
      <c r="I1713" t="s">
        <v>35</v>
      </c>
      <c r="J1713" t="s">
        <v>41</v>
      </c>
      <c r="K1713" t="s">
        <v>45</v>
      </c>
      <c r="L1713" t="s">
        <v>53</v>
      </c>
      <c r="M1713" s="7">
        <v>9102</v>
      </c>
      <c r="N1713">
        <v>0.31</v>
      </c>
      <c r="O1713" s="7">
        <v>2431</v>
      </c>
      <c r="P1713">
        <v>4</v>
      </c>
      <c r="Q1713" t="s">
        <v>56</v>
      </c>
      <c r="R1713" t="s">
        <v>61</v>
      </c>
      <c r="S1713">
        <f t="shared" si="130"/>
        <v>2025</v>
      </c>
      <c r="T1713" t="str">
        <f t="shared" si="131"/>
        <v>Sep</v>
      </c>
      <c r="U1713">
        <f t="shared" si="132"/>
        <v>7</v>
      </c>
      <c r="V1713">
        <f t="shared" si="133"/>
        <v>8</v>
      </c>
      <c r="W1713" s="9">
        <f t="shared" si="134"/>
        <v>0.26708415732805979</v>
      </c>
    </row>
    <row r="1714" spans="1:23">
      <c r="A1714">
        <v>11713</v>
      </c>
      <c r="B1714" s="5">
        <v>45909</v>
      </c>
      <c r="C1714" s="5">
        <v>45916</v>
      </c>
      <c r="D1714" s="5">
        <v>45921</v>
      </c>
      <c r="E1714" t="s">
        <v>20</v>
      </c>
      <c r="F1714" t="s">
        <v>22</v>
      </c>
      <c r="G1714" t="s">
        <v>24</v>
      </c>
      <c r="H1714" t="s">
        <v>30</v>
      </c>
      <c r="I1714" t="s">
        <v>35</v>
      </c>
      <c r="J1714" t="s">
        <v>38</v>
      </c>
      <c r="K1714" t="s">
        <v>49</v>
      </c>
      <c r="L1714" t="s">
        <v>53</v>
      </c>
      <c r="M1714" s="7">
        <v>19300</v>
      </c>
      <c r="N1714">
        <v>0.24</v>
      </c>
      <c r="O1714" s="7">
        <v>11050</v>
      </c>
      <c r="P1714">
        <v>8</v>
      </c>
      <c r="Q1714" t="s">
        <v>57</v>
      </c>
      <c r="R1714" t="s">
        <v>60</v>
      </c>
      <c r="S1714">
        <f t="shared" si="130"/>
        <v>2025</v>
      </c>
      <c r="T1714" t="str">
        <f t="shared" si="131"/>
        <v>Sep</v>
      </c>
      <c r="U1714">
        <f t="shared" si="132"/>
        <v>7</v>
      </c>
      <c r="V1714">
        <f t="shared" si="133"/>
        <v>12</v>
      </c>
      <c r="W1714" s="9">
        <f t="shared" si="134"/>
        <v>0.57253886010362698</v>
      </c>
    </row>
    <row r="1715" spans="1:23">
      <c r="A1715">
        <v>11714</v>
      </c>
      <c r="B1715" s="5">
        <v>45910</v>
      </c>
      <c r="C1715" s="5">
        <v>45914</v>
      </c>
      <c r="D1715" s="5">
        <v>45919</v>
      </c>
      <c r="E1715" t="s">
        <v>21</v>
      </c>
      <c r="F1715" t="s">
        <v>22</v>
      </c>
      <c r="G1715" t="s">
        <v>23</v>
      </c>
      <c r="H1715" t="s">
        <v>31</v>
      </c>
      <c r="I1715" t="s">
        <v>36</v>
      </c>
      <c r="J1715" t="s">
        <v>37</v>
      </c>
      <c r="K1715" t="s">
        <v>49</v>
      </c>
      <c r="L1715" t="s">
        <v>51</v>
      </c>
      <c r="M1715" s="7">
        <v>10425</v>
      </c>
      <c r="N1715">
        <v>0.24</v>
      </c>
      <c r="O1715" s="7">
        <v>11777</v>
      </c>
      <c r="P1715">
        <v>22</v>
      </c>
      <c r="Q1715" t="s">
        <v>54</v>
      </c>
      <c r="R1715" t="s">
        <v>61</v>
      </c>
      <c r="S1715">
        <f t="shared" si="130"/>
        <v>2025</v>
      </c>
      <c r="T1715" t="str">
        <f t="shared" si="131"/>
        <v>Sep</v>
      </c>
      <c r="U1715">
        <f t="shared" si="132"/>
        <v>4</v>
      </c>
      <c r="V1715">
        <f t="shared" si="133"/>
        <v>9</v>
      </c>
      <c r="W1715" s="9">
        <f t="shared" si="134"/>
        <v>1.1296882494004796</v>
      </c>
    </row>
    <row r="1716" spans="1:23">
      <c r="A1716">
        <v>11715</v>
      </c>
      <c r="B1716" s="5">
        <v>45911</v>
      </c>
      <c r="C1716" s="5">
        <v>45915</v>
      </c>
      <c r="D1716" s="5">
        <v>45916</v>
      </c>
      <c r="E1716" t="s">
        <v>18</v>
      </c>
      <c r="F1716" t="s">
        <v>22</v>
      </c>
      <c r="G1716" t="s">
        <v>28</v>
      </c>
      <c r="H1716" t="s">
        <v>32</v>
      </c>
      <c r="I1716" t="s">
        <v>35</v>
      </c>
      <c r="J1716" t="s">
        <v>40</v>
      </c>
      <c r="K1716" t="s">
        <v>48</v>
      </c>
      <c r="L1716" t="s">
        <v>51</v>
      </c>
      <c r="M1716" s="7">
        <v>2413</v>
      </c>
      <c r="N1716">
        <v>0</v>
      </c>
      <c r="O1716" s="7">
        <v>14854</v>
      </c>
      <c r="P1716">
        <v>21</v>
      </c>
      <c r="Q1716" t="s">
        <v>57</v>
      </c>
      <c r="R1716" t="s">
        <v>59</v>
      </c>
      <c r="S1716">
        <f t="shared" si="130"/>
        <v>2025</v>
      </c>
      <c r="T1716" t="str">
        <f t="shared" si="131"/>
        <v>Sep</v>
      </c>
      <c r="U1716">
        <f t="shared" si="132"/>
        <v>4</v>
      </c>
      <c r="V1716">
        <f t="shared" si="133"/>
        <v>5</v>
      </c>
      <c r="W1716" s="9">
        <f t="shared" si="134"/>
        <v>6.1558226274347287</v>
      </c>
    </row>
    <row r="1717" spans="1:23">
      <c r="A1717">
        <v>11716</v>
      </c>
      <c r="B1717" s="5">
        <v>45912</v>
      </c>
      <c r="C1717" s="5">
        <v>45915</v>
      </c>
      <c r="D1717" s="5">
        <v>45920</v>
      </c>
      <c r="E1717" t="s">
        <v>19</v>
      </c>
      <c r="F1717" t="s">
        <v>22</v>
      </c>
      <c r="G1717" t="s">
        <v>23</v>
      </c>
      <c r="H1717" t="s">
        <v>25</v>
      </c>
      <c r="I1717" t="s">
        <v>34</v>
      </c>
      <c r="J1717" t="s">
        <v>43</v>
      </c>
      <c r="K1717" t="s">
        <v>50</v>
      </c>
      <c r="L1717" t="s">
        <v>53</v>
      </c>
      <c r="M1717" s="7">
        <v>12359</v>
      </c>
      <c r="N1717">
        <v>0.17</v>
      </c>
      <c r="O1717" s="7">
        <v>3859</v>
      </c>
      <c r="P1717">
        <v>13</v>
      </c>
      <c r="Q1717" t="s">
        <v>56</v>
      </c>
      <c r="R1717" t="s">
        <v>60</v>
      </c>
      <c r="S1717">
        <f t="shared" si="130"/>
        <v>2025</v>
      </c>
      <c r="T1717" t="str">
        <f t="shared" si="131"/>
        <v>Sep</v>
      </c>
      <c r="U1717">
        <f t="shared" si="132"/>
        <v>3</v>
      </c>
      <c r="V1717">
        <f t="shared" si="133"/>
        <v>8</v>
      </c>
      <c r="W1717" s="9">
        <f t="shared" si="134"/>
        <v>0.31224209078404402</v>
      </c>
    </row>
    <row r="1718" spans="1:23">
      <c r="A1718">
        <v>11717</v>
      </c>
      <c r="B1718" s="5">
        <v>45913</v>
      </c>
      <c r="C1718" s="5">
        <v>45916</v>
      </c>
      <c r="D1718" s="5">
        <v>45918</v>
      </c>
      <c r="E1718" t="s">
        <v>21</v>
      </c>
      <c r="F1718" t="s">
        <v>22</v>
      </c>
      <c r="G1718" t="s">
        <v>23</v>
      </c>
      <c r="H1718" t="s">
        <v>30</v>
      </c>
      <c r="I1718" t="s">
        <v>36</v>
      </c>
      <c r="J1718" t="s">
        <v>41</v>
      </c>
      <c r="K1718" t="s">
        <v>49</v>
      </c>
      <c r="L1718" t="s">
        <v>51</v>
      </c>
      <c r="M1718" s="7">
        <v>28978</v>
      </c>
      <c r="N1718">
        <v>0.01</v>
      </c>
      <c r="O1718" s="7">
        <v>10844</v>
      </c>
      <c r="P1718">
        <v>21</v>
      </c>
      <c r="Q1718" t="s">
        <v>56</v>
      </c>
      <c r="R1718" t="s">
        <v>61</v>
      </c>
      <c r="S1718">
        <f t="shared" si="130"/>
        <v>2025</v>
      </c>
      <c r="T1718" t="str">
        <f t="shared" si="131"/>
        <v>Sep</v>
      </c>
      <c r="U1718">
        <f t="shared" si="132"/>
        <v>3</v>
      </c>
      <c r="V1718">
        <f t="shared" si="133"/>
        <v>5</v>
      </c>
      <c r="W1718" s="9">
        <f t="shared" si="134"/>
        <v>0.37421492166471115</v>
      </c>
    </row>
    <row r="1719" spans="1:23">
      <c r="A1719">
        <v>11718</v>
      </c>
      <c r="B1719" s="5">
        <v>45914</v>
      </c>
      <c r="C1719" s="5">
        <v>45918</v>
      </c>
      <c r="D1719" s="5">
        <v>45919</v>
      </c>
      <c r="E1719" t="s">
        <v>19</v>
      </c>
      <c r="F1719" t="s">
        <v>22</v>
      </c>
      <c r="G1719" t="s">
        <v>23</v>
      </c>
      <c r="H1719" t="s">
        <v>25</v>
      </c>
      <c r="I1719" t="s">
        <v>36</v>
      </c>
      <c r="J1719" t="s">
        <v>37</v>
      </c>
      <c r="K1719" t="s">
        <v>47</v>
      </c>
      <c r="L1719" t="s">
        <v>52</v>
      </c>
      <c r="M1719" s="7">
        <v>37390</v>
      </c>
      <c r="N1719">
        <v>0.01</v>
      </c>
      <c r="O1719" s="7">
        <v>12083</v>
      </c>
      <c r="P1719">
        <v>15</v>
      </c>
      <c r="Q1719" t="s">
        <v>54</v>
      </c>
      <c r="R1719" t="s">
        <v>60</v>
      </c>
      <c r="S1719">
        <f t="shared" si="130"/>
        <v>2025</v>
      </c>
      <c r="T1719" t="str">
        <f t="shared" si="131"/>
        <v>Sep</v>
      </c>
      <c r="U1719">
        <f t="shared" si="132"/>
        <v>4</v>
      </c>
      <c r="V1719">
        <f t="shared" si="133"/>
        <v>5</v>
      </c>
      <c r="W1719" s="9">
        <f t="shared" si="134"/>
        <v>0.32316127306766518</v>
      </c>
    </row>
    <row r="1720" spans="1:23">
      <c r="A1720">
        <v>11719</v>
      </c>
      <c r="B1720" s="5">
        <v>45915</v>
      </c>
      <c r="C1720" s="5">
        <v>45921</v>
      </c>
      <c r="D1720" s="5">
        <v>45922</v>
      </c>
      <c r="E1720" t="s">
        <v>21</v>
      </c>
      <c r="F1720" t="s">
        <v>22</v>
      </c>
      <c r="G1720" t="s">
        <v>27</v>
      </c>
      <c r="H1720" t="s">
        <v>25</v>
      </c>
      <c r="I1720" t="s">
        <v>36</v>
      </c>
      <c r="J1720" t="s">
        <v>37</v>
      </c>
      <c r="K1720" t="s">
        <v>47</v>
      </c>
      <c r="L1720" t="s">
        <v>52</v>
      </c>
      <c r="M1720" s="7">
        <v>59005</v>
      </c>
      <c r="N1720">
        <v>0.3</v>
      </c>
      <c r="O1720" s="7">
        <v>3449</v>
      </c>
      <c r="P1720">
        <v>21</v>
      </c>
      <c r="Q1720" t="s">
        <v>55</v>
      </c>
      <c r="R1720" t="s">
        <v>59</v>
      </c>
      <c r="S1720">
        <f t="shared" si="130"/>
        <v>2025</v>
      </c>
      <c r="T1720" t="str">
        <f t="shared" si="131"/>
        <v>Sep</v>
      </c>
      <c r="U1720">
        <f t="shared" si="132"/>
        <v>6</v>
      </c>
      <c r="V1720">
        <f t="shared" si="133"/>
        <v>7</v>
      </c>
      <c r="W1720" s="9">
        <f t="shared" si="134"/>
        <v>5.8452673502245575E-2</v>
      </c>
    </row>
    <row r="1721" spans="1:23">
      <c r="A1721">
        <v>11720</v>
      </c>
      <c r="B1721" s="5">
        <v>45916</v>
      </c>
      <c r="C1721" s="5">
        <v>45918</v>
      </c>
      <c r="D1721" s="5">
        <v>45920</v>
      </c>
      <c r="E1721" t="s">
        <v>21</v>
      </c>
      <c r="F1721" t="s">
        <v>22</v>
      </c>
      <c r="G1721" t="s">
        <v>26</v>
      </c>
      <c r="H1721" t="s">
        <v>32</v>
      </c>
      <c r="I1721" t="s">
        <v>34</v>
      </c>
      <c r="J1721" t="s">
        <v>38</v>
      </c>
      <c r="K1721" t="s">
        <v>50</v>
      </c>
      <c r="L1721" t="s">
        <v>52</v>
      </c>
      <c r="M1721" s="7">
        <v>53030</v>
      </c>
      <c r="N1721">
        <v>0.05</v>
      </c>
      <c r="O1721" s="7">
        <v>13241</v>
      </c>
      <c r="P1721">
        <v>3</v>
      </c>
      <c r="Q1721" t="s">
        <v>58</v>
      </c>
      <c r="R1721" t="s">
        <v>61</v>
      </c>
      <c r="S1721">
        <f t="shared" si="130"/>
        <v>2025</v>
      </c>
      <c r="T1721" t="str">
        <f t="shared" si="131"/>
        <v>Sep</v>
      </c>
      <c r="U1721">
        <f t="shared" si="132"/>
        <v>2</v>
      </c>
      <c r="V1721">
        <f t="shared" si="133"/>
        <v>4</v>
      </c>
      <c r="W1721" s="9">
        <f t="shared" si="134"/>
        <v>0.2496888553648878</v>
      </c>
    </row>
    <row r="1722" spans="1:23">
      <c r="A1722">
        <v>11721</v>
      </c>
      <c r="B1722" s="5">
        <v>45917</v>
      </c>
      <c r="C1722" s="5">
        <v>45919</v>
      </c>
      <c r="D1722" s="5">
        <v>45924</v>
      </c>
      <c r="E1722" t="s">
        <v>20</v>
      </c>
      <c r="F1722" t="s">
        <v>22</v>
      </c>
      <c r="G1722" t="s">
        <v>27</v>
      </c>
      <c r="H1722" t="s">
        <v>29</v>
      </c>
      <c r="I1722" t="s">
        <v>36</v>
      </c>
      <c r="J1722" t="s">
        <v>40</v>
      </c>
      <c r="K1722" t="s">
        <v>48</v>
      </c>
      <c r="L1722" t="s">
        <v>52</v>
      </c>
      <c r="M1722" s="7">
        <v>23416</v>
      </c>
      <c r="N1722">
        <v>0.05</v>
      </c>
      <c r="O1722" s="7">
        <v>5838</v>
      </c>
      <c r="P1722">
        <v>22</v>
      </c>
      <c r="Q1722" t="s">
        <v>58</v>
      </c>
      <c r="R1722" t="s">
        <v>60</v>
      </c>
      <c r="S1722">
        <f t="shared" si="130"/>
        <v>2025</v>
      </c>
      <c r="T1722" t="str">
        <f t="shared" si="131"/>
        <v>Sep</v>
      </c>
      <c r="U1722">
        <f t="shared" si="132"/>
        <v>2</v>
      </c>
      <c r="V1722">
        <f t="shared" si="133"/>
        <v>7</v>
      </c>
      <c r="W1722" s="9">
        <f t="shared" si="134"/>
        <v>0.24931670652545268</v>
      </c>
    </row>
    <row r="1723" spans="1:23">
      <c r="A1723">
        <v>11722</v>
      </c>
      <c r="B1723" s="5">
        <v>45918</v>
      </c>
      <c r="C1723" s="5">
        <v>45920</v>
      </c>
      <c r="D1723" s="5">
        <v>45922</v>
      </c>
      <c r="E1723" t="s">
        <v>18</v>
      </c>
      <c r="F1723" t="s">
        <v>22</v>
      </c>
      <c r="G1723" t="s">
        <v>28</v>
      </c>
      <c r="H1723" t="s">
        <v>31</v>
      </c>
      <c r="I1723" t="s">
        <v>34</v>
      </c>
      <c r="J1723" t="s">
        <v>41</v>
      </c>
      <c r="K1723" t="s">
        <v>50</v>
      </c>
      <c r="L1723" t="s">
        <v>52</v>
      </c>
      <c r="M1723" s="7">
        <v>1664</v>
      </c>
      <c r="N1723">
        <v>0.27</v>
      </c>
      <c r="O1723" s="7">
        <v>18166</v>
      </c>
      <c r="P1723">
        <v>14</v>
      </c>
      <c r="Q1723" t="s">
        <v>55</v>
      </c>
      <c r="R1723" t="s">
        <v>62</v>
      </c>
      <c r="S1723">
        <f t="shared" si="130"/>
        <v>2025</v>
      </c>
      <c r="T1723" t="str">
        <f t="shared" si="131"/>
        <v>Sep</v>
      </c>
      <c r="U1723">
        <f t="shared" si="132"/>
        <v>2</v>
      </c>
      <c r="V1723">
        <f t="shared" si="133"/>
        <v>4</v>
      </c>
      <c r="W1723" s="9">
        <f t="shared" si="134"/>
        <v>10.917067307692308</v>
      </c>
    </row>
    <row r="1724" spans="1:23">
      <c r="A1724">
        <v>11723</v>
      </c>
      <c r="B1724" s="5">
        <v>45919</v>
      </c>
      <c r="C1724" s="5">
        <v>45923</v>
      </c>
      <c r="D1724" s="5">
        <v>45927</v>
      </c>
      <c r="E1724" t="s">
        <v>20</v>
      </c>
      <c r="F1724" t="s">
        <v>22</v>
      </c>
      <c r="G1724" t="s">
        <v>25</v>
      </c>
      <c r="H1724" t="s">
        <v>29</v>
      </c>
      <c r="I1724" t="s">
        <v>36</v>
      </c>
      <c r="J1724" t="s">
        <v>43</v>
      </c>
      <c r="K1724" t="s">
        <v>50</v>
      </c>
      <c r="L1724" t="s">
        <v>53</v>
      </c>
      <c r="M1724" s="7">
        <v>35665</v>
      </c>
      <c r="N1724">
        <v>7.0000000000000007E-2</v>
      </c>
      <c r="O1724" s="7">
        <v>2409</v>
      </c>
      <c r="P1724">
        <v>12</v>
      </c>
      <c r="Q1724" t="s">
        <v>55</v>
      </c>
      <c r="R1724" t="s">
        <v>61</v>
      </c>
      <c r="S1724">
        <f t="shared" si="130"/>
        <v>2025</v>
      </c>
      <c r="T1724" t="str">
        <f t="shared" si="131"/>
        <v>Sep</v>
      </c>
      <c r="U1724">
        <f t="shared" si="132"/>
        <v>4</v>
      </c>
      <c r="V1724">
        <f t="shared" si="133"/>
        <v>8</v>
      </c>
      <c r="W1724" s="9">
        <f t="shared" si="134"/>
        <v>6.7545212393102474E-2</v>
      </c>
    </row>
    <row r="1725" spans="1:23">
      <c r="A1725">
        <v>11724</v>
      </c>
      <c r="B1725" s="5">
        <v>45920</v>
      </c>
      <c r="C1725" s="5">
        <v>45925</v>
      </c>
      <c r="D1725" s="5">
        <v>45929</v>
      </c>
      <c r="E1725" t="s">
        <v>18</v>
      </c>
      <c r="F1725" t="s">
        <v>22</v>
      </c>
      <c r="G1725" t="s">
        <v>24</v>
      </c>
      <c r="H1725" t="s">
        <v>29</v>
      </c>
      <c r="I1725" t="s">
        <v>36</v>
      </c>
      <c r="J1725" t="s">
        <v>42</v>
      </c>
      <c r="K1725" t="s">
        <v>45</v>
      </c>
      <c r="L1725" t="s">
        <v>52</v>
      </c>
      <c r="M1725" s="7">
        <v>60456</v>
      </c>
      <c r="N1725">
        <v>0.1</v>
      </c>
      <c r="O1725" s="7">
        <v>1347</v>
      </c>
      <c r="P1725">
        <v>8</v>
      </c>
      <c r="Q1725" t="s">
        <v>57</v>
      </c>
      <c r="R1725" t="s">
        <v>60</v>
      </c>
      <c r="S1725">
        <f t="shared" si="130"/>
        <v>2025</v>
      </c>
      <c r="T1725" t="str">
        <f t="shared" si="131"/>
        <v>Sep</v>
      </c>
      <c r="U1725">
        <f t="shared" si="132"/>
        <v>5</v>
      </c>
      <c r="V1725">
        <f t="shared" si="133"/>
        <v>9</v>
      </c>
      <c r="W1725" s="9">
        <f t="shared" si="134"/>
        <v>2.2280666931321955E-2</v>
      </c>
    </row>
    <row r="1726" spans="1:23">
      <c r="A1726">
        <v>11725</v>
      </c>
      <c r="B1726" s="5">
        <v>45921</v>
      </c>
      <c r="C1726" s="5">
        <v>45928</v>
      </c>
      <c r="D1726" s="5">
        <v>45930</v>
      </c>
      <c r="E1726" t="s">
        <v>18</v>
      </c>
      <c r="F1726" t="s">
        <v>22</v>
      </c>
      <c r="G1726" t="s">
        <v>24</v>
      </c>
      <c r="H1726" t="s">
        <v>33</v>
      </c>
      <c r="I1726" t="s">
        <v>35</v>
      </c>
      <c r="J1726" t="s">
        <v>39</v>
      </c>
      <c r="K1726" t="s">
        <v>49</v>
      </c>
      <c r="L1726" t="s">
        <v>51</v>
      </c>
      <c r="M1726" s="7">
        <v>38428</v>
      </c>
      <c r="N1726">
        <v>0.2</v>
      </c>
      <c r="O1726" s="7">
        <v>9926</v>
      </c>
      <c r="P1726">
        <v>16</v>
      </c>
      <c r="Q1726" t="s">
        <v>57</v>
      </c>
      <c r="R1726" t="s">
        <v>61</v>
      </c>
      <c r="S1726">
        <f t="shared" si="130"/>
        <v>2025</v>
      </c>
      <c r="T1726" t="str">
        <f t="shared" si="131"/>
        <v>Sep</v>
      </c>
      <c r="U1726">
        <f t="shared" si="132"/>
        <v>7</v>
      </c>
      <c r="V1726">
        <f t="shared" si="133"/>
        <v>9</v>
      </c>
      <c r="W1726" s="9">
        <f t="shared" si="134"/>
        <v>0.25830123868012905</v>
      </c>
    </row>
    <row r="1727" spans="1:23">
      <c r="A1727">
        <v>11726</v>
      </c>
      <c r="B1727" s="5">
        <v>45922</v>
      </c>
      <c r="C1727" s="5">
        <v>45926</v>
      </c>
      <c r="D1727" s="5">
        <v>45928</v>
      </c>
      <c r="E1727" t="s">
        <v>18</v>
      </c>
      <c r="F1727" t="s">
        <v>22</v>
      </c>
      <c r="G1727" t="s">
        <v>23</v>
      </c>
      <c r="H1727" t="s">
        <v>25</v>
      </c>
      <c r="I1727" t="s">
        <v>34</v>
      </c>
      <c r="J1727" t="s">
        <v>39</v>
      </c>
      <c r="K1727" t="s">
        <v>45</v>
      </c>
      <c r="L1727" t="s">
        <v>51</v>
      </c>
      <c r="M1727" s="7">
        <v>6630</v>
      </c>
      <c r="N1727">
        <v>0.28999999999999998</v>
      </c>
      <c r="O1727" s="7">
        <v>392</v>
      </c>
      <c r="P1727">
        <v>14</v>
      </c>
      <c r="Q1727" t="s">
        <v>58</v>
      </c>
      <c r="R1727" t="s">
        <v>59</v>
      </c>
      <c r="S1727">
        <f t="shared" si="130"/>
        <v>2025</v>
      </c>
      <c r="T1727" t="str">
        <f t="shared" si="131"/>
        <v>Sep</v>
      </c>
      <c r="U1727">
        <f t="shared" si="132"/>
        <v>4</v>
      </c>
      <c r="V1727">
        <f t="shared" si="133"/>
        <v>6</v>
      </c>
      <c r="W1727" s="9">
        <f t="shared" si="134"/>
        <v>5.9125188536953241E-2</v>
      </c>
    </row>
    <row r="1728" spans="1:23">
      <c r="A1728">
        <v>11727</v>
      </c>
      <c r="B1728" s="5">
        <v>45923</v>
      </c>
      <c r="C1728" s="5">
        <v>45926</v>
      </c>
      <c r="D1728" s="5">
        <v>45927</v>
      </c>
      <c r="E1728" t="s">
        <v>20</v>
      </c>
      <c r="F1728" t="s">
        <v>22</v>
      </c>
      <c r="G1728" t="s">
        <v>23</v>
      </c>
      <c r="H1728" t="s">
        <v>29</v>
      </c>
      <c r="I1728" t="s">
        <v>35</v>
      </c>
      <c r="J1728" t="s">
        <v>42</v>
      </c>
      <c r="K1728" t="s">
        <v>49</v>
      </c>
      <c r="L1728" t="s">
        <v>51</v>
      </c>
      <c r="M1728" s="7">
        <v>52096</v>
      </c>
      <c r="N1728">
        <v>0.22</v>
      </c>
      <c r="O1728" s="7">
        <v>5304</v>
      </c>
      <c r="P1728">
        <v>8</v>
      </c>
      <c r="Q1728" t="s">
        <v>56</v>
      </c>
      <c r="R1728" t="s">
        <v>59</v>
      </c>
      <c r="S1728">
        <f t="shared" si="130"/>
        <v>2025</v>
      </c>
      <c r="T1728" t="str">
        <f t="shared" si="131"/>
        <v>Sep</v>
      </c>
      <c r="U1728">
        <f t="shared" si="132"/>
        <v>3</v>
      </c>
      <c r="V1728">
        <f t="shared" si="133"/>
        <v>4</v>
      </c>
      <c r="W1728" s="9">
        <f t="shared" si="134"/>
        <v>0.10181203931203932</v>
      </c>
    </row>
    <row r="1729" spans="1:23">
      <c r="A1729">
        <v>11728</v>
      </c>
      <c r="B1729" s="5">
        <v>45924</v>
      </c>
      <c r="C1729" s="5">
        <v>45926</v>
      </c>
      <c r="D1729" s="5">
        <v>45927</v>
      </c>
      <c r="E1729" t="s">
        <v>20</v>
      </c>
      <c r="F1729" t="s">
        <v>22</v>
      </c>
      <c r="G1729" t="s">
        <v>23</v>
      </c>
      <c r="H1729" t="s">
        <v>29</v>
      </c>
      <c r="I1729" t="s">
        <v>35</v>
      </c>
      <c r="J1729" t="s">
        <v>42</v>
      </c>
      <c r="K1729" t="s">
        <v>44</v>
      </c>
      <c r="L1729" t="s">
        <v>51</v>
      </c>
      <c r="M1729" s="7">
        <v>36316</v>
      </c>
      <c r="N1729">
        <v>0.04</v>
      </c>
      <c r="O1729" s="7">
        <v>3608</v>
      </c>
      <c r="P1729">
        <v>5</v>
      </c>
      <c r="Q1729" t="s">
        <v>55</v>
      </c>
      <c r="R1729" t="s">
        <v>60</v>
      </c>
      <c r="S1729">
        <f t="shared" si="130"/>
        <v>2025</v>
      </c>
      <c r="T1729" t="str">
        <f t="shared" si="131"/>
        <v>Sep</v>
      </c>
      <c r="U1729">
        <f t="shared" si="132"/>
        <v>2</v>
      </c>
      <c r="V1729">
        <f t="shared" si="133"/>
        <v>3</v>
      </c>
      <c r="W1729" s="9">
        <f t="shared" si="134"/>
        <v>9.9350148694790169E-2</v>
      </c>
    </row>
    <row r="1730" spans="1:23">
      <c r="A1730">
        <v>11729</v>
      </c>
      <c r="B1730" s="5">
        <v>45925</v>
      </c>
      <c r="C1730" s="5">
        <v>45931</v>
      </c>
      <c r="D1730" s="5">
        <v>45935</v>
      </c>
      <c r="E1730" t="s">
        <v>18</v>
      </c>
      <c r="F1730" t="s">
        <v>22</v>
      </c>
      <c r="G1730" t="s">
        <v>25</v>
      </c>
      <c r="H1730" t="s">
        <v>29</v>
      </c>
      <c r="I1730" t="s">
        <v>35</v>
      </c>
      <c r="J1730" t="s">
        <v>40</v>
      </c>
      <c r="K1730" t="s">
        <v>47</v>
      </c>
      <c r="L1730" t="s">
        <v>51</v>
      </c>
      <c r="M1730" s="7">
        <v>8322</v>
      </c>
      <c r="N1730">
        <v>0.17</v>
      </c>
      <c r="O1730" s="7">
        <v>3901</v>
      </c>
      <c r="P1730">
        <v>1</v>
      </c>
      <c r="Q1730" t="s">
        <v>55</v>
      </c>
      <c r="R1730" t="s">
        <v>60</v>
      </c>
      <c r="S1730">
        <f t="shared" si="130"/>
        <v>2025</v>
      </c>
      <c r="T1730" t="str">
        <f t="shared" si="131"/>
        <v>Sep</v>
      </c>
      <c r="U1730">
        <f t="shared" si="132"/>
        <v>6</v>
      </c>
      <c r="V1730">
        <f t="shared" si="133"/>
        <v>10</v>
      </c>
      <c r="W1730" s="9">
        <f t="shared" si="134"/>
        <v>0.46875751021389089</v>
      </c>
    </row>
    <row r="1731" spans="1:23">
      <c r="A1731">
        <v>11730</v>
      </c>
      <c r="B1731" s="5">
        <v>45926</v>
      </c>
      <c r="C1731" s="5">
        <v>45932</v>
      </c>
      <c r="D1731" s="5">
        <v>45936</v>
      </c>
      <c r="E1731" t="s">
        <v>20</v>
      </c>
      <c r="F1731" t="s">
        <v>22</v>
      </c>
      <c r="G1731" t="s">
        <v>27</v>
      </c>
      <c r="H1731" t="s">
        <v>31</v>
      </c>
      <c r="I1731" t="s">
        <v>34</v>
      </c>
      <c r="J1731" t="s">
        <v>38</v>
      </c>
      <c r="K1731" t="s">
        <v>48</v>
      </c>
      <c r="L1731" t="s">
        <v>51</v>
      </c>
      <c r="M1731" s="7">
        <v>65479</v>
      </c>
      <c r="N1731">
        <v>0.28999999999999998</v>
      </c>
      <c r="O1731" s="7">
        <v>4038</v>
      </c>
      <c r="P1731">
        <v>7</v>
      </c>
      <c r="Q1731" t="s">
        <v>57</v>
      </c>
      <c r="R1731" t="s">
        <v>60</v>
      </c>
      <c r="S1731">
        <f t="shared" ref="S1731:S1794" si="135">YEAR(B1731)</f>
        <v>2025</v>
      </c>
      <c r="T1731" t="str">
        <f t="shared" ref="T1731:T1794" si="136">TEXT(B1731,"mmm")</f>
        <v>Sep</v>
      </c>
      <c r="U1731">
        <f t="shared" ref="U1731:U1794" si="137">C1731-B1731</f>
        <v>6</v>
      </c>
      <c r="V1731">
        <f t="shared" ref="V1731:V1794" si="138">D1731-B1731</f>
        <v>10</v>
      </c>
      <c r="W1731" s="9">
        <f t="shared" ref="W1731:W1794" si="139">IFERROR(O1731/M1731,0)</f>
        <v>6.1668626582568456E-2</v>
      </c>
    </row>
    <row r="1732" spans="1:23">
      <c r="A1732">
        <v>11731</v>
      </c>
      <c r="B1732" s="5">
        <v>45927</v>
      </c>
      <c r="C1732" s="5">
        <v>45934</v>
      </c>
      <c r="D1732" s="5">
        <v>45936</v>
      </c>
      <c r="E1732" t="s">
        <v>20</v>
      </c>
      <c r="F1732" t="s">
        <v>22</v>
      </c>
      <c r="G1732" t="s">
        <v>26</v>
      </c>
      <c r="H1732" t="s">
        <v>33</v>
      </c>
      <c r="I1732" t="s">
        <v>35</v>
      </c>
      <c r="J1732" t="s">
        <v>40</v>
      </c>
      <c r="K1732" t="s">
        <v>48</v>
      </c>
      <c r="L1732" t="s">
        <v>53</v>
      </c>
      <c r="M1732" s="7">
        <v>64890</v>
      </c>
      <c r="N1732">
        <v>0.25</v>
      </c>
      <c r="O1732" s="7">
        <v>7669</v>
      </c>
      <c r="P1732">
        <v>19</v>
      </c>
      <c r="Q1732" t="s">
        <v>57</v>
      </c>
      <c r="R1732" t="s">
        <v>62</v>
      </c>
      <c r="S1732">
        <f t="shared" si="135"/>
        <v>2025</v>
      </c>
      <c r="T1732" t="str">
        <f t="shared" si="136"/>
        <v>Sep</v>
      </c>
      <c r="U1732">
        <f t="shared" si="137"/>
        <v>7</v>
      </c>
      <c r="V1732">
        <f t="shared" si="138"/>
        <v>9</v>
      </c>
      <c r="W1732" s="9">
        <f t="shared" si="139"/>
        <v>0.1181846201263677</v>
      </c>
    </row>
    <row r="1733" spans="1:23">
      <c r="A1733">
        <v>11732</v>
      </c>
      <c r="B1733" s="5">
        <v>45928</v>
      </c>
      <c r="C1733" s="5">
        <v>45933</v>
      </c>
      <c r="D1733" s="5">
        <v>45937</v>
      </c>
      <c r="E1733" t="s">
        <v>20</v>
      </c>
      <c r="F1733" t="s">
        <v>22</v>
      </c>
      <c r="G1733" t="s">
        <v>28</v>
      </c>
      <c r="H1733" t="s">
        <v>30</v>
      </c>
      <c r="I1733" t="s">
        <v>34</v>
      </c>
      <c r="J1733" t="s">
        <v>40</v>
      </c>
      <c r="K1733" t="s">
        <v>45</v>
      </c>
      <c r="L1733" t="s">
        <v>51</v>
      </c>
      <c r="M1733" s="7">
        <v>71937</v>
      </c>
      <c r="N1733">
        <v>0.01</v>
      </c>
      <c r="O1733" s="7">
        <v>12725</v>
      </c>
      <c r="P1733">
        <v>23</v>
      </c>
      <c r="Q1733" t="s">
        <v>57</v>
      </c>
      <c r="R1733" t="s">
        <v>62</v>
      </c>
      <c r="S1733">
        <f t="shared" si="135"/>
        <v>2025</v>
      </c>
      <c r="T1733" t="str">
        <f t="shared" si="136"/>
        <v>Sep</v>
      </c>
      <c r="U1733">
        <f t="shared" si="137"/>
        <v>5</v>
      </c>
      <c r="V1733">
        <f t="shared" si="138"/>
        <v>9</v>
      </c>
      <c r="W1733" s="9">
        <f t="shared" si="139"/>
        <v>0.17689089064042149</v>
      </c>
    </row>
    <row r="1734" spans="1:23">
      <c r="A1734">
        <v>11733</v>
      </c>
      <c r="B1734" s="5">
        <v>45929</v>
      </c>
      <c r="C1734" s="5">
        <v>45935</v>
      </c>
      <c r="D1734" s="5">
        <v>45938</v>
      </c>
      <c r="E1734" t="s">
        <v>21</v>
      </c>
      <c r="F1734" t="s">
        <v>22</v>
      </c>
      <c r="G1734" t="s">
        <v>25</v>
      </c>
      <c r="H1734" t="s">
        <v>30</v>
      </c>
      <c r="I1734" t="s">
        <v>36</v>
      </c>
      <c r="J1734" t="s">
        <v>37</v>
      </c>
      <c r="K1734" t="s">
        <v>49</v>
      </c>
      <c r="L1734" t="s">
        <v>52</v>
      </c>
      <c r="M1734" s="7">
        <v>17835</v>
      </c>
      <c r="N1734">
        <v>0.35</v>
      </c>
      <c r="O1734" s="7">
        <v>19711</v>
      </c>
      <c r="P1734">
        <v>3</v>
      </c>
      <c r="Q1734" t="s">
        <v>55</v>
      </c>
      <c r="R1734" t="s">
        <v>60</v>
      </c>
      <c r="S1734">
        <f t="shared" si="135"/>
        <v>2025</v>
      </c>
      <c r="T1734" t="str">
        <f t="shared" si="136"/>
        <v>Sep</v>
      </c>
      <c r="U1734">
        <f t="shared" si="137"/>
        <v>6</v>
      </c>
      <c r="V1734">
        <f t="shared" si="138"/>
        <v>9</v>
      </c>
      <c r="W1734" s="9">
        <f t="shared" si="139"/>
        <v>1.1051864311746566</v>
      </c>
    </row>
    <row r="1735" spans="1:23">
      <c r="A1735">
        <v>11734</v>
      </c>
      <c r="B1735" s="5">
        <v>45930</v>
      </c>
      <c r="C1735" s="5">
        <v>45933</v>
      </c>
      <c r="D1735" s="5">
        <v>45935</v>
      </c>
      <c r="E1735" t="s">
        <v>18</v>
      </c>
      <c r="F1735" t="s">
        <v>22</v>
      </c>
      <c r="G1735" t="s">
        <v>25</v>
      </c>
      <c r="H1735" t="s">
        <v>29</v>
      </c>
      <c r="I1735" t="s">
        <v>34</v>
      </c>
      <c r="J1735" t="s">
        <v>41</v>
      </c>
      <c r="K1735" t="s">
        <v>45</v>
      </c>
      <c r="L1735" t="s">
        <v>53</v>
      </c>
      <c r="M1735" s="7">
        <v>16503</v>
      </c>
      <c r="N1735">
        <v>0.25</v>
      </c>
      <c r="O1735" s="7">
        <v>-1938</v>
      </c>
      <c r="P1735">
        <v>3</v>
      </c>
      <c r="Q1735" t="s">
        <v>57</v>
      </c>
      <c r="R1735" t="s">
        <v>59</v>
      </c>
      <c r="S1735">
        <f t="shared" si="135"/>
        <v>2025</v>
      </c>
      <c r="T1735" t="str">
        <f t="shared" si="136"/>
        <v>Sep</v>
      </c>
      <c r="U1735">
        <f t="shared" si="137"/>
        <v>3</v>
      </c>
      <c r="V1735">
        <f t="shared" si="138"/>
        <v>5</v>
      </c>
      <c r="W1735" s="9">
        <f t="shared" si="139"/>
        <v>-0.11743319396473369</v>
      </c>
    </row>
    <row r="1736" spans="1:23">
      <c r="A1736">
        <v>11735</v>
      </c>
      <c r="B1736" s="5">
        <v>45931</v>
      </c>
      <c r="C1736" s="5">
        <v>45935</v>
      </c>
      <c r="D1736" s="5">
        <v>45936</v>
      </c>
      <c r="E1736" t="s">
        <v>18</v>
      </c>
      <c r="F1736" t="s">
        <v>22</v>
      </c>
      <c r="G1736" t="s">
        <v>26</v>
      </c>
      <c r="H1736" t="s">
        <v>29</v>
      </c>
      <c r="I1736" t="s">
        <v>36</v>
      </c>
      <c r="J1736" t="s">
        <v>42</v>
      </c>
      <c r="K1736" t="s">
        <v>48</v>
      </c>
      <c r="L1736" t="s">
        <v>52</v>
      </c>
      <c r="M1736" s="7">
        <v>4423</v>
      </c>
      <c r="N1736">
        <v>0.37</v>
      </c>
      <c r="O1736" s="7">
        <v>10661</v>
      </c>
      <c r="P1736">
        <v>22</v>
      </c>
      <c r="Q1736" t="s">
        <v>54</v>
      </c>
      <c r="R1736" t="s">
        <v>59</v>
      </c>
      <c r="S1736">
        <f t="shared" si="135"/>
        <v>2025</v>
      </c>
      <c r="T1736" t="str">
        <f t="shared" si="136"/>
        <v>Oct</v>
      </c>
      <c r="U1736">
        <f t="shared" si="137"/>
        <v>4</v>
      </c>
      <c r="V1736">
        <f t="shared" si="138"/>
        <v>5</v>
      </c>
      <c r="W1736" s="9">
        <f t="shared" si="139"/>
        <v>2.4103549626950036</v>
      </c>
    </row>
    <row r="1737" spans="1:23">
      <c r="A1737">
        <v>11736</v>
      </c>
      <c r="B1737" s="5">
        <v>45932</v>
      </c>
      <c r="C1737" s="5">
        <v>45938</v>
      </c>
      <c r="D1737" s="5">
        <v>45943</v>
      </c>
      <c r="E1737" t="s">
        <v>21</v>
      </c>
      <c r="F1737" t="s">
        <v>22</v>
      </c>
      <c r="G1737" t="s">
        <v>25</v>
      </c>
      <c r="H1737" t="s">
        <v>30</v>
      </c>
      <c r="I1737" t="s">
        <v>35</v>
      </c>
      <c r="J1737" t="s">
        <v>41</v>
      </c>
      <c r="K1737" t="s">
        <v>44</v>
      </c>
      <c r="L1737" t="s">
        <v>52</v>
      </c>
      <c r="M1737" s="7">
        <v>55448</v>
      </c>
      <c r="N1737">
        <v>0.03</v>
      </c>
      <c r="O1737" s="7">
        <v>-1575</v>
      </c>
      <c r="P1737">
        <v>24</v>
      </c>
      <c r="Q1737" t="s">
        <v>54</v>
      </c>
      <c r="R1737" t="s">
        <v>59</v>
      </c>
      <c r="S1737">
        <f t="shared" si="135"/>
        <v>2025</v>
      </c>
      <c r="T1737" t="str">
        <f t="shared" si="136"/>
        <v>Oct</v>
      </c>
      <c r="U1737">
        <f t="shared" si="137"/>
        <v>6</v>
      </c>
      <c r="V1737">
        <f t="shared" si="138"/>
        <v>11</v>
      </c>
      <c r="W1737" s="9">
        <f t="shared" si="139"/>
        <v>-2.8404992064637136E-2</v>
      </c>
    </row>
    <row r="1738" spans="1:23">
      <c r="A1738">
        <v>11737</v>
      </c>
      <c r="B1738" s="5">
        <v>45933</v>
      </c>
      <c r="C1738" s="5">
        <v>45939</v>
      </c>
      <c r="D1738" s="5">
        <v>45944</v>
      </c>
      <c r="E1738" t="s">
        <v>19</v>
      </c>
      <c r="F1738" t="s">
        <v>22</v>
      </c>
      <c r="G1738" t="s">
        <v>27</v>
      </c>
      <c r="H1738" t="s">
        <v>30</v>
      </c>
      <c r="I1738" t="s">
        <v>36</v>
      </c>
      <c r="J1738" t="s">
        <v>37</v>
      </c>
      <c r="K1738" t="s">
        <v>50</v>
      </c>
      <c r="L1738" t="s">
        <v>52</v>
      </c>
      <c r="M1738" s="7">
        <v>47252</v>
      </c>
      <c r="N1738">
        <v>0.01</v>
      </c>
      <c r="O1738" s="7">
        <v>10120</v>
      </c>
      <c r="P1738">
        <v>4</v>
      </c>
      <c r="Q1738" t="s">
        <v>55</v>
      </c>
      <c r="R1738" t="s">
        <v>60</v>
      </c>
      <c r="S1738">
        <f t="shared" si="135"/>
        <v>2025</v>
      </c>
      <c r="T1738" t="str">
        <f t="shared" si="136"/>
        <v>Oct</v>
      </c>
      <c r="U1738">
        <f t="shared" si="137"/>
        <v>6</v>
      </c>
      <c r="V1738">
        <f t="shared" si="138"/>
        <v>11</v>
      </c>
      <c r="W1738" s="9">
        <f t="shared" si="139"/>
        <v>0.21417082874798951</v>
      </c>
    </row>
    <row r="1739" spans="1:23">
      <c r="A1739">
        <v>11738</v>
      </c>
      <c r="B1739" s="5">
        <v>45934</v>
      </c>
      <c r="C1739" s="5">
        <v>45937</v>
      </c>
      <c r="D1739" s="5">
        <v>45940</v>
      </c>
      <c r="E1739" t="s">
        <v>21</v>
      </c>
      <c r="F1739" t="s">
        <v>22</v>
      </c>
      <c r="G1739" t="s">
        <v>26</v>
      </c>
      <c r="H1739" t="s">
        <v>25</v>
      </c>
      <c r="I1739" t="s">
        <v>35</v>
      </c>
      <c r="J1739" t="s">
        <v>41</v>
      </c>
      <c r="K1739" t="s">
        <v>44</v>
      </c>
      <c r="L1739" t="s">
        <v>52</v>
      </c>
      <c r="M1739" s="7">
        <v>12669</v>
      </c>
      <c r="N1739">
        <v>0.1</v>
      </c>
      <c r="O1739" s="7">
        <v>4687</v>
      </c>
      <c r="P1739">
        <v>20</v>
      </c>
      <c r="Q1739" t="s">
        <v>58</v>
      </c>
      <c r="R1739" t="s">
        <v>61</v>
      </c>
      <c r="S1739">
        <f t="shared" si="135"/>
        <v>2025</v>
      </c>
      <c r="T1739" t="str">
        <f t="shared" si="136"/>
        <v>Oct</v>
      </c>
      <c r="U1739">
        <f t="shared" si="137"/>
        <v>3</v>
      </c>
      <c r="V1739">
        <f t="shared" si="138"/>
        <v>6</v>
      </c>
      <c r="W1739" s="9">
        <f t="shared" si="139"/>
        <v>0.36995816560107347</v>
      </c>
    </row>
    <row r="1740" spans="1:23">
      <c r="A1740">
        <v>11739</v>
      </c>
      <c r="B1740" s="5">
        <v>45935</v>
      </c>
      <c r="C1740" s="5">
        <v>45941</v>
      </c>
      <c r="D1740" s="5">
        <v>45942</v>
      </c>
      <c r="E1740" t="s">
        <v>18</v>
      </c>
      <c r="F1740" t="s">
        <v>22</v>
      </c>
      <c r="G1740" t="s">
        <v>24</v>
      </c>
      <c r="H1740" t="s">
        <v>32</v>
      </c>
      <c r="I1740" t="s">
        <v>36</v>
      </c>
      <c r="J1740" t="s">
        <v>40</v>
      </c>
      <c r="K1740" t="s">
        <v>47</v>
      </c>
      <c r="L1740" t="s">
        <v>52</v>
      </c>
      <c r="M1740" s="7">
        <v>39604</v>
      </c>
      <c r="N1740">
        <v>0.05</v>
      </c>
      <c r="O1740" s="7">
        <v>12329</v>
      </c>
      <c r="P1740">
        <v>19</v>
      </c>
      <c r="Q1740" t="s">
        <v>58</v>
      </c>
      <c r="R1740" t="s">
        <v>59</v>
      </c>
      <c r="S1740">
        <f t="shared" si="135"/>
        <v>2025</v>
      </c>
      <c r="T1740" t="str">
        <f t="shared" si="136"/>
        <v>Oct</v>
      </c>
      <c r="U1740">
        <f t="shared" si="137"/>
        <v>6</v>
      </c>
      <c r="V1740">
        <f t="shared" si="138"/>
        <v>7</v>
      </c>
      <c r="W1740" s="9">
        <f t="shared" si="139"/>
        <v>0.31130693869306131</v>
      </c>
    </row>
    <row r="1741" spans="1:23">
      <c r="A1741">
        <v>11740</v>
      </c>
      <c r="B1741" s="5">
        <v>45936</v>
      </c>
      <c r="C1741" s="5">
        <v>45942</v>
      </c>
      <c r="D1741" s="5">
        <v>45947</v>
      </c>
      <c r="E1741" t="s">
        <v>18</v>
      </c>
      <c r="F1741" t="s">
        <v>22</v>
      </c>
      <c r="G1741" t="s">
        <v>28</v>
      </c>
      <c r="H1741" t="s">
        <v>31</v>
      </c>
      <c r="I1741" t="s">
        <v>34</v>
      </c>
      <c r="J1741" t="s">
        <v>43</v>
      </c>
      <c r="K1741" t="s">
        <v>49</v>
      </c>
      <c r="L1741" t="s">
        <v>53</v>
      </c>
      <c r="M1741" s="7">
        <v>14858</v>
      </c>
      <c r="N1741">
        <v>0.2</v>
      </c>
      <c r="O1741" s="7">
        <v>9304</v>
      </c>
      <c r="P1741">
        <v>12</v>
      </c>
      <c r="Q1741" t="s">
        <v>54</v>
      </c>
      <c r="R1741" t="s">
        <v>62</v>
      </c>
      <c r="S1741">
        <f t="shared" si="135"/>
        <v>2025</v>
      </c>
      <c r="T1741" t="str">
        <f t="shared" si="136"/>
        <v>Oct</v>
      </c>
      <c r="U1741">
        <f t="shared" si="137"/>
        <v>6</v>
      </c>
      <c r="V1741">
        <f t="shared" si="138"/>
        <v>11</v>
      </c>
      <c r="W1741" s="9">
        <f t="shared" si="139"/>
        <v>0.62619464261677216</v>
      </c>
    </row>
    <row r="1742" spans="1:23">
      <c r="A1742">
        <v>11741</v>
      </c>
      <c r="B1742" s="5">
        <v>45937</v>
      </c>
      <c r="C1742" s="5">
        <v>45940</v>
      </c>
      <c r="D1742" s="5">
        <v>45943</v>
      </c>
      <c r="E1742" t="s">
        <v>19</v>
      </c>
      <c r="F1742" t="s">
        <v>22</v>
      </c>
      <c r="G1742" t="s">
        <v>24</v>
      </c>
      <c r="H1742" t="s">
        <v>33</v>
      </c>
      <c r="I1742" t="s">
        <v>36</v>
      </c>
      <c r="J1742" t="s">
        <v>37</v>
      </c>
      <c r="K1742" t="s">
        <v>46</v>
      </c>
      <c r="L1742" t="s">
        <v>52</v>
      </c>
      <c r="M1742" s="7">
        <v>31479</v>
      </c>
      <c r="N1742">
        <v>0.37</v>
      </c>
      <c r="O1742" s="7">
        <v>15983</v>
      </c>
      <c r="P1742">
        <v>3</v>
      </c>
      <c r="Q1742" t="s">
        <v>54</v>
      </c>
      <c r="R1742" t="s">
        <v>59</v>
      </c>
      <c r="S1742">
        <f t="shared" si="135"/>
        <v>2025</v>
      </c>
      <c r="T1742" t="str">
        <f t="shared" si="136"/>
        <v>Oct</v>
      </c>
      <c r="U1742">
        <f t="shared" si="137"/>
        <v>3</v>
      </c>
      <c r="V1742">
        <f t="shared" si="138"/>
        <v>6</v>
      </c>
      <c r="W1742" s="9">
        <f t="shared" si="139"/>
        <v>0.50773531560723018</v>
      </c>
    </row>
    <row r="1743" spans="1:23">
      <c r="A1743">
        <v>11742</v>
      </c>
      <c r="B1743" s="5">
        <v>45938</v>
      </c>
      <c r="C1743" s="5">
        <v>45943</v>
      </c>
      <c r="D1743" s="5">
        <v>45948</v>
      </c>
      <c r="E1743" t="s">
        <v>21</v>
      </c>
      <c r="F1743" t="s">
        <v>22</v>
      </c>
      <c r="G1743" t="s">
        <v>24</v>
      </c>
      <c r="H1743" t="s">
        <v>32</v>
      </c>
      <c r="I1743" t="s">
        <v>35</v>
      </c>
      <c r="J1743" t="s">
        <v>43</v>
      </c>
      <c r="K1743" t="s">
        <v>48</v>
      </c>
      <c r="L1743" t="s">
        <v>53</v>
      </c>
      <c r="M1743" s="7">
        <v>64477</v>
      </c>
      <c r="N1743">
        <v>0.19</v>
      </c>
      <c r="O1743" s="7">
        <v>5088</v>
      </c>
      <c r="P1743">
        <v>19</v>
      </c>
      <c r="Q1743" t="s">
        <v>58</v>
      </c>
      <c r="R1743" t="s">
        <v>59</v>
      </c>
      <c r="S1743">
        <f t="shared" si="135"/>
        <v>2025</v>
      </c>
      <c r="T1743" t="str">
        <f t="shared" si="136"/>
        <v>Oct</v>
      </c>
      <c r="U1743">
        <f t="shared" si="137"/>
        <v>5</v>
      </c>
      <c r="V1743">
        <f t="shared" si="138"/>
        <v>10</v>
      </c>
      <c r="W1743" s="9">
        <f t="shared" si="139"/>
        <v>7.891186004311615E-2</v>
      </c>
    </row>
    <row r="1744" spans="1:23">
      <c r="A1744">
        <v>11743</v>
      </c>
      <c r="B1744" s="5">
        <v>45939</v>
      </c>
      <c r="C1744" s="5">
        <v>45941</v>
      </c>
      <c r="D1744" s="5">
        <v>45944</v>
      </c>
      <c r="E1744" t="s">
        <v>18</v>
      </c>
      <c r="F1744" t="s">
        <v>22</v>
      </c>
      <c r="G1744" t="s">
        <v>26</v>
      </c>
      <c r="H1744" t="s">
        <v>29</v>
      </c>
      <c r="I1744" t="s">
        <v>36</v>
      </c>
      <c r="J1744" t="s">
        <v>43</v>
      </c>
      <c r="K1744" t="s">
        <v>48</v>
      </c>
      <c r="L1744" t="s">
        <v>53</v>
      </c>
      <c r="M1744" s="7">
        <v>53122</v>
      </c>
      <c r="N1744">
        <v>0.27</v>
      </c>
      <c r="O1744" s="7">
        <v>16048</v>
      </c>
      <c r="P1744">
        <v>2</v>
      </c>
      <c r="Q1744" t="s">
        <v>56</v>
      </c>
      <c r="R1744" t="s">
        <v>61</v>
      </c>
      <c r="S1744">
        <f t="shared" si="135"/>
        <v>2025</v>
      </c>
      <c r="T1744" t="str">
        <f t="shared" si="136"/>
        <v>Oct</v>
      </c>
      <c r="U1744">
        <f t="shared" si="137"/>
        <v>2</v>
      </c>
      <c r="V1744">
        <f t="shared" si="138"/>
        <v>5</v>
      </c>
      <c r="W1744" s="9">
        <f t="shared" si="139"/>
        <v>0.30209705959865968</v>
      </c>
    </row>
    <row r="1745" spans="1:23">
      <c r="A1745">
        <v>11744</v>
      </c>
      <c r="B1745" s="5">
        <v>45940</v>
      </c>
      <c r="C1745" s="5">
        <v>45947</v>
      </c>
      <c r="D1745" s="5">
        <v>45951</v>
      </c>
      <c r="E1745" t="s">
        <v>19</v>
      </c>
      <c r="F1745" t="s">
        <v>22</v>
      </c>
      <c r="G1745" t="s">
        <v>26</v>
      </c>
      <c r="H1745" t="s">
        <v>29</v>
      </c>
      <c r="I1745" t="s">
        <v>35</v>
      </c>
      <c r="J1745" t="s">
        <v>38</v>
      </c>
      <c r="K1745" t="s">
        <v>47</v>
      </c>
      <c r="L1745" t="s">
        <v>51</v>
      </c>
      <c r="M1745" s="7">
        <v>30091</v>
      </c>
      <c r="N1745">
        <v>0.23</v>
      </c>
      <c r="O1745" s="7">
        <v>11329</v>
      </c>
      <c r="P1745">
        <v>15</v>
      </c>
      <c r="Q1745" t="s">
        <v>54</v>
      </c>
      <c r="R1745" t="s">
        <v>59</v>
      </c>
      <c r="S1745">
        <f t="shared" si="135"/>
        <v>2025</v>
      </c>
      <c r="T1745" t="str">
        <f t="shared" si="136"/>
        <v>Oct</v>
      </c>
      <c r="U1745">
        <f t="shared" si="137"/>
        <v>7</v>
      </c>
      <c r="V1745">
        <f t="shared" si="138"/>
        <v>11</v>
      </c>
      <c r="W1745" s="9">
        <f t="shared" si="139"/>
        <v>0.37649130969392841</v>
      </c>
    </row>
    <row r="1746" spans="1:23">
      <c r="A1746">
        <v>11745</v>
      </c>
      <c r="B1746" s="5">
        <v>45941</v>
      </c>
      <c r="C1746" s="5">
        <v>45946</v>
      </c>
      <c r="D1746" s="5">
        <v>45951</v>
      </c>
      <c r="E1746" t="s">
        <v>19</v>
      </c>
      <c r="F1746" t="s">
        <v>22</v>
      </c>
      <c r="G1746" t="s">
        <v>25</v>
      </c>
      <c r="H1746" t="s">
        <v>25</v>
      </c>
      <c r="I1746" t="s">
        <v>36</v>
      </c>
      <c r="J1746" t="s">
        <v>40</v>
      </c>
      <c r="K1746" t="s">
        <v>44</v>
      </c>
      <c r="L1746" t="s">
        <v>52</v>
      </c>
      <c r="M1746" s="7">
        <v>11773</v>
      </c>
      <c r="N1746">
        <v>0.13</v>
      </c>
      <c r="O1746" s="7">
        <v>11924</v>
      </c>
      <c r="P1746">
        <v>5</v>
      </c>
      <c r="Q1746" t="s">
        <v>55</v>
      </c>
      <c r="R1746" t="s">
        <v>62</v>
      </c>
      <c r="S1746">
        <f t="shared" si="135"/>
        <v>2025</v>
      </c>
      <c r="T1746" t="str">
        <f t="shared" si="136"/>
        <v>Oct</v>
      </c>
      <c r="U1746">
        <f t="shared" si="137"/>
        <v>5</v>
      </c>
      <c r="V1746">
        <f t="shared" si="138"/>
        <v>10</v>
      </c>
      <c r="W1746" s="9">
        <f t="shared" si="139"/>
        <v>1.0128259576998215</v>
      </c>
    </row>
    <row r="1747" spans="1:23">
      <c r="A1747">
        <v>11746</v>
      </c>
      <c r="B1747" s="5">
        <v>45942</v>
      </c>
      <c r="C1747" s="5">
        <v>45947</v>
      </c>
      <c r="D1747" s="5">
        <v>45950</v>
      </c>
      <c r="E1747" t="s">
        <v>19</v>
      </c>
      <c r="F1747" t="s">
        <v>22</v>
      </c>
      <c r="G1747" t="s">
        <v>24</v>
      </c>
      <c r="H1747" t="s">
        <v>30</v>
      </c>
      <c r="I1747" t="s">
        <v>34</v>
      </c>
      <c r="J1747" t="s">
        <v>43</v>
      </c>
      <c r="K1747" t="s">
        <v>46</v>
      </c>
      <c r="L1747" t="s">
        <v>53</v>
      </c>
      <c r="M1747" s="7">
        <v>56049</v>
      </c>
      <c r="N1747">
        <v>0.31</v>
      </c>
      <c r="O1747" s="7">
        <v>-702</v>
      </c>
      <c r="P1747">
        <v>14</v>
      </c>
      <c r="Q1747" t="s">
        <v>54</v>
      </c>
      <c r="R1747" t="s">
        <v>61</v>
      </c>
      <c r="S1747">
        <f t="shared" si="135"/>
        <v>2025</v>
      </c>
      <c r="T1747" t="str">
        <f t="shared" si="136"/>
        <v>Oct</v>
      </c>
      <c r="U1747">
        <f t="shared" si="137"/>
        <v>5</v>
      </c>
      <c r="V1747">
        <f t="shared" si="138"/>
        <v>8</v>
      </c>
      <c r="W1747" s="9">
        <f t="shared" si="139"/>
        <v>-1.2524755124979928E-2</v>
      </c>
    </row>
    <row r="1748" spans="1:23">
      <c r="A1748">
        <v>11747</v>
      </c>
      <c r="B1748" s="5">
        <v>45943</v>
      </c>
      <c r="C1748" s="5">
        <v>45945</v>
      </c>
      <c r="D1748" s="5">
        <v>45948</v>
      </c>
      <c r="E1748" t="s">
        <v>20</v>
      </c>
      <c r="F1748" t="s">
        <v>22</v>
      </c>
      <c r="G1748" t="s">
        <v>25</v>
      </c>
      <c r="H1748" t="s">
        <v>29</v>
      </c>
      <c r="I1748" t="s">
        <v>34</v>
      </c>
      <c r="J1748" t="s">
        <v>38</v>
      </c>
      <c r="K1748" t="s">
        <v>44</v>
      </c>
      <c r="L1748" t="s">
        <v>52</v>
      </c>
      <c r="M1748" s="7">
        <v>40880</v>
      </c>
      <c r="N1748">
        <v>0.33</v>
      </c>
      <c r="O1748" s="7">
        <v>13027</v>
      </c>
      <c r="P1748">
        <v>24</v>
      </c>
      <c r="Q1748" t="s">
        <v>57</v>
      </c>
      <c r="R1748" t="s">
        <v>60</v>
      </c>
      <c r="S1748">
        <f t="shared" si="135"/>
        <v>2025</v>
      </c>
      <c r="T1748" t="str">
        <f t="shared" si="136"/>
        <v>Oct</v>
      </c>
      <c r="U1748">
        <f t="shared" si="137"/>
        <v>2</v>
      </c>
      <c r="V1748">
        <f t="shared" si="138"/>
        <v>5</v>
      </c>
      <c r="W1748" s="9">
        <f t="shared" si="139"/>
        <v>0.31866438356164384</v>
      </c>
    </row>
    <row r="1749" spans="1:23">
      <c r="A1749">
        <v>11748</v>
      </c>
      <c r="B1749" s="5">
        <v>45944</v>
      </c>
      <c r="C1749" s="5">
        <v>45951</v>
      </c>
      <c r="D1749" s="5">
        <v>45954</v>
      </c>
      <c r="E1749" t="s">
        <v>18</v>
      </c>
      <c r="F1749" t="s">
        <v>22</v>
      </c>
      <c r="G1749" t="s">
        <v>25</v>
      </c>
      <c r="H1749" t="s">
        <v>32</v>
      </c>
      <c r="I1749" t="s">
        <v>34</v>
      </c>
      <c r="J1749" t="s">
        <v>38</v>
      </c>
      <c r="K1749" t="s">
        <v>50</v>
      </c>
      <c r="L1749" t="s">
        <v>53</v>
      </c>
      <c r="M1749" s="7">
        <v>41250</v>
      </c>
      <c r="N1749">
        <v>0.03</v>
      </c>
      <c r="O1749" s="7">
        <v>6075</v>
      </c>
      <c r="P1749">
        <v>5</v>
      </c>
      <c r="Q1749" t="s">
        <v>57</v>
      </c>
      <c r="R1749" t="s">
        <v>59</v>
      </c>
      <c r="S1749">
        <f t="shared" si="135"/>
        <v>2025</v>
      </c>
      <c r="T1749" t="str">
        <f t="shared" si="136"/>
        <v>Oct</v>
      </c>
      <c r="U1749">
        <f t="shared" si="137"/>
        <v>7</v>
      </c>
      <c r="V1749">
        <f t="shared" si="138"/>
        <v>10</v>
      </c>
      <c r="W1749" s="9">
        <f t="shared" si="139"/>
        <v>0.14727272727272728</v>
      </c>
    </row>
    <row r="1750" spans="1:23">
      <c r="A1750">
        <v>11749</v>
      </c>
      <c r="B1750" s="5">
        <v>45945</v>
      </c>
      <c r="C1750" s="5">
        <v>45947</v>
      </c>
      <c r="D1750" s="5">
        <v>45948</v>
      </c>
      <c r="E1750" t="s">
        <v>19</v>
      </c>
      <c r="F1750" t="s">
        <v>22</v>
      </c>
      <c r="G1750" t="s">
        <v>27</v>
      </c>
      <c r="H1750" t="s">
        <v>32</v>
      </c>
      <c r="I1750" t="s">
        <v>34</v>
      </c>
      <c r="J1750" t="s">
        <v>37</v>
      </c>
      <c r="K1750" t="s">
        <v>45</v>
      </c>
      <c r="L1750" t="s">
        <v>52</v>
      </c>
      <c r="M1750" s="7">
        <v>32636</v>
      </c>
      <c r="N1750">
        <v>0.4</v>
      </c>
      <c r="O1750" s="7">
        <v>-939</v>
      </c>
      <c r="P1750">
        <v>15</v>
      </c>
      <c r="Q1750" t="s">
        <v>58</v>
      </c>
      <c r="R1750" t="s">
        <v>62</v>
      </c>
      <c r="S1750">
        <f t="shared" si="135"/>
        <v>2025</v>
      </c>
      <c r="T1750" t="str">
        <f t="shared" si="136"/>
        <v>Oct</v>
      </c>
      <c r="U1750">
        <f t="shared" si="137"/>
        <v>2</v>
      </c>
      <c r="V1750">
        <f t="shared" si="138"/>
        <v>3</v>
      </c>
      <c r="W1750" s="9">
        <f t="shared" si="139"/>
        <v>-2.8771908322098295E-2</v>
      </c>
    </row>
    <row r="1751" spans="1:23">
      <c r="A1751">
        <v>11750</v>
      </c>
      <c r="B1751" s="5">
        <v>45946</v>
      </c>
      <c r="C1751" s="5">
        <v>45952</v>
      </c>
      <c r="D1751" s="5">
        <v>45954</v>
      </c>
      <c r="E1751" t="s">
        <v>20</v>
      </c>
      <c r="F1751" t="s">
        <v>22</v>
      </c>
      <c r="G1751" t="s">
        <v>26</v>
      </c>
      <c r="H1751" t="s">
        <v>25</v>
      </c>
      <c r="I1751" t="s">
        <v>36</v>
      </c>
      <c r="J1751" t="s">
        <v>42</v>
      </c>
      <c r="K1751" t="s">
        <v>50</v>
      </c>
      <c r="L1751" t="s">
        <v>51</v>
      </c>
      <c r="M1751" s="7">
        <v>67711</v>
      </c>
      <c r="N1751">
        <v>0.12</v>
      </c>
      <c r="O1751" s="7">
        <v>16560</v>
      </c>
      <c r="P1751">
        <v>7</v>
      </c>
      <c r="Q1751" t="s">
        <v>55</v>
      </c>
      <c r="R1751" t="s">
        <v>62</v>
      </c>
      <c r="S1751">
        <f t="shared" si="135"/>
        <v>2025</v>
      </c>
      <c r="T1751" t="str">
        <f t="shared" si="136"/>
        <v>Oct</v>
      </c>
      <c r="U1751">
        <f t="shared" si="137"/>
        <v>6</v>
      </c>
      <c r="V1751">
        <f t="shared" si="138"/>
        <v>8</v>
      </c>
      <c r="W1751" s="9">
        <f t="shared" si="139"/>
        <v>0.24456882928918491</v>
      </c>
    </row>
    <row r="1752" spans="1:23">
      <c r="A1752">
        <v>11751</v>
      </c>
      <c r="B1752" s="5">
        <v>45947</v>
      </c>
      <c r="C1752" s="5">
        <v>45953</v>
      </c>
      <c r="D1752" s="5">
        <v>45957</v>
      </c>
      <c r="E1752" t="s">
        <v>18</v>
      </c>
      <c r="F1752" t="s">
        <v>22</v>
      </c>
      <c r="G1752" t="s">
        <v>25</v>
      </c>
      <c r="H1752" t="s">
        <v>31</v>
      </c>
      <c r="I1752" t="s">
        <v>36</v>
      </c>
      <c r="J1752" t="s">
        <v>42</v>
      </c>
      <c r="K1752" t="s">
        <v>50</v>
      </c>
      <c r="L1752" t="s">
        <v>53</v>
      </c>
      <c r="M1752" s="7">
        <v>35552</v>
      </c>
      <c r="N1752">
        <v>0.32</v>
      </c>
      <c r="O1752" s="7">
        <v>1644</v>
      </c>
      <c r="P1752">
        <v>18</v>
      </c>
      <c r="Q1752" t="s">
        <v>55</v>
      </c>
      <c r="R1752" t="s">
        <v>59</v>
      </c>
      <c r="S1752">
        <f t="shared" si="135"/>
        <v>2025</v>
      </c>
      <c r="T1752" t="str">
        <f t="shared" si="136"/>
        <v>Oct</v>
      </c>
      <c r="U1752">
        <f t="shared" si="137"/>
        <v>6</v>
      </c>
      <c r="V1752">
        <f t="shared" si="138"/>
        <v>10</v>
      </c>
      <c r="W1752" s="9">
        <f t="shared" si="139"/>
        <v>4.6242124212421243E-2</v>
      </c>
    </row>
    <row r="1753" spans="1:23">
      <c r="A1753">
        <v>11752</v>
      </c>
      <c r="B1753" s="5">
        <v>45948</v>
      </c>
      <c r="C1753" s="5">
        <v>45954</v>
      </c>
      <c r="D1753" s="5">
        <v>45958</v>
      </c>
      <c r="E1753" t="s">
        <v>19</v>
      </c>
      <c r="F1753" t="s">
        <v>22</v>
      </c>
      <c r="G1753" t="s">
        <v>24</v>
      </c>
      <c r="H1753" t="s">
        <v>31</v>
      </c>
      <c r="I1753" t="s">
        <v>36</v>
      </c>
      <c r="J1753" t="s">
        <v>41</v>
      </c>
      <c r="K1753" t="s">
        <v>44</v>
      </c>
      <c r="L1753" t="s">
        <v>51</v>
      </c>
      <c r="M1753" s="7">
        <v>6231</v>
      </c>
      <c r="N1753">
        <v>0.24</v>
      </c>
      <c r="O1753" s="7">
        <v>3122</v>
      </c>
      <c r="P1753">
        <v>13</v>
      </c>
      <c r="Q1753" t="s">
        <v>56</v>
      </c>
      <c r="R1753" t="s">
        <v>59</v>
      </c>
      <c r="S1753">
        <f t="shared" si="135"/>
        <v>2025</v>
      </c>
      <c r="T1753" t="str">
        <f t="shared" si="136"/>
        <v>Oct</v>
      </c>
      <c r="U1753">
        <f t="shared" si="137"/>
        <v>6</v>
      </c>
      <c r="V1753">
        <f t="shared" si="138"/>
        <v>10</v>
      </c>
      <c r="W1753" s="9">
        <f t="shared" si="139"/>
        <v>0.50104317124057129</v>
      </c>
    </row>
    <row r="1754" spans="1:23">
      <c r="A1754">
        <v>11753</v>
      </c>
      <c r="B1754" s="5">
        <v>45949</v>
      </c>
      <c r="C1754" s="5">
        <v>45956</v>
      </c>
      <c r="D1754" s="5">
        <v>45958</v>
      </c>
      <c r="E1754" t="s">
        <v>19</v>
      </c>
      <c r="F1754" t="s">
        <v>22</v>
      </c>
      <c r="G1754" t="s">
        <v>26</v>
      </c>
      <c r="H1754" t="s">
        <v>33</v>
      </c>
      <c r="I1754" t="s">
        <v>36</v>
      </c>
      <c r="J1754" t="s">
        <v>39</v>
      </c>
      <c r="K1754" t="s">
        <v>44</v>
      </c>
      <c r="L1754" t="s">
        <v>51</v>
      </c>
      <c r="M1754" s="7">
        <v>64678</v>
      </c>
      <c r="N1754">
        <v>0.25</v>
      </c>
      <c r="O1754" s="7">
        <v>17119</v>
      </c>
      <c r="P1754">
        <v>23</v>
      </c>
      <c r="Q1754" t="s">
        <v>55</v>
      </c>
      <c r="R1754" t="s">
        <v>60</v>
      </c>
      <c r="S1754">
        <f t="shared" si="135"/>
        <v>2025</v>
      </c>
      <c r="T1754" t="str">
        <f t="shared" si="136"/>
        <v>Oct</v>
      </c>
      <c r="U1754">
        <f t="shared" si="137"/>
        <v>7</v>
      </c>
      <c r="V1754">
        <f t="shared" si="138"/>
        <v>9</v>
      </c>
      <c r="W1754" s="9">
        <f t="shared" si="139"/>
        <v>0.2646804168341631</v>
      </c>
    </row>
    <row r="1755" spans="1:23">
      <c r="A1755">
        <v>11754</v>
      </c>
      <c r="B1755" s="5">
        <v>45950</v>
      </c>
      <c r="C1755" s="5">
        <v>45954</v>
      </c>
      <c r="D1755" s="5">
        <v>45956</v>
      </c>
      <c r="E1755" t="s">
        <v>20</v>
      </c>
      <c r="F1755" t="s">
        <v>22</v>
      </c>
      <c r="G1755" t="s">
        <v>27</v>
      </c>
      <c r="H1755" t="s">
        <v>25</v>
      </c>
      <c r="I1755" t="s">
        <v>34</v>
      </c>
      <c r="J1755" t="s">
        <v>43</v>
      </c>
      <c r="K1755" t="s">
        <v>49</v>
      </c>
      <c r="L1755" t="s">
        <v>52</v>
      </c>
      <c r="M1755" s="7">
        <v>57437</v>
      </c>
      <c r="N1755">
        <v>0.36</v>
      </c>
      <c r="O1755" s="7">
        <v>2336</v>
      </c>
      <c r="P1755">
        <v>17</v>
      </c>
      <c r="Q1755" t="s">
        <v>54</v>
      </c>
      <c r="R1755" t="s">
        <v>60</v>
      </c>
      <c r="S1755">
        <f t="shared" si="135"/>
        <v>2025</v>
      </c>
      <c r="T1755" t="str">
        <f t="shared" si="136"/>
        <v>Oct</v>
      </c>
      <c r="U1755">
        <f t="shared" si="137"/>
        <v>4</v>
      </c>
      <c r="V1755">
        <f t="shared" si="138"/>
        <v>6</v>
      </c>
      <c r="W1755" s="9">
        <f t="shared" si="139"/>
        <v>4.0670647840242352E-2</v>
      </c>
    </row>
    <row r="1756" spans="1:23">
      <c r="A1756">
        <v>11755</v>
      </c>
      <c r="B1756" s="5">
        <v>45951</v>
      </c>
      <c r="C1756" s="5">
        <v>45955</v>
      </c>
      <c r="D1756" s="5">
        <v>45956</v>
      </c>
      <c r="E1756" t="s">
        <v>18</v>
      </c>
      <c r="F1756" t="s">
        <v>22</v>
      </c>
      <c r="G1756" t="s">
        <v>23</v>
      </c>
      <c r="H1756" t="s">
        <v>29</v>
      </c>
      <c r="I1756" t="s">
        <v>34</v>
      </c>
      <c r="J1756" t="s">
        <v>43</v>
      </c>
      <c r="K1756" t="s">
        <v>46</v>
      </c>
      <c r="L1756" t="s">
        <v>51</v>
      </c>
      <c r="M1756" s="7">
        <v>52813</v>
      </c>
      <c r="N1756">
        <v>0.35</v>
      </c>
      <c r="O1756" s="7">
        <v>18176</v>
      </c>
      <c r="P1756">
        <v>4</v>
      </c>
      <c r="Q1756" t="s">
        <v>55</v>
      </c>
      <c r="R1756" t="s">
        <v>62</v>
      </c>
      <c r="S1756">
        <f t="shared" si="135"/>
        <v>2025</v>
      </c>
      <c r="T1756" t="str">
        <f t="shared" si="136"/>
        <v>Oct</v>
      </c>
      <c r="U1756">
        <f t="shared" si="137"/>
        <v>4</v>
      </c>
      <c r="V1756">
        <f t="shared" si="138"/>
        <v>5</v>
      </c>
      <c r="W1756" s="9">
        <f t="shared" si="139"/>
        <v>0.34415768844792</v>
      </c>
    </row>
    <row r="1757" spans="1:23">
      <c r="A1757">
        <v>11756</v>
      </c>
      <c r="B1757" s="5">
        <v>45952</v>
      </c>
      <c r="C1757" s="5">
        <v>45955</v>
      </c>
      <c r="D1757" s="5">
        <v>45956</v>
      </c>
      <c r="E1757" t="s">
        <v>21</v>
      </c>
      <c r="F1757" t="s">
        <v>22</v>
      </c>
      <c r="G1757" t="s">
        <v>28</v>
      </c>
      <c r="H1757" t="s">
        <v>25</v>
      </c>
      <c r="I1757" t="s">
        <v>34</v>
      </c>
      <c r="J1757" t="s">
        <v>40</v>
      </c>
      <c r="K1757" t="s">
        <v>48</v>
      </c>
      <c r="L1757" t="s">
        <v>53</v>
      </c>
      <c r="M1757" s="7">
        <v>72313</v>
      </c>
      <c r="N1757">
        <v>0.31</v>
      </c>
      <c r="O1757" s="7">
        <v>393</v>
      </c>
      <c r="P1757">
        <v>15</v>
      </c>
      <c r="Q1757" t="s">
        <v>57</v>
      </c>
      <c r="R1757" t="s">
        <v>62</v>
      </c>
      <c r="S1757">
        <f t="shared" si="135"/>
        <v>2025</v>
      </c>
      <c r="T1757" t="str">
        <f t="shared" si="136"/>
        <v>Oct</v>
      </c>
      <c r="U1757">
        <f t="shared" si="137"/>
        <v>3</v>
      </c>
      <c r="V1757">
        <f t="shared" si="138"/>
        <v>4</v>
      </c>
      <c r="W1757" s="9">
        <f t="shared" si="139"/>
        <v>5.4347074523253078E-3</v>
      </c>
    </row>
    <row r="1758" spans="1:23">
      <c r="A1758">
        <v>11757</v>
      </c>
      <c r="B1758" s="5">
        <v>45953</v>
      </c>
      <c r="C1758" s="5">
        <v>45958</v>
      </c>
      <c r="D1758" s="5">
        <v>45963</v>
      </c>
      <c r="E1758" t="s">
        <v>21</v>
      </c>
      <c r="F1758" t="s">
        <v>22</v>
      </c>
      <c r="G1758" t="s">
        <v>26</v>
      </c>
      <c r="H1758" t="s">
        <v>29</v>
      </c>
      <c r="I1758" t="s">
        <v>36</v>
      </c>
      <c r="J1758" t="s">
        <v>40</v>
      </c>
      <c r="K1758" t="s">
        <v>44</v>
      </c>
      <c r="L1758" t="s">
        <v>53</v>
      </c>
      <c r="M1758" s="7">
        <v>11396</v>
      </c>
      <c r="N1758">
        <v>0.12</v>
      </c>
      <c r="O1758" s="7">
        <v>10229</v>
      </c>
      <c r="P1758">
        <v>19</v>
      </c>
      <c r="Q1758" t="s">
        <v>57</v>
      </c>
      <c r="R1758" t="s">
        <v>62</v>
      </c>
      <c r="S1758">
        <f t="shared" si="135"/>
        <v>2025</v>
      </c>
      <c r="T1758" t="str">
        <f t="shared" si="136"/>
        <v>Oct</v>
      </c>
      <c r="U1758">
        <f t="shared" si="137"/>
        <v>5</v>
      </c>
      <c r="V1758">
        <f t="shared" si="138"/>
        <v>10</v>
      </c>
      <c r="W1758" s="9">
        <f t="shared" si="139"/>
        <v>0.89759564759564758</v>
      </c>
    </row>
    <row r="1759" spans="1:23">
      <c r="A1759">
        <v>11758</v>
      </c>
      <c r="B1759" s="5">
        <v>45954</v>
      </c>
      <c r="C1759" s="5">
        <v>45960</v>
      </c>
      <c r="D1759" s="5">
        <v>45965</v>
      </c>
      <c r="E1759" t="s">
        <v>20</v>
      </c>
      <c r="F1759" t="s">
        <v>22</v>
      </c>
      <c r="G1759" t="s">
        <v>24</v>
      </c>
      <c r="H1759" t="s">
        <v>33</v>
      </c>
      <c r="I1759" t="s">
        <v>36</v>
      </c>
      <c r="J1759" t="s">
        <v>39</v>
      </c>
      <c r="K1759" t="s">
        <v>46</v>
      </c>
      <c r="L1759" t="s">
        <v>53</v>
      </c>
      <c r="M1759" s="7">
        <v>37246</v>
      </c>
      <c r="N1759">
        <v>0.09</v>
      </c>
      <c r="O1759" s="7">
        <v>19646</v>
      </c>
      <c r="P1759">
        <v>13</v>
      </c>
      <c r="Q1759" t="s">
        <v>58</v>
      </c>
      <c r="R1759" t="s">
        <v>62</v>
      </c>
      <c r="S1759">
        <f t="shared" si="135"/>
        <v>2025</v>
      </c>
      <c r="T1759" t="str">
        <f t="shared" si="136"/>
        <v>Oct</v>
      </c>
      <c r="U1759">
        <f t="shared" si="137"/>
        <v>6</v>
      </c>
      <c r="V1759">
        <f t="shared" si="138"/>
        <v>11</v>
      </c>
      <c r="W1759" s="9">
        <f t="shared" si="139"/>
        <v>0.52746603662138214</v>
      </c>
    </row>
    <row r="1760" spans="1:23">
      <c r="A1760">
        <v>11759</v>
      </c>
      <c r="B1760" s="5">
        <v>45955</v>
      </c>
      <c r="C1760" s="5">
        <v>45959</v>
      </c>
      <c r="D1760" s="5">
        <v>45962</v>
      </c>
      <c r="E1760" t="s">
        <v>19</v>
      </c>
      <c r="F1760" t="s">
        <v>22</v>
      </c>
      <c r="G1760" t="s">
        <v>24</v>
      </c>
      <c r="H1760" t="s">
        <v>33</v>
      </c>
      <c r="I1760" t="s">
        <v>36</v>
      </c>
      <c r="J1760" t="s">
        <v>42</v>
      </c>
      <c r="K1760" t="s">
        <v>44</v>
      </c>
      <c r="L1760" t="s">
        <v>51</v>
      </c>
      <c r="M1760" s="7">
        <v>55510</v>
      </c>
      <c r="N1760">
        <v>0.28000000000000003</v>
      </c>
      <c r="O1760" s="7">
        <v>2872</v>
      </c>
      <c r="P1760">
        <v>8</v>
      </c>
      <c r="Q1760" t="s">
        <v>58</v>
      </c>
      <c r="R1760" t="s">
        <v>60</v>
      </c>
      <c r="S1760">
        <f t="shared" si="135"/>
        <v>2025</v>
      </c>
      <c r="T1760" t="str">
        <f t="shared" si="136"/>
        <v>Oct</v>
      </c>
      <c r="U1760">
        <f t="shared" si="137"/>
        <v>4</v>
      </c>
      <c r="V1760">
        <f t="shared" si="138"/>
        <v>7</v>
      </c>
      <c r="W1760" s="9">
        <f t="shared" si="139"/>
        <v>5.1738425508917316E-2</v>
      </c>
    </row>
    <row r="1761" spans="1:23">
      <c r="A1761">
        <v>11760</v>
      </c>
      <c r="B1761" s="5">
        <v>45956</v>
      </c>
      <c r="C1761" s="5">
        <v>45959</v>
      </c>
      <c r="D1761" s="5">
        <v>45962</v>
      </c>
      <c r="E1761" t="s">
        <v>21</v>
      </c>
      <c r="F1761" t="s">
        <v>22</v>
      </c>
      <c r="G1761" t="s">
        <v>25</v>
      </c>
      <c r="H1761" t="s">
        <v>31</v>
      </c>
      <c r="I1761" t="s">
        <v>36</v>
      </c>
      <c r="J1761" t="s">
        <v>40</v>
      </c>
      <c r="K1761" t="s">
        <v>44</v>
      </c>
      <c r="L1761" t="s">
        <v>53</v>
      </c>
      <c r="M1761" s="7">
        <v>71197</v>
      </c>
      <c r="N1761">
        <v>0.02</v>
      </c>
      <c r="O1761" s="7">
        <v>4588</v>
      </c>
      <c r="P1761">
        <v>2</v>
      </c>
      <c r="Q1761" t="s">
        <v>54</v>
      </c>
      <c r="R1761" t="s">
        <v>61</v>
      </c>
      <c r="S1761">
        <f t="shared" si="135"/>
        <v>2025</v>
      </c>
      <c r="T1761" t="str">
        <f t="shared" si="136"/>
        <v>Oct</v>
      </c>
      <c r="U1761">
        <f t="shared" si="137"/>
        <v>3</v>
      </c>
      <c r="V1761">
        <f t="shared" si="138"/>
        <v>6</v>
      </c>
      <c r="W1761" s="9">
        <f t="shared" si="139"/>
        <v>6.4440917454387125E-2</v>
      </c>
    </row>
    <row r="1762" spans="1:23">
      <c r="A1762">
        <v>11761</v>
      </c>
      <c r="B1762" s="5">
        <v>45957</v>
      </c>
      <c r="C1762" s="5">
        <v>45959</v>
      </c>
      <c r="D1762" s="5">
        <v>45962</v>
      </c>
      <c r="E1762" t="s">
        <v>20</v>
      </c>
      <c r="F1762" t="s">
        <v>22</v>
      </c>
      <c r="G1762" t="s">
        <v>23</v>
      </c>
      <c r="H1762" t="s">
        <v>29</v>
      </c>
      <c r="I1762" t="s">
        <v>36</v>
      </c>
      <c r="J1762" t="s">
        <v>43</v>
      </c>
      <c r="K1762" t="s">
        <v>48</v>
      </c>
      <c r="L1762" t="s">
        <v>52</v>
      </c>
      <c r="M1762" s="7">
        <v>14243</v>
      </c>
      <c r="N1762">
        <v>0.25</v>
      </c>
      <c r="O1762" s="7">
        <v>3799</v>
      </c>
      <c r="P1762">
        <v>24</v>
      </c>
      <c r="Q1762" t="s">
        <v>55</v>
      </c>
      <c r="R1762" t="s">
        <v>61</v>
      </c>
      <c r="S1762">
        <f t="shared" si="135"/>
        <v>2025</v>
      </c>
      <c r="T1762" t="str">
        <f t="shared" si="136"/>
        <v>Oct</v>
      </c>
      <c r="U1762">
        <f t="shared" si="137"/>
        <v>2</v>
      </c>
      <c r="V1762">
        <f t="shared" si="138"/>
        <v>5</v>
      </c>
      <c r="W1762" s="9">
        <f t="shared" si="139"/>
        <v>0.2667275152706593</v>
      </c>
    </row>
    <row r="1763" spans="1:23">
      <c r="A1763">
        <v>11762</v>
      </c>
      <c r="B1763" s="5">
        <v>45958</v>
      </c>
      <c r="C1763" s="5">
        <v>45962</v>
      </c>
      <c r="D1763" s="5">
        <v>45965</v>
      </c>
      <c r="E1763" t="s">
        <v>21</v>
      </c>
      <c r="F1763" t="s">
        <v>22</v>
      </c>
      <c r="G1763" t="s">
        <v>26</v>
      </c>
      <c r="H1763" t="s">
        <v>33</v>
      </c>
      <c r="I1763" t="s">
        <v>34</v>
      </c>
      <c r="J1763" t="s">
        <v>37</v>
      </c>
      <c r="K1763" t="s">
        <v>47</v>
      </c>
      <c r="L1763" t="s">
        <v>53</v>
      </c>
      <c r="M1763" s="7">
        <v>46207</v>
      </c>
      <c r="N1763">
        <v>0.31</v>
      </c>
      <c r="O1763" s="7">
        <v>477</v>
      </c>
      <c r="P1763">
        <v>13</v>
      </c>
      <c r="Q1763" t="s">
        <v>55</v>
      </c>
      <c r="R1763" t="s">
        <v>60</v>
      </c>
      <c r="S1763">
        <f t="shared" si="135"/>
        <v>2025</v>
      </c>
      <c r="T1763" t="str">
        <f t="shared" si="136"/>
        <v>Oct</v>
      </c>
      <c r="U1763">
        <f t="shared" si="137"/>
        <v>4</v>
      </c>
      <c r="V1763">
        <f t="shared" si="138"/>
        <v>7</v>
      </c>
      <c r="W1763" s="9">
        <f t="shared" si="139"/>
        <v>1.0323111216915187E-2</v>
      </c>
    </row>
    <row r="1764" spans="1:23">
      <c r="A1764">
        <v>11763</v>
      </c>
      <c r="B1764" s="5">
        <v>45959</v>
      </c>
      <c r="C1764" s="5">
        <v>45966</v>
      </c>
      <c r="D1764" s="5">
        <v>45969</v>
      </c>
      <c r="E1764" t="s">
        <v>20</v>
      </c>
      <c r="F1764" t="s">
        <v>22</v>
      </c>
      <c r="G1764" t="s">
        <v>28</v>
      </c>
      <c r="H1764" t="s">
        <v>25</v>
      </c>
      <c r="I1764" t="s">
        <v>35</v>
      </c>
      <c r="J1764" t="s">
        <v>43</v>
      </c>
      <c r="K1764" t="s">
        <v>44</v>
      </c>
      <c r="L1764" t="s">
        <v>53</v>
      </c>
      <c r="M1764" s="7">
        <v>38967</v>
      </c>
      <c r="N1764">
        <v>0.17</v>
      </c>
      <c r="O1764" s="7">
        <v>14757</v>
      </c>
      <c r="P1764">
        <v>3</v>
      </c>
      <c r="Q1764" t="s">
        <v>56</v>
      </c>
      <c r="R1764" t="s">
        <v>61</v>
      </c>
      <c r="S1764">
        <f t="shared" si="135"/>
        <v>2025</v>
      </c>
      <c r="T1764" t="str">
        <f t="shared" si="136"/>
        <v>Oct</v>
      </c>
      <c r="U1764">
        <f t="shared" si="137"/>
        <v>7</v>
      </c>
      <c r="V1764">
        <f t="shared" si="138"/>
        <v>10</v>
      </c>
      <c r="W1764" s="9">
        <f t="shared" si="139"/>
        <v>0.37870505812610672</v>
      </c>
    </row>
    <row r="1765" spans="1:23">
      <c r="A1765">
        <v>11764</v>
      </c>
      <c r="B1765" s="5">
        <v>45960</v>
      </c>
      <c r="C1765" s="5">
        <v>45962</v>
      </c>
      <c r="D1765" s="5">
        <v>45967</v>
      </c>
      <c r="E1765" t="s">
        <v>19</v>
      </c>
      <c r="F1765" t="s">
        <v>22</v>
      </c>
      <c r="G1765" t="s">
        <v>27</v>
      </c>
      <c r="H1765" t="s">
        <v>29</v>
      </c>
      <c r="I1765" t="s">
        <v>35</v>
      </c>
      <c r="J1765" t="s">
        <v>43</v>
      </c>
      <c r="K1765" t="s">
        <v>50</v>
      </c>
      <c r="L1765" t="s">
        <v>51</v>
      </c>
      <c r="M1765" s="7">
        <v>45472</v>
      </c>
      <c r="N1765">
        <v>0.26</v>
      </c>
      <c r="O1765" s="7">
        <v>11679</v>
      </c>
      <c r="P1765">
        <v>17</v>
      </c>
      <c r="Q1765" t="s">
        <v>58</v>
      </c>
      <c r="R1765" t="s">
        <v>59</v>
      </c>
      <c r="S1765">
        <f t="shared" si="135"/>
        <v>2025</v>
      </c>
      <c r="T1765" t="str">
        <f t="shared" si="136"/>
        <v>Oct</v>
      </c>
      <c r="U1765">
        <f t="shared" si="137"/>
        <v>2</v>
      </c>
      <c r="V1765">
        <f t="shared" si="138"/>
        <v>7</v>
      </c>
      <c r="W1765" s="9">
        <f t="shared" si="139"/>
        <v>0.25683937368050669</v>
      </c>
    </row>
    <row r="1766" spans="1:23">
      <c r="A1766">
        <v>11765</v>
      </c>
      <c r="B1766" s="5">
        <v>45961</v>
      </c>
      <c r="C1766" s="5">
        <v>45967</v>
      </c>
      <c r="D1766" s="5">
        <v>45969</v>
      </c>
      <c r="E1766" t="s">
        <v>21</v>
      </c>
      <c r="F1766" t="s">
        <v>22</v>
      </c>
      <c r="G1766" t="s">
        <v>24</v>
      </c>
      <c r="H1766" t="s">
        <v>33</v>
      </c>
      <c r="I1766" t="s">
        <v>34</v>
      </c>
      <c r="J1766" t="s">
        <v>38</v>
      </c>
      <c r="K1766" t="s">
        <v>46</v>
      </c>
      <c r="L1766" t="s">
        <v>52</v>
      </c>
      <c r="M1766" s="7">
        <v>31293</v>
      </c>
      <c r="N1766">
        <v>0.23</v>
      </c>
      <c r="O1766" s="7">
        <v>2309</v>
      </c>
      <c r="P1766">
        <v>8</v>
      </c>
      <c r="Q1766" t="s">
        <v>54</v>
      </c>
      <c r="R1766" t="s">
        <v>61</v>
      </c>
      <c r="S1766">
        <f t="shared" si="135"/>
        <v>2025</v>
      </c>
      <c r="T1766" t="str">
        <f t="shared" si="136"/>
        <v>Oct</v>
      </c>
      <c r="U1766">
        <f t="shared" si="137"/>
        <v>6</v>
      </c>
      <c r="V1766">
        <f t="shared" si="138"/>
        <v>8</v>
      </c>
      <c r="W1766" s="9">
        <f t="shared" si="139"/>
        <v>7.3786469817531078E-2</v>
      </c>
    </row>
    <row r="1767" spans="1:23">
      <c r="A1767">
        <v>11766</v>
      </c>
      <c r="B1767" s="5">
        <v>45962</v>
      </c>
      <c r="C1767" s="5">
        <v>45964</v>
      </c>
      <c r="D1767" s="5">
        <v>45968</v>
      </c>
      <c r="E1767" t="s">
        <v>21</v>
      </c>
      <c r="F1767" t="s">
        <v>22</v>
      </c>
      <c r="G1767" t="s">
        <v>24</v>
      </c>
      <c r="H1767" t="s">
        <v>29</v>
      </c>
      <c r="I1767" t="s">
        <v>35</v>
      </c>
      <c r="J1767" t="s">
        <v>40</v>
      </c>
      <c r="K1767" t="s">
        <v>47</v>
      </c>
      <c r="L1767" t="s">
        <v>51</v>
      </c>
      <c r="M1767" s="7">
        <v>5883</v>
      </c>
      <c r="N1767">
        <v>0.28000000000000003</v>
      </c>
      <c r="O1767" s="7">
        <v>12598</v>
      </c>
      <c r="P1767">
        <v>6</v>
      </c>
      <c r="Q1767" t="s">
        <v>54</v>
      </c>
      <c r="R1767" t="s">
        <v>60</v>
      </c>
      <c r="S1767">
        <f t="shared" si="135"/>
        <v>2025</v>
      </c>
      <c r="T1767" t="str">
        <f t="shared" si="136"/>
        <v>Nov</v>
      </c>
      <c r="U1767">
        <f t="shared" si="137"/>
        <v>2</v>
      </c>
      <c r="V1767">
        <f t="shared" si="138"/>
        <v>6</v>
      </c>
      <c r="W1767" s="9">
        <f t="shared" si="139"/>
        <v>2.1414244433112359</v>
      </c>
    </row>
    <row r="1768" spans="1:23">
      <c r="A1768">
        <v>11767</v>
      </c>
      <c r="B1768" s="5">
        <v>45963</v>
      </c>
      <c r="C1768" s="5">
        <v>45965</v>
      </c>
      <c r="D1768" s="5">
        <v>45970</v>
      </c>
      <c r="E1768" t="s">
        <v>19</v>
      </c>
      <c r="F1768" t="s">
        <v>22</v>
      </c>
      <c r="G1768" t="s">
        <v>24</v>
      </c>
      <c r="H1768" t="s">
        <v>32</v>
      </c>
      <c r="I1768" t="s">
        <v>35</v>
      </c>
      <c r="J1768" t="s">
        <v>41</v>
      </c>
      <c r="K1768" t="s">
        <v>45</v>
      </c>
      <c r="L1768" t="s">
        <v>51</v>
      </c>
      <c r="M1768" s="7">
        <v>10692</v>
      </c>
      <c r="N1768">
        <v>0.34</v>
      </c>
      <c r="O1768" s="7">
        <v>10322</v>
      </c>
      <c r="P1768">
        <v>15</v>
      </c>
      <c r="Q1768" t="s">
        <v>56</v>
      </c>
      <c r="R1768" t="s">
        <v>61</v>
      </c>
      <c r="S1768">
        <f t="shared" si="135"/>
        <v>2025</v>
      </c>
      <c r="T1768" t="str">
        <f t="shared" si="136"/>
        <v>Nov</v>
      </c>
      <c r="U1768">
        <f t="shared" si="137"/>
        <v>2</v>
      </c>
      <c r="V1768">
        <f t="shared" si="138"/>
        <v>7</v>
      </c>
      <c r="W1768" s="9">
        <f t="shared" si="139"/>
        <v>0.96539468761690983</v>
      </c>
    </row>
    <row r="1769" spans="1:23">
      <c r="A1769">
        <v>11768</v>
      </c>
      <c r="B1769" s="5">
        <v>45964</v>
      </c>
      <c r="C1769" s="5">
        <v>45967</v>
      </c>
      <c r="D1769" s="5">
        <v>45971</v>
      </c>
      <c r="E1769" t="s">
        <v>20</v>
      </c>
      <c r="F1769" t="s">
        <v>22</v>
      </c>
      <c r="G1769" t="s">
        <v>24</v>
      </c>
      <c r="H1769" t="s">
        <v>31</v>
      </c>
      <c r="I1769" t="s">
        <v>35</v>
      </c>
      <c r="J1769" t="s">
        <v>43</v>
      </c>
      <c r="K1769" t="s">
        <v>48</v>
      </c>
      <c r="L1769" t="s">
        <v>53</v>
      </c>
      <c r="M1769" s="7">
        <v>27783</v>
      </c>
      <c r="N1769">
        <v>0.15</v>
      </c>
      <c r="O1769" s="7">
        <v>10915</v>
      </c>
      <c r="P1769">
        <v>19</v>
      </c>
      <c r="Q1769" t="s">
        <v>57</v>
      </c>
      <c r="R1769" t="s">
        <v>59</v>
      </c>
      <c r="S1769">
        <f t="shared" si="135"/>
        <v>2025</v>
      </c>
      <c r="T1769" t="str">
        <f t="shared" si="136"/>
        <v>Nov</v>
      </c>
      <c r="U1769">
        <f t="shared" si="137"/>
        <v>3</v>
      </c>
      <c r="V1769">
        <f t="shared" si="138"/>
        <v>7</v>
      </c>
      <c r="W1769" s="9">
        <f t="shared" si="139"/>
        <v>0.39286614116546087</v>
      </c>
    </row>
    <row r="1770" spans="1:23">
      <c r="A1770">
        <v>11769</v>
      </c>
      <c r="B1770" s="5">
        <v>45965</v>
      </c>
      <c r="C1770" s="5">
        <v>45968</v>
      </c>
      <c r="D1770" s="5">
        <v>45971</v>
      </c>
      <c r="E1770" t="s">
        <v>21</v>
      </c>
      <c r="F1770" t="s">
        <v>22</v>
      </c>
      <c r="G1770" t="s">
        <v>24</v>
      </c>
      <c r="H1770" t="s">
        <v>31</v>
      </c>
      <c r="I1770" t="s">
        <v>35</v>
      </c>
      <c r="J1770" t="s">
        <v>38</v>
      </c>
      <c r="K1770" t="s">
        <v>49</v>
      </c>
      <c r="L1770" t="s">
        <v>53</v>
      </c>
      <c r="M1770" s="7">
        <v>59014</v>
      </c>
      <c r="N1770">
        <v>0.01</v>
      </c>
      <c r="O1770" s="7">
        <v>15384</v>
      </c>
      <c r="P1770">
        <v>15</v>
      </c>
      <c r="Q1770" t="s">
        <v>55</v>
      </c>
      <c r="R1770" t="s">
        <v>59</v>
      </c>
      <c r="S1770">
        <f t="shared" si="135"/>
        <v>2025</v>
      </c>
      <c r="T1770" t="str">
        <f t="shared" si="136"/>
        <v>Nov</v>
      </c>
      <c r="U1770">
        <f t="shared" si="137"/>
        <v>3</v>
      </c>
      <c r="V1770">
        <f t="shared" si="138"/>
        <v>6</v>
      </c>
      <c r="W1770" s="9">
        <f t="shared" si="139"/>
        <v>0.26068390551394582</v>
      </c>
    </row>
    <row r="1771" spans="1:23">
      <c r="A1771">
        <v>11770</v>
      </c>
      <c r="B1771" s="5">
        <v>45966</v>
      </c>
      <c r="C1771" s="5">
        <v>45971</v>
      </c>
      <c r="D1771" s="5">
        <v>45974</v>
      </c>
      <c r="E1771" t="s">
        <v>20</v>
      </c>
      <c r="F1771" t="s">
        <v>22</v>
      </c>
      <c r="G1771" t="s">
        <v>28</v>
      </c>
      <c r="H1771" t="s">
        <v>25</v>
      </c>
      <c r="I1771" t="s">
        <v>36</v>
      </c>
      <c r="J1771" t="s">
        <v>43</v>
      </c>
      <c r="K1771" t="s">
        <v>50</v>
      </c>
      <c r="L1771" t="s">
        <v>53</v>
      </c>
      <c r="M1771" s="7">
        <v>1246</v>
      </c>
      <c r="N1771">
        <v>0.17</v>
      </c>
      <c r="O1771" s="7">
        <v>-640</v>
      </c>
      <c r="P1771">
        <v>23</v>
      </c>
      <c r="Q1771" t="s">
        <v>58</v>
      </c>
      <c r="R1771" t="s">
        <v>59</v>
      </c>
      <c r="S1771">
        <f t="shared" si="135"/>
        <v>2025</v>
      </c>
      <c r="T1771" t="str">
        <f t="shared" si="136"/>
        <v>Nov</v>
      </c>
      <c r="U1771">
        <f t="shared" si="137"/>
        <v>5</v>
      </c>
      <c r="V1771">
        <f t="shared" si="138"/>
        <v>8</v>
      </c>
      <c r="W1771" s="9">
        <f t="shared" si="139"/>
        <v>-0.5136436597110754</v>
      </c>
    </row>
    <row r="1772" spans="1:23">
      <c r="A1772">
        <v>11771</v>
      </c>
      <c r="B1772" s="5">
        <v>45967</v>
      </c>
      <c r="C1772" s="5">
        <v>45972</v>
      </c>
      <c r="D1772" s="5">
        <v>45975</v>
      </c>
      <c r="E1772" t="s">
        <v>19</v>
      </c>
      <c r="F1772" t="s">
        <v>22</v>
      </c>
      <c r="G1772" t="s">
        <v>25</v>
      </c>
      <c r="H1772" t="s">
        <v>29</v>
      </c>
      <c r="I1772" t="s">
        <v>36</v>
      </c>
      <c r="J1772" t="s">
        <v>37</v>
      </c>
      <c r="K1772" t="s">
        <v>49</v>
      </c>
      <c r="L1772" t="s">
        <v>51</v>
      </c>
      <c r="M1772" s="7">
        <v>58477</v>
      </c>
      <c r="N1772">
        <v>0.06</v>
      </c>
      <c r="O1772" s="7">
        <v>-670</v>
      </c>
      <c r="P1772">
        <v>10</v>
      </c>
      <c r="Q1772" t="s">
        <v>56</v>
      </c>
      <c r="R1772" t="s">
        <v>62</v>
      </c>
      <c r="S1772">
        <f t="shared" si="135"/>
        <v>2025</v>
      </c>
      <c r="T1772" t="str">
        <f t="shared" si="136"/>
        <v>Nov</v>
      </c>
      <c r="U1772">
        <f t="shared" si="137"/>
        <v>5</v>
      </c>
      <c r="V1772">
        <f t="shared" si="138"/>
        <v>8</v>
      </c>
      <c r="W1772" s="9">
        <f t="shared" si="139"/>
        <v>-1.1457496109581545E-2</v>
      </c>
    </row>
    <row r="1773" spans="1:23">
      <c r="A1773">
        <v>11772</v>
      </c>
      <c r="B1773" s="5">
        <v>45968</v>
      </c>
      <c r="C1773" s="5">
        <v>45972</v>
      </c>
      <c r="D1773" s="5">
        <v>45977</v>
      </c>
      <c r="E1773" t="s">
        <v>21</v>
      </c>
      <c r="F1773" t="s">
        <v>22</v>
      </c>
      <c r="G1773" t="s">
        <v>28</v>
      </c>
      <c r="H1773" t="s">
        <v>32</v>
      </c>
      <c r="I1773" t="s">
        <v>34</v>
      </c>
      <c r="J1773" t="s">
        <v>38</v>
      </c>
      <c r="K1773" t="s">
        <v>45</v>
      </c>
      <c r="L1773" t="s">
        <v>52</v>
      </c>
      <c r="M1773" s="7">
        <v>41082</v>
      </c>
      <c r="N1773">
        <v>0.24</v>
      </c>
      <c r="O1773" s="7">
        <v>15812</v>
      </c>
      <c r="P1773">
        <v>21</v>
      </c>
      <c r="Q1773" t="s">
        <v>57</v>
      </c>
      <c r="R1773" t="s">
        <v>59</v>
      </c>
      <c r="S1773">
        <f t="shared" si="135"/>
        <v>2025</v>
      </c>
      <c r="T1773" t="str">
        <f t="shared" si="136"/>
        <v>Nov</v>
      </c>
      <c r="U1773">
        <f t="shared" si="137"/>
        <v>4</v>
      </c>
      <c r="V1773">
        <f t="shared" si="138"/>
        <v>9</v>
      </c>
      <c r="W1773" s="9">
        <f t="shared" si="139"/>
        <v>0.38488875906723141</v>
      </c>
    </row>
    <row r="1774" spans="1:23">
      <c r="A1774">
        <v>11773</v>
      </c>
      <c r="B1774" s="5">
        <v>45969</v>
      </c>
      <c r="C1774" s="5">
        <v>45974</v>
      </c>
      <c r="D1774" s="5">
        <v>45975</v>
      </c>
      <c r="E1774" t="s">
        <v>19</v>
      </c>
      <c r="F1774" t="s">
        <v>22</v>
      </c>
      <c r="G1774" t="s">
        <v>27</v>
      </c>
      <c r="H1774" t="s">
        <v>33</v>
      </c>
      <c r="I1774" t="s">
        <v>35</v>
      </c>
      <c r="J1774" t="s">
        <v>39</v>
      </c>
      <c r="K1774" t="s">
        <v>44</v>
      </c>
      <c r="L1774" t="s">
        <v>51</v>
      </c>
      <c r="M1774" s="7">
        <v>47226</v>
      </c>
      <c r="N1774">
        <v>0.15</v>
      </c>
      <c r="O1774" s="7">
        <v>-403</v>
      </c>
      <c r="P1774">
        <v>17</v>
      </c>
      <c r="Q1774" t="s">
        <v>56</v>
      </c>
      <c r="R1774" t="s">
        <v>61</v>
      </c>
      <c r="S1774">
        <f t="shared" si="135"/>
        <v>2025</v>
      </c>
      <c r="T1774" t="str">
        <f t="shared" si="136"/>
        <v>Nov</v>
      </c>
      <c r="U1774">
        <f t="shared" si="137"/>
        <v>5</v>
      </c>
      <c r="V1774">
        <f t="shared" si="138"/>
        <v>6</v>
      </c>
      <c r="W1774" s="9">
        <f t="shared" si="139"/>
        <v>-8.533434972261042E-3</v>
      </c>
    </row>
    <row r="1775" spans="1:23">
      <c r="A1775">
        <v>11774</v>
      </c>
      <c r="B1775" s="5">
        <v>45970</v>
      </c>
      <c r="C1775" s="5">
        <v>45977</v>
      </c>
      <c r="D1775" s="5">
        <v>45978</v>
      </c>
      <c r="E1775" t="s">
        <v>20</v>
      </c>
      <c r="F1775" t="s">
        <v>22</v>
      </c>
      <c r="G1775" t="s">
        <v>26</v>
      </c>
      <c r="H1775" t="s">
        <v>30</v>
      </c>
      <c r="I1775" t="s">
        <v>35</v>
      </c>
      <c r="J1775" t="s">
        <v>37</v>
      </c>
      <c r="K1775" t="s">
        <v>46</v>
      </c>
      <c r="L1775" t="s">
        <v>53</v>
      </c>
      <c r="M1775" s="7">
        <v>7293</v>
      </c>
      <c r="N1775">
        <v>0.05</v>
      </c>
      <c r="O1775" s="7">
        <v>2398</v>
      </c>
      <c r="P1775">
        <v>7</v>
      </c>
      <c r="Q1775" t="s">
        <v>55</v>
      </c>
      <c r="R1775" t="s">
        <v>59</v>
      </c>
      <c r="S1775">
        <f t="shared" si="135"/>
        <v>2025</v>
      </c>
      <c r="T1775" t="str">
        <f t="shared" si="136"/>
        <v>Nov</v>
      </c>
      <c r="U1775">
        <f t="shared" si="137"/>
        <v>7</v>
      </c>
      <c r="V1775">
        <f t="shared" si="138"/>
        <v>8</v>
      </c>
      <c r="W1775" s="9">
        <f t="shared" si="139"/>
        <v>0.32880844645550528</v>
      </c>
    </row>
    <row r="1776" spans="1:23">
      <c r="A1776">
        <v>11775</v>
      </c>
      <c r="B1776" s="5">
        <v>45971</v>
      </c>
      <c r="C1776" s="5">
        <v>45978</v>
      </c>
      <c r="D1776" s="5">
        <v>45980</v>
      </c>
      <c r="E1776" t="s">
        <v>21</v>
      </c>
      <c r="F1776" t="s">
        <v>22</v>
      </c>
      <c r="G1776" t="s">
        <v>24</v>
      </c>
      <c r="H1776" t="s">
        <v>30</v>
      </c>
      <c r="I1776" t="s">
        <v>35</v>
      </c>
      <c r="J1776" t="s">
        <v>43</v>
      </c>
      <c r="K1776" t="s">
        <v>47</v>
      </c>
      <c r="L1776" t="s">
        <v>52</v>
      </c>
      <c r="M1776" s="7">
        <v>3301</v>
      </c>
      <c r="N1776">
        <v>0.3</v>
      </c>
      <c r="O1776" s="7">
        <v>2862</v>
      </c>
      <c r="P1776">
        <v>11</v>
      </c>
      <c r="Q1776" t="s">
        <v>55</v>
      </c>
      <c r="R1776" t="s">
        <v>60</v>
      </c>
      <c r="S1776">
        <f t="shared" si="135"/>
        <v>2025</v>
      </c>
      <c r="T1776" t="str">
        <f t="shared" si="136"/>
        <v>Nov</v>
      </c>
      <c r="U1776">
        <f t="shared" si="137"/>
        <v>7</v>
      </c>
      <c r="V1776">
        <f t="shared" si="138"/>
        <v>9</v>
      </c>
      <c r="W1776" s="9">
        <f t="shared" si="139"/>
        <v>0.86700999697061498</v>
      </c>
    </row>
    <row r="1777" spans="1:23">
      <c r="A1777">
        <v>11776</v>
      </c>
      <c r="B1777" s="5">
        <v>45972</v>
      </c>
      <c r="C1777" s="5">
        <v>45978</v>
      </c>
      <c r="D1777" s="5">
        <v>45982</v>
      </c>
      <c r="E1777" t="s">
        <v>19</v>
      </c>
      <c r="F1777" t="s">
        <v>22</v>
      </c>
      <c r="G1777" t="s">
        <v>26</v>
      </c>
      <c r="H1777" t="s">
        <v>33</v>
      </c>
      <c r="I1777" t="s">
        <v>35</v>
      </c>
      <c r="J1777" t="s">
        <v>40</v>
      </c>
      <c r="K1777" t="s">
        <v>48</v>
      </c>
      <c r="L1777" t="s">
        <v>52</v>
      </c>
      <c r="M1777" s="7">
        <v>63638</v>
      </c>
      <c r="N1777">
        <v>0.34</v>
      </c>
      <c r="O1777" s="7">
        <v>12582</v>
      </c>
      <c r="P1777">
        <v>12</v>
      </c>
      <c r="Q1777" t="s">
        <v>54</v>
      </c>
      <c r="R1777" t="s">
        <v>62</v>
      </c>
      <c r="S1777">
        <f t="shared" si="135"/>
        <v>2025</v>
      </c>
      <c r="T1777" t="str">
        <f t="shared" si="136"/>
        <v>Nov</v>
      </c>
      <c r="U1777">
        <f t="shared" si="137"/>
        <v>6</v>
      </c>
      <c r="V1777">
        <f t="shared" si="138"/>
        <v>10</v>
      </c>
      <c r="W1777" s="9">
        <f t="shared" si="139"/>
        <v>0.19771205883277287</v>
      </c>
    </row>
    <row r="1778" spans="1:23">
      <c r="A1778">
        <v>11777</v>
      </c>
      <c r="B1778" s="5">
        <v>45973</v>
      </c>
      <c r="C1778" s="5">
        <v>45979</v>
      </c>
      <c r="D1778" s="5">
        <v>45983</v>
      </c>
      <c r="E1778" t="s">
        <v>20</v>
      </c>
      <c r="F1778" t="s">
        <v>22</v>
      </c>
      <c r="G1778" t="s">
        <v>23</v>
      </c>
      <c r="H1778" t="s">
        <v>32</v>
      </c>
      <c r="I1778" t="s">
        <v>36</v>
      </c>
      <c r="J1778" t="s">
        <v>43</v>
      </c>
      <c r="K1778" t="s">
        <v>45</v>
      </c>
      <c r="L1778" t="s">
        <v>52</v>
      </c>
      <c r="M1778" s="7">
        <v>19774</v>
      </c>
      <c r="N1778">
        <v>0.09</v>
      </c>
      <c r="O1778" s="7">
        <v>10709</v>
      </c>
      <c r="P1778">
        <v>17</v>
      </c>
      <c r="Q1778" t="s">
        <v>56</v>
      </c>
      <c r="R1778" t="s">
        <v>59</v>
      </c>
      <c r="S1778">
        <f t="shared" si="135"/>
        <v>2025</v>
      </c>
      <c r="T1778" t="str">
        <f t="shared" si="136"/>
        <v>Nov</v>
      </c>
      <c r="U1778">
        <f t="shared" si="137"/>
        <v>6</v>
      </c>
      <c r="V1778">
        <f t="shared" si="138"/>
        <v>10</v>
      </c>
      <c r="W1778" s="9">
        <f t="shared" si="139"/>
        <v>0.54156973803985031</v>
      </c>
    </row>
    <row r="1779" spans="1:23">
      <c r="A1779">
        <v>11778</v>
      </c>
      <c r="B1779" s="5">
        <v>45974</v>
      </c>
      <c r="C1779" s="5">
        <v>45979</v>
      </c>
      <c r="D1779" s="5">
        <v>45981</v>
      </c>
      <c r="E1779" t="s">
        <v>21</v>
      </c>
      <c r="F1779" t="s">
        <v>22</v>
      </c>
      <c r="G1779" t="s">
        <v>27</v>
      </c>
      <c r="H1779" t="s">
        <v>33</v>
      </c>
      <c r="I1779" t="s">
        <v>34</v>
      </c>
      <c r="J1779" t="s">
        <v>37</v>
      </c>
      <c r="K1779" t="s">
        <v>50</v>
      </c>
      <c r="L1779" t="s">
        <v>53</v>
      </c>
      <c r="M1779" s="7">
        <v>30941</v>
      </c>
      <c r="N1779">
        <v>0.32</v>
      </c>
      <c r="O1779" s="7">
        <v>12729</v>
      </c>
      <c r="P1779">
        <v>19</v>
      </c>
      <c r="Q1779" t="s">
        <v>56</v>
      </c>
      <c r="R1779" t="s">
        <v>59</v>
      </c>
      <c r="S1779">
        <f t="shared" si="135"/>
        <v>2025</v>
      </c>
      <c r="T1779" t="str">
        <f t="shared" si="136"/>
        <v>Nov</v>
      </c>
      <c r="U1779">
        <f t="shared" si="137"/>
        <v>5</v>
      </c>
      <c r="V1779">
        <f t="shared" si="138"/>
        <v>7</v>
      </c>
      <c r="W1779" s="9">
        <f t="shared" si="139"/>
        <v>0.41139588248602177</v>
      </c>
    </row>
    <row r="1780" spans="1:23">
      <c r="A1780">
        <v>11779</v>
      </c>
      <c r="B1780" s="5">
        <v>45975</v>
      </c>
      <c r="C1780" s="5">
        <v>45977</v>
      </c>
      <c r="D1780" s="5">
        <v>45980</v>
      </c>
      <c r="E1780" t="s">
        <v>21</v>
      </c>
      <c r="F1780" t="s">
        <v>22</v>
      </c>
      <c r="G1780" t="s">
        <v>28</v>
      </c>
      <c r="H1780" t="s">
        <v>32</v>
      </c>
      <c r="I1780" t="s">
        <v>34</v>
      </c>
      <c r="J1780" t="s">
        <v>43</v>
      </c>
      <c r="K1780" t="s">
        <v>48</v>
      </c>
      <c r="L1780" t="s">
        <v>53</v>
      </c>
      <c r="M1780" s="7">
        <v>55773</v>
      </c>
      <c r="N1780">
        <v>0.1</v>
      </c>
      <c r="O1780" s="7">
        <v>2480</v>
      </c>
      <c r="P1780">
        <v>24</v>
      </c>
      <c r="Q1780" t="s">
        <v>56</v>
      </c>
      <c r="R1780" t="s">
        <v>59</v>
      </c>
      <c r="S1780">
        <f t="shared" si="135"/>
        <v>2025</v>
      </c>
      <c r="T1780" t="str">
        <f t="shared" si="136"/>
        <v>Nov</v>
      </c>
      <c r="U1780">
        <f t="shared" si="137"/>
        <v>2</v>
      </c>
      <c r="V1780">
        <f t="shared" si="138"/>
        <v>5</v>
      </c>
      <c r="W1780" s="9">
        <f t="shared" si="139"/>
        <v>4.4465960231653306E-2</v>
      </c>
    </row>
    <row r="1781" spans="1:23">
      <c r="A1781">
        <v>11780</v>
      </c>
      <c r="B1781" s="5">
        <v>45976</v>
      </c>
      <c r="C1781" s="5">
        <v>45980</v>
      </c>
      <c r="D1781" s="5">
        <v>45984</v>
      </c>
      <c r="E1781" t="s">
        <v>19</v>
      </c>
      <c r="F1781" t="s">
        <v>22</v>
      </c>
      <c r="G1781" t="s">
        <v>28</v>
      </c>
      <c r="H1781" t="s">
        <v>29</v>
      </c>
      <c r="I1781" t="s">
        <v>35</v>
      </c>
      <c r="J1781" t="s">
        <v>39</v>
      </c>
      <c r="K1781" t="s">
        <v>44</v>
      </c>
      <c r="L1781" t="s">
        <v>51</v>
      </c>
      <c r="M1781" s="7">
        <v>58289</v>
      </c>
      <c r="N1781">
        <v>0.04</v>
      </c>
      <c r="O1781" s="7">
        <v>-775</v>
      </c>
      <c r="P1781">
        <v>22</v>
      </c>
      <c r="Q1781" t="s">
        <v>56</v>
      </c>
      <c r="R1781" t="s">
        <v>61</v>
      </c>
      <c r="S1781">
        <f t="shared" si="135"/>
        <v>2025</v>
      </c>
      <c r="T1781" t="str">
        <f t="shared" si="136"/>
        <v>Nov</v>
      </c>
      <c r="U1781">
        <f t="shared" si="137"/>
        <v>4</v>
      </c>
      <c r="V1781">
        <f t="shared" si="138"/>
        <v>8</v>
      </c>
      <c r="W1781" s="9">
        <f t="shared" si="139"/>
        <v>-1.3295819108236545E-2</v>
      </c>
    </row>
    <row r="1782" spans="1:23">
      <c r="A1782">
        <v>11781</v>
      </c>
      <c r="B1782" s="5">
        <v>45977</v>
      </c>
      <c r="C1782" s="5">
        <v>45984</v>
      </c>
      <c r="D1782" s="5">
        <v>45985</v>
      </c>
      <c r="E1782" t="s">
        <v>21</v>
      </c>
      <c r="F1782" t="s">
        <v>22</v>
      </c>
      <c r="G1782" t="s">
        <v>27</v>
      </c>
      <c r="H1782" t="s">
        <v>29</v>
      </c>
      <c r="I1782" t="s">
        <v>36</v>
      </c>
      <c r="J1782" t="s">
        <v>41</v>
      </c>
      <c r="K1782" t="s">
        <v>47</v>
      </c>
      <c r="L1782" t="s">
        <v>53</v>
      </c>
      <c r="M1782" s="7">
        <v>44429</v>
      </c>
      <c r="N1782">
        <v>0.11</v>
      </c>
      <c r="O1782" s="7">
        <v>8153</v>
      </c>
      <c r="P1782">
        <v>21</v>
      </c>
      <c r="Q1782" t="s">
        <v>58</v>
      </c>
      <c r="R1782" t="s">
        <v>60</v>
      </c>
      <c r="S1782">
        <f t="shared" si="135"/>
        <v>2025</v>
      </c>
      <c r="T1782" t="str">
        <f t="shared" si="136"/>
        <v>Nov</v>
      </c>
      <c r="U1782">
        <f t="shared" si="137"/>
        <v>7</v>
      </c>
      <c r="V1782">
        <f t="shared" si="138"/>
        <v>8</v>
      </c>
      <c r="W1782" s="9">
        <f t="shared" si="139"/>
        <v>0.18350626842827883</v>
      </c>
    </row>
    <row r="1783" spans="1:23">
      <c r="A1783">
        <v>11782</v>
      </c>
      <c r="B1783" s="5">
        <v>45978</v>
      </c>
      <c r="C1783" s="5">
        <v>45981</v>
      </c>
      <c r="D1783" s="5">
        <v>45986</v>
      </c>
      <c r="E1783" t="s">
        <v>21</v>
      </c>
      <c r="F1783" t="s">
        <v>22</v>
      </c>
      <c r="G1783" t="s">
        <v>24</v>
      </c>
      <c r="H1783" t="s">
        <v>31</v>
      </c>
      <c r="I1783" t="s">
        <v>35</v>
      </c>
      <c r="J1783" t="s">
        <v>43</v>
      </c>
      <c r="K1783" t="s">
        <v>48</v>
      </c>
      <c r="L1783" t="s">
        <v>52</v>
      </c>
      <c r="M1783" s="7">
        <v>62360</v>
      </c>
      <c r="N1783">
        <v>0.08</v>
      </c>
      <c r="O1783" s="7">
        <v>3756</v>
      </c>
      <c r="P1783">
        <v>2</v>
      </c>
      <c r="Q1783" t="s">
        <v>55</v>
      </c>
      <c r="R1783" t="s">
        <v>59</v>
      </c>
      <c r="S1783">
        <f t="shared" si="135"/>
        <v>2025</v>
      </c>
      <c r="T1783" t="str">
        <f t="shared" si="136"/>
        <v>Nov</v>
      </c>
      <c r="U1783">
        <f t="shared" si="137"/>
        <v>3</v>
      </c>
      <c r="V1783">
        <f t="shared" si="138"/>
        <v>8</v>
      </c>
      <c r="W1783" s="9">
        <f t="shared" si="139"/>
        <v>6.0230917254650414E-2</v>
      </c>
    </row>
    <row r="1784" spans="1:23">
      <c r="A1784">
        <v>11783</v>
      </c>
      <c r="B1784" s="5">
        <v>45979</v>
      </c>
      <c r="C1784" s="5">
        <v>45984</v>
      </c>
      <c r="D1784" s="5">
        <v>45985</v>
      </c>
      <c r="E1784" t="s">
        <v>20</v>
      </c>
      <c r="F1784" t="s">
        <v>22</v>
      </c>
      <c r="G1784" t="s">
        <v>23</v>
      </c>
      <c r="H1784" t="s">
        <v>30</v>
      </c>
      <c r="I1784" t="s">
        <v>36</v>
      </c>
      <c r="J1784" t="s">
        <v>37</v>
      </c>
      <c r="K1784" t="s">
        <v>49</v>
      </c>
      <c r="L1784" t="s">
        <v>51</v>
      </c>
      <c r="M1784" s="7">
        <v>30160</v>
      </c>
      <c r="N1784">
        <v>0.3</v>
      </c>
      <c r="O1784" s="7">
        <v>13564</v>
      </c>
      <c r="P1784">
        <v>14</v>
      </c>
      <c r="Q1784" t="s">
        <v>57</v>
      </c>
      <c r="R1784" t="s">
        <v>59</v>
      </c>
      <c r="S1784">
        <f t="shared" si="135"/>
        <v>2025</v>
      </c>
      <c r="T1784" t="str">
        <f t="shared" si="136"/>
        <v>Nov</v>
      </c>
      <c r="U1784">
        <f t="shared" si="137"/>
        <v>5</v>
      </c>
      <c r="V1784">
        <f t="shared" si="138"/>
        <v>6</v>
      </c>
      <c r="W1784" s="9">
        <f t="shared" si="139"/>
        <v>0.44973474801061009</v>
      </c>
    </row>
    <row r="1785" spans="1:23">
      <c r="A1785">
        <v>11784</v>
      </c>
      <c r="B1785" s="5">
        <v>45980</v>
      </c>
      <c r="C1785" s="5">
        <v>45984</v>
      </c>
      <c r="D1785" s="5">
        <v>45988</v>
      </c>
      <c r="E1785" t="s">
        <v>18</v>
      </c>
      <c r="F1785" t="s">
        <v>22</v>
      </c>
      <c r="G1785" t="s">
        <v>26</v>
      </c>
      <c r="H1785" t="s">
        <v>32</v>
      </c>
      <c r="I1785" t="s">
        <v>35</v>
      </c>
      <c r="J1785" t="s">
        <v>37</v>
      </c>
      <c r="K1785" t="s">
        <v>50</v>
      </c>
      <c r="L1785" t="s">
        <v>53</v>
      </c>
      <c r="M1785" s="7">
        <v>38745</v>
      </c>
      <c r="N1785">
        <v>0.28000000000000003</v>
      </c>
      <c r="O1785" s="7">
        <v>1646</v>
      </c>
      <c r="P1785">
        <v>12</v>
      </c>
      <c r="Q1785" t="s">
        <v>54</v>
      </c>
      <c r="R1785" t="s">
        <v>59</v>
      </c>
      <c r="S1785">
        <f t="shared" si="135"/>
        <v>2025</v>
      </c>
      <c r="T1785" t="str">
        <f t="shared" si="136"/>
        <v>Nov</v>
      </c>
      <c r="U1785">
        <f t="shared" si="137"/>
        <v>4</v>
      </c>
      <c r="V1785">
        <f t="shared" si="138"/>
        <v>8</v>
      </c>
      <c r="W1785" s="9">
        <f t="shared" si="139"/>
        <v>4.2482901019486388E-2</v>
      </c>
    </row>
    <row r="1786" spans="1:23">
      <c r="A1786">
        <v>11785</v>
      </c>
      <c r="B1786" s="5">
        <v>45981</v>
      </c>
      <c r="C1786" s="5">
        <v>45983</v>
      </c>
      <c r="D1786" s="5">
        <v>45985</v>
      </c>
      <c r="E1786" t="s">
        <v>18</v>
      </c>
      <c r="F1786" t="s">
        <v>22</v>
      </c>
      <c r="G1786" t="s">
        <v>27</v>
      </c>
      <c r="H1786" t="s">
        <v>29</v>
      </c>
      <c r="I1786" t="s">
        <v>35</v>
      </c>
      <c r="J1786" t="s">
        <v>41</v>
      </c>
      <c r="K1786" t="s">
        <v>48</v>
      </c>
      <c r="L1786" t="s">
        <v>53</v>
      </c>
      <c r="M1786" s="7">
        <v>27130</v>
      </c>
      <c r="N1786">
        <v>0.18</v>
      </c>
      <c r="O1786" s="7">
        <v>4610</v>
      </c>
      <c r="P1786">
        <v>12</v>
      </c>
      <c r="Q1786" t="s">
        <v>56</v>
      </c>
      <c r="R1786" t="s">
        <v>60</v>
      </c>
      <c r="S1786">
        <f t="shared" si="135"/>
        <v>2025</v>
      </c>
      <c r="T1786" t="str">
        <f t="shared" si="136"/>
        <v>Nov</v>
      </c>
      <c r="U1786">
        <f t="shared" si="137"/>
        <v>2</v>
      </c>
      <c r="V1786">
        <f t="shared" si="138"/>
        <v>4</v>
      </c>
      <c r="W1786" s="9">
        <f t="shared" si="139"/>
        <v>0.16992259491338002</v>
      </c>
    </row>
    <row r="1787" spans="1:23">
      <c r="A1787">
        <v>11786</v>
      </c>
      <c r="B1787" s="5">
        <v>45982</v>
      </c>
      <c r="C1787" s="5">
        <v>45986</v>
      </c>
      <c r="D1787" s="5">
        <v>45989</v>
      </c>
      <c r="E1787" t="s">
        <v>18</v>
      </c>
      <c r="F1787" t="s">
        <v>22</v>
      </c>
      <c r="G1787" t="s">
        <v>27</v>
      </c>
      <c r="H1787" t="s">
        <v>25</v>
      </c>
      <c r="I1787" t="s">
        <v>36</v>
      </c>
      <c r="J1787" t="s">
        <v>43</v>
      </c>
      <c r="K1787" t="s">
        <v>45</v>
      </c>
      <c r="L1787" t="s">
        <v>52</v>
      </c>
      <c r="M1787" s="7">
        <v>56348</v>
      </c>
      <c r="N1787">
        <v>0.11</v>
      </c>
      <c r="O1787" s="7">
        <v>9584</v>
      </c>
      <c r="P1787">
        <v>11</v>
      </c>
      <c r="Q1787" t="s">
        <v>58</v>
      </c>
      <c r="R1787" t="s">
        <v>60</v>
      </c>
      <c r="S1787">
        <f t="shared" si="135"/>
        <v>2025</v>
      </c>
      <c r="T1787" t="str">
        <f t="shared" si="136"/>
        <v>Nov</v>
      </c>
      <c r="U1787">
        <f t="shared" si="137"/>
        <v>4</v>
      </c>
      <c r="V1787">
        <f t="shared" si="138"/>
        <v>7</v>
      </c>
      <c r="W1787" s="9">
        <f t="shared" si="139"/>
        <v>0.17008589479662101</v>
      </c>
    </row>
    <row r="1788" spans="1:23">
      <c r="A1788">
        <v>11787</v>
      </c>
      <c r="B1788" s="5">
        <v>45983</v>
      </c>
      <c r="C1788" s="5">
        <v>45987</v>
      </c>
      <c r="D1788" s="5">
        <v>45991</v>
      </c>
      <c r="E1788" t="s">
        <v>21</v>
      </c>
      <c r="F1788" t="s">
        <v>22</v>
      </c>
      <c r="G1788" t="s">
        <v>28</v>
      </c>
      <c r="H1788" t="s">
        <v>30</v>
      </c>
      <c r="I1788" t="s">
        <v>35</v>
      </c>
      <c r="J1788" t="s">
        <v>41</v>
      </c>
      <c r="K1788" t="s">
        <v>47</v>
      </c>
      <c r="L1788" t="s">
        <v>53</v>
      </c>
      <c r="M1788" s="7">
        <v>54777</v>
      </c>
      <c r="N1788">
        <v>0.06</v>
      </c>
      <c r="O1788" s="7">
        <v>17413</v>
      </c>
      <c r="P1788">
        <v>7</v>
      </c>
      <c r="Q1788" t="s">
        <v>58</v>
      </c>
      <c r="R1788" t="s">
        <v>59</v>
      </c>
      <c r="S1788">
        <f t="shared" si="135"/>
        <v>2025</v>
      </c>
      <c r="T1788" t="str">
        <f t="shared" si="136"/>
        <v>Nov</v>
      </c>
      <c r="U1788">
        <f t="shared" si="137"/>
        <v>4</v>
      </c>
      <c r="V1788">
        <f t="shared" si="138"/>
        <v>8</v>
      </c>
      <c r="W1788" s="9">
        <f t="shared" si="139"/>
        <v>0.317888894974168</v>
      </c>
    </row>
    <row r="1789" spans="1:23">
      <c r="A1789">
        <v>11788</v>
      </c>
      <c r="B1789" s="5">
        <v>45984</v>
      </c>
      <c r="C1789" s="5">
        <v>45989</v>
      </c>
      <c r="D1789" s="5">
        <v>45990</v>
      </c>
      <c r="E1789" t="s">
        <v>21</v>
      </c>
      <c r="F1789" t="s">
        <v>22</v>
      </c>
      <c r="G1789" t="s">
        <v>24</v>
      </c>
      <c r="H1789" t="s">
        <v>30</v>
      </c>
      <c r="I1789" t="s">
        <v>34</v>
      </c>
      <c r="J1789" t="s">
        <v>41</v>
      </c>
      <c r="K1789" t="s">
        <v>48</v>
      </c>
      <c r="L1789" t="s">
        <v>52</v>
      </c>
      <c r="M1789" s="7">
        <v>23137</v>
      </c>
      <c r="N1789">
        <v>0.16</v>
      </c>
      <c r="O1789" s="7">
        <v>2823</v>
      </c>
      <c r="P1789">
        <v>7</v>
      </c>
      <c r="Q1789" t="s">
        <v>56</v>
      </c>
      <c r="R1789" t="s">
        <v>60</v>
      </c>
      <c r="S1789">
        <f t="shared" si="135"/>
        <v>2025</v>
      </c>
      <c r="T1789" t="str">
        <f t="shared" si="136"/>
        <v>Nov</v>
      </c>
      <c r="U1789">
        <f t="shared" si="137"/>
        <v>5</v>
      </c>
      <c r="V1789">
        <f t="shared" si="138"/>
        <v>6</v>
      </c>
      <c r="W1789" s="9">
        <f t="shared" si="139"/>
        <v>0.12201236115313135</v>
      </c>
    </row>
    <row r="1790" spans="1:23">
      <c r="A1790">
        <v>11789</v>
      </c>
      <c r="B1790" s="5">
        <v>45985</v>
      </c>
      <c r="C1790" s="5">
        <v>45988</v>
      </c>
      <c r="D1790" s="5">
        <v>45990</v>
      </c>
      <c r="E1790" t="s">
        <v>20</v>
      </c>
      <c r="F1790" t="s">
        <v>22</v>
      </c>
      <c r="G1790" t="s">
        <v>28</v>
      </c>
      <c r="H1790" t="s">
        <v>25</v>
      </c>
      <c r="I1790" t="s">
        <v>36</v>
      </c>
      <c r="J1790" t="s">
        <v>41</v>
      </c>
      <c r="K1790" t="s">
        <v>46</v>
      </c>
      <c r="L1790" t="s">
        <v>51</v>
      </c>
      <c r="M1790" s="7">
        <v>24521</v>
      </c>
      <c r="N1790">
        <v>0.08</v>
      </c>
      <c r="O1790" s="7">
        <v>4806</v>
      </c>
      <c r="P1790">
        <v>17</v>
      </c>
      <c r="Q1790" t="s">
        <v>58</v>
      </c>
      <c r="R1790" t="s">
        <v>59</v>
      </c>
      <c r="S1790">
        <f t="shared" si="135"/>
        <v>2025</v>
      </c>
      <c r="T1790" t="str">
        <f t="shared" si="136"/>
        <v>Nov</v>
      </c>
      <c r="U1790">
        <f t="shared" si="137"/>
        <v>3</v>
      </c>
      <c r="V1790">
        <f t="shared" si="138"/>
        <v>5</v>
      </c>
      <c r="W1790" s="9">
        <f t="shared" si="139"/>
        <v>0.1959952693609559</v>
      </c>
    </row>
    <row r="1791" spans="1:23">
      <c r="A1791">
        <v>11790</v>
      </c>
      <c r="B1791" s="5">
        <v>45986</v>
      </c>
      <c r="C1791" s="5">
        <v>45988</v>
      </c>
      <c r="D1791" s="5">
        <v>45992</v>
      </c>
      <c r="E1791" t="s">
        <v>20</v>
      </c>
      <c r="F1791" t="s">
        <v>22</v>
      </c>
      <c r="G1791" t="s">
        <v>28</v>
      </c>
      <c r="H1791" t="s">
        <v>25</v>
      </c>
      <c r="I1791" t="s">
        <v>36</v>
      </c>
      <c r="J1791" t="s">
        <v>41</v>
      </c>
      <c r="K1791" t="s">
        <v>46</v>
      </c>
      <c r="L1791" t="s">
        <v>52</v>
      </c>
      <c r="M1791" s="7">
        <v>52343</v>
      </c>
      <c r="N1791">
        <v>0.12</v>
      </c>
      <c r="O1791" s="7">
        <v>1551</v>
      </c>
      <c r="P1791">
        <v>20</v>
      </c>
      <c r="Q1791" t="s">
        <v>54</v>
      </c>
      <c r="R1791" t="s">
        <v>62</v>
      </c>
      <c r="S1791">
        <f t="shared" si="135"/>
        <v>2025</v>
      </c>
      <c r="T1791" t="str">
        <f t="shared" si="136"/>
        <v>Nov</v>
      </c>
      <c r="U1791">
        <f t="shared" si="137"/>
        <v>2</v>
      </c>
      <c r="V1791">
        <f t="shared" si="138"/>
        <v>6</v>
      </c>
      <c r="W1791" s="9">
        <f t="shared" si="139"/>
        <v>2.9631469346426458E-2</v>
      </c>
    </row>
    <row r="1792" spans="1:23">
      <c r="A1792">
        <v>11791</v>
      </c>
      <c r="B1792" s="5">
        <v>45987</v>
      </c>
      <c r="C1792" s="5">
        <v>45993</v>
      </c>
      <c r="D1792" s="5">
        <v>45998</v>
      </c>
      <c r="E1792" t="s">
        <v>18</v>
      </c>
      <c r="F1792" t="s">
        <v>22</v>
      </c>
      <c r="G1792" t="s">
        <v>25</v>
      </c>
      <c r="H1792" t="s">
        <v>25</v>
      </c>
      <c r="I1792" t="s">
        <v>34</v>
      </c>
      <c r="J1792" t="s">
        <v>41</v>
      </c>
      <c r="K1792" t="s">
        <v>48</v>
      </c>
      <c r="L1792" t="s">
        <v>51</v>
      </c>
      <c r="M1792" s="7">
        <v>53259</v>
      </c>
      <c r="N1792">
        <v>0.11</v>
      </c>
      <c r="O1792" s="7">
        <v>11590</v>
      </c>
      <c r="P1792">
        <v>5</v>
      </c>
      <c r="Q1792" t="s">
        <v>56</v>
      </c>
      <c r="R1792" t="s">
        <v>62</v>
      </c>
      <c r="S1792">
        <f t="shared" si="135"/>
        <v>2025</v>
      </c>
      <c r="T1792" t="str">
        <f t="shared" si="136"/>
        <v>Nov</v>
      </c>
      <c r="U1792">
        <f t="shared" si="137"/>
        <v>6</v>
      </c>
      <c r="V1792">
        <f t="shared" si="138"/>
        <v>11</v>
      </c>
      <c r="W1792" s="9">
        <f t="shared" si="139"/>
        <v>0.21761580202407105</v>
      </c>
    </row>
    <row r="1793" spans="1:23">
      <c r="A1793">
        <v>11792</v>
      </c>
      <c r="B1793" s="5">
        <v>45988</v>
      </c>
      <c r="C1793" s="5">
        <v>45994</v>
      </c>
      <c r="D1793" s="5">
        <v>45999</v>
      </c>
      <c r="E1793" t="s">
        <v>20</v>
      </c>
      <c r="F1793" t="s">
        <v>22</v>
      </c>
      <c r="G1793" t="s">
        <v>25</v>
      </c>
      <c r="H1793" t="s">
        <v>30</v>
      </c>
      <c r="I1793" t="s">
        <v>35</v>
      </c>
      <c r="J1793" t="s">
        <v>41</v>
      </c>
      <c r="K1793" t="s">
        <v>44</v>
      </c>
      <c r="L1793" t="s">
        <v>53</v>
      </c>
      <c r="M1793" s="7">
        <v>36317</v>
      </c>
      <c r="N1793">
        <v>0.23</v>
      </c>
      <c r="O1793" s="7">
        <v>2489</v>
      </c>
      <c r="P1793">
        <v>18</v>
      </c>
      <c r="Q1793" t="s">
        <v>58</v>
      </c>
      <c r="R1793" t="s">
        <v>60</v>
      </c>
      <c r="S1793">
        <f t="shared" si="135"/>
        <v>2025</v>
      </c>
      <c r="T1793" t="str">
        <f t="shared" si="136"/>
        <v>Nov</v>
      </c>
      <c r="U1793">
        <f t="shared" si="137"/>
        <v>6</v>
      </c>
      <c r="V1793">
        <f t="shared" si="138"/>
        <v>11</v>
      </c>
      <c r="W1793" s="9">
        <f t="shared" si="139"/>
        <v>6.8535396646198746E-2</v>
      </c>
    </row>
    <row r="1794" spans="1:23">
      <c r="A1794">
        <v>11793</v>
      </c>
      <c r="B1794" s="5">
        <v>45989</v>
      </c>
      <c r="C1794" s="5">
        <v>45993</v>
      </c>
      <c r="D1794" s="5">
        <v>45996</v>
      </c>
      <c r="E1794" t="s">
        <v>20</v>
      </c>
      <c r="F1794" t="s">
        <v>22</v>
      </c>
      <c r="G1794" t="s">
        <v>27</v>
      </c>
      <c r="H1794" t="s">
        <v>32</v>
      </c>
      <c r="I1794" t="s">
        <v>35</v>
      </c>
      <c r="J1794" t="s">
        <v>41</v>
      </c>
      <c r="K1794" t="s">
        <v>46</v>
      </c>
      <c r="L1794" t="s">
        <v>51</v>
      </c>
      <c r="M1794" s="7">
        <v>30411</v>
      </c>
      <c r="N1794">
        <v>0.2</v>
      </c>
      <c r="O1794" s="7">
        <v>238</v>
      </c>
      <c r="P1794">
        <v>13</v>
      </c>
      <c r="Q1794" t="s">
        <v>55</v>
      </c>
      <c r="R1794" t="s">
        <v>59</v>
      </c>
      <c r="S1794">
        <f t="shared" si="135"/>
        <v>2025</v>
      </c>
      <c r="T1794" t="str">
        <f t="shared" si="136"/>
        <v>Nov</v>
      </c>
      <c r="U1794">
        <f t="shared" si="137"/>
        <v>4</v>
      </c>
      <c r="V1794">
        <f t="shared" si="138"/>
        <v>7</v>
      </c>
      <c r="W1794" s="9">
        <f t="shared" si="139"/>
        <v>7.8261155502943013E-3</v>
      </c>
    </row>
    <row r="1795" spans="1:23">
      <c r="A1795">
        <v>11794</v>
      </c>
      <c r="B1795" s="5">
        <v>45990</v>
      </c>
      <c r="C1795" s="5">
        <v>45992</v>
      </c>
      <c r="D1795" s="5">
        <v>45997</v>
      </c>
      <c r="E1795" t="s">
        <v>18</v>
      </c>
      <c r="F1795" t="s">
        <v>22</v>
      </c>
      <c r="G1795" t="s">
        <v>28</v>
      </c>
      <c r="H1795" t="s">
        <v>33</v>
      </c>
      <c r="I1795" t="s">
        <v>35</v>
      </c>
      <c r="J1795" t="s">
        <v>38</v>
      </c>
      <c r="K1795" t="s">
        <v>47</v>
      </c>
      <c r="L1795" t="s">
        <v>53</v>
      </c>
      <c r="M1795" s="7">
        <v>2829</v>
      </c>
      <c r="N1795">
        <v>0.24</v>
      </c>
      <c r="O1795" s="7">
        <v>15108</v>
      </c>
      <c r="P1795">
        <v>15</v>
      </c>
      <c r="Q1795" t="s">
        <v>55</v>
      </c>
      <c r="R1795" t="s">
        <v>62</v>
      </c>
      <c r="S1795">
        <f t="shared" ref="S1795:S1822" si="140">YEAR(B1795)</f>
        <v>2025</v>
      </c>
      <c r="T1795" t="str">
        <f t="shared" ref="T1795:T1822" si="141">TEXT(B1795,"mmm")</f>
        <v>Nov</v>
      </c>
      <c r="U1795">
        <f t="shared" ref="U1795:U1822" si="142">C1795-B1795</f>
        <v>2</v>
      </c>
      <c r="V1795">
        <f t="shared" ref="V1795:V1822" si="143">D1795-B1795</f>
        <v>7</v>
      </c>
      <c r="W1795" s="9">
        <f t="shared" ref="W1795:W1822" si="144">IFERROR(O1795/M1795,0)</f>
        <v>5.3404029692470836</v>
      </c>
    </row>
    <row r="1796" spans="1:23">
      <c r="A1796">
        <v>11795</v>
      </c>
      <c r="B1796" s="5">
        <v>45991</v>
      </c>
      <c r="C1796" s="5">
        <v>45993</v>
      </c>
      <c r="D1796" s="5">
        <v>45995</v>
      </c>
      <c r="E1796" t="s">
        <v>19</v>
      </c>
      <c r="F1796" t="s">
        <v>22</v>
      </c>
      <c r="G1796" t="s">
        <v>25</v>
      </c>
      <c r="H1796" t="s">
        <v>25</v>
      </c>
      <c r="I1796" t="s">
        <v>34</v>
      </c>
      <c r="J1796" t="s">
        <v>42</v>
      </c>
      <c r="K1796" t="s">
        <v>46</v>
      </c>
      <c r="L1796" t="s">
        <v>53</v>
      </c>
      <c r="M1796" s="7">
        <v>62063</v>
      </c>
      <c r="N1796">
        <v>0.15</v>
      </c>
      <c r="O1796" s="7">
        <v>193</v>
      </c>
      <c r="P1796">
        <v>1</v>
      </c>
      <c r="Q1796" t="s">
        <v>56</v>
      </c>
      <c r="R1796" t="s">
        <v>62</v>
      </c>
      <c r="S1796">
        <f t="shared" si="140"/>
        <v>2025</v>
      </c>
      <c r="T1796" t="str">
        <f t="shared" si="141"/>
        <v>Nov</v>
      </c>
      <c r="U1796">
        <f t="shared" si="142"/>
        <v>2</v>
      </c>
      <c r="V1796">
        <f t="shared" si="143"/>
        <v>4</v>
      </c>
      <c r="W1796" s="9">
        <f t="shared" si="144"/>
        <v>3.1097433253307123E-3</v>
      </c>
    </row>
    <row r="1797" spans="1:23">
      <c r="A1797">
        <v>11796</v>
      </c>
      <c r="B1797" s="5">
        <v>45992</v>
      </c>
      <c r="C1797" s="5">
        <v>45995</v>
      </c>
      <c r="D1797" s="5">
        <v>45997</v>
      </c>
      <c r="E1797" t="s">
        <v>18</v>
      </c>
      <c r="F1797" t="s">
        <v>22</v>
      </c>
      <c r="G1797" t="s">
        <v>27</v>
      </c>
      <c r="H1797" t="s">
        <v>29</v>
      </c>
      <c r="I1797" t="s">
        <v>34</v>
      </c>
      <c r="J1797" t="s">
        <v>38</v>
      </c>
      <c r="K1797" t="s">
        <v>46</v>
      </c>
      <c r="L1797" t="s">
        <v>51</v>
      </c>
      <c r="M1797" s="7">
        <v>61985</v>
      </c>
      <c r="N1797">
        <v>0.15</v>
      </c>
      <c r="O1797" s="7">
        <v>9065</v>
      </c>
      <c r="P1797">
        <v>15</v>
      </c>
      <c r="Q1797" t="s">
        <v>58</v>
      </c>
      <c r="R1797" t="s">
        <v>60</v>
      </c>
      <c r="S1797">
        <f t="shared" si="140"/>
        <v>2025</v>
      </c>
      <c r="T1797" t="str">
        <f t="shared" si="141"/>
        <v>Dec</v>
      </c>
      <c r="U1797">
        <f t="shared" si="142"/>
        <v>3</v>
      </c>
      <c r="V1797">
        <f t="shared" si="143"/>
        <v>5</v>
      </c>
      <c r="W1797" s="9">
        <f t="shared" si="144"/>
        <v>0.14624505928853754</v>
      </c>
    </row>
    <row r="1798" spans="1:23">
      <c r="A1798">
        <v>11797</v>
      </c>
      <c r="B1798" s="5">
        <v>45993</v>
      </c>
      <c r="C1798" s="5">
        <v>45997</v>
      </c>
      <c r="D1798" s="5">
        <v>46000</v>
      </c>
      <c r="E1798" t="s">
        <v>20</v>
      </c>
      <c r="F1798" t="s">
        <v>22</v>
      </c>
      <c r="G1798" t="s">
        <v>25</v>
      </c>
      <c r="H1798" t="s">
        <v>31</v>
      </c>
      <c r="I1798" t="s">
        <v>34</v>
      </c>
      <c r="J1798" t="s">
        <v>43</v>
      </c>
      <c r="K1798" t="s">
        <v>46</v>
      </c>
      <c r="L1798" t="s">
        <v>53</v>
      </c>
      <c r="M1798" s="7">
        <v>56659</v>
      </c>
      <c r="N1798">
        <v>0.02</v>
      </c>
      <c r="O1798" s="7">
        <v>3669</v>
      </c>
      <c r="P1798">
        <v>17</v>
      </c>
      <c r="Q1798" t="s">
        <v>57</v>
      </c>
      <c r="R1798" t="s">
        <v>61</v>
      </c>
      <c r="S1798">
        <f t="shared" si="140"/>
        <v>2025</v>
      </c>
      <c r="T1798" t="str">
        <f t="shared" si="141"/>
        <v>Dec</v>
      </c>
      <c r="U1798">
        <f t="shared" si="142"/>
        <v>4</v>
      </c>
      <c r="V1798">
        <f t="shared" si="143"/>
        <v>7</v>
      </c>
      <c r="W1798" s="9">
        <f t="shared" si="144"/>
        <v>6.4755819905045975E-2</v>
      </c>
    </row>
    <row r="1799" spans="1:23">
      <c r="A1799">
        <v>11798</v>
      </c>
      <c r="B1799" s="5">
        <v>45994</v>
      </c>
      <c r="C1799" s="5">
        <v>46000</v>
      </c>
      <c r="D1799" s="5">
        <v>46002</v>
      </c>
      <c r="E1799" t="s">
        <v>18</v>
      </c>
      <c r="F1799" t="s">
        <v>22</v>
      </c>
      <c r="G1799" t="s">
        <v>23</v>
      </c>
      <c r="H1799" t="s">
        <v>33</v>
      </c>
      <c r="I1799" t="s">
        <v>36</v>
      </c>
      <c r="J1799" t="s">
        <v>42</v>
      </c>
      <c r="K1799" t="s">
        <v>44</v>
      </c>
      <c r="L1799" t="s">
        <v>51</v>
      </c>
      <c r="M1799" s="7">
        <v>50244</v>
      </c>
      <c r="N1799">
        <v>0.19</v>
      </c>
      <c r="O1799" s="7">
        <v>16770</v>
      </c>
      <c r="P1799">
        <v>19</v>
      </c>
      <c r="Q1799" t="s">
        <v>57</v>
      </c>
      <c r="R1799" t="s">
        <v>59</v>
      </c>
      <c r="S1799">
        <f t="shared" si="140"/>
        <v>2025</v>
      </c>
      <c r="T1799" t="str">
        <f t="shared" si="141"/>
        <v>Dec</v>
      </c>
      <c r="U1799">
        <f t="shared" si="142"/>
        <v>6</v>
      </c>
      <c r="V1799">
        <f t="shared" si="143"/>
        <v>8</v>
      </c>
      <c r="W1799" s="9">
        <f t="shared" si="144"/>
        <v>0.33377119656078336</v>
      </c>
    </row>
    <row r="1800" spans="1:23">
      <c r="A1800">
        <v>11799</v>
      </c>
      <c r="B1800" s="5">
        <v>45995</v>
      </c>
      <c r="C1800" s="5">
        <v>46002</v>
      </c>
      <c r="D1800" s="5">
        <v>46004</v>
      </c>
      <c r="E1800" t="s">
        <v>21</v>
      </c>
      <c r="F1800" t="s">
        <v>22</v>
      </c>
      <c r="G1800" t="s">
        <v>26</v>
      </c>
      <c r="H1800" t="s">
        <v>30</v>
      </c>
      <c r="I1800" t="s">
        <v>34</v>
      </c>
      <c r="J1800" t="s">
        <v>38</v>
      </c>
      <c r="K1800" t="s">
        <v>46</v>
      </c>
      <c r="L1800" t="s">
        <v>53</v>
      </c>
      <c r="M1800" s="7">
        <v>26536</v>
      </c>
      <c r="N1800">
        <v>0.37</v>
      </c>
      <c r="O1800" s="7">
        <v>6662</v>
      </c>
      <c r="P1800">
        <v>20</v>
      </c>
      <c r="Q1800" t="s">
        <v>57</v>
      </c>
      <c r="R1800" t="s">
        <v>61</v>
      </c>
      <c r="S1800">
        <f t="shared" si="140"/>
        <v>2025</v>
      </c>
      <c r="T1800" t="str">
        <f t="shared" si="141"/>
        <v>Dec</v>
      </c>
      <c r="U1800">
        <f t="shared" si="142"/>
        <v>7</v>
      </c>
      <c r="V1800">
        <f t="shared" si="143"/>
        <v>9</v>
      </c>
      <c r="W1800" s="9">
        <f t="shared" si="144"/>
        <v>0.25105517033463975</v>
      </c>
    </row>
    <row r="1801" spans="1:23">
      <c r="A1801">
        <v>11800</v>
      </c>
      <c r="B1801" s="5">
        <v>45996</v>
      </c>
      <c r="C1801" s="5">
        <v>46002</v>
      </c>
      <c r="D1801" s="5">
        <v>46003</v>
      </c>
      <c r="E1801" t="s">
        <v>20</v>
      </c>
      <c r="F1801" t="s">
        <v>22</v>
      </c>
      <c r="G1801" t="s">
        <v>27</v>
      </c>
      <c r="H1801" t="s">
        <v>29</v>
      </c>
      <c r="I1801" t="s">
        <v>34</v>
      </c>
      <c r="J1801" t="s">
        <v>39</v>
      </c>
      <c r="K1801" t="s">
        <v>47</v>
      </c>
      <c r="L1801" t="s">
        <v>53</v>
      </c>
      <c r="M1801" s="7">
        <v>31732</v>
      </c>
      <c r="N1801">
        <v>0.2</v>
      </c>
      <c r="O1801" s="7">
        <v>5417</v>
      </c>
      <c r="P1801">
        <v>4</v>
      </c>
      <c r="Q1801" t="s">
        <v>55</v>
      </c>
      <c r="R1801" t="s">
        <v>60</v>
      </c>
      <c r="S1801">
        <f t="shared" si="140"/>
        <v>2025</v>
      </c>
      <c r="T1801" t="str">
        <f t="shared" si="141"/>
        <v>Dec</v>
      </c>
      <c r="U1801">
        <f t="shared" si="142"/>
        <v>6</v>
      </c>
      <c r="V1801">
        <f t="shared" si="143"/>
        <v>7</v>
      </c>
      <c r="W1801" s="9">
        <f t="shared" si="144"/>
        <v>0.17071095424177488</v>
      </c>
    </row>
    <row r="1802" spans="1:23">
      <c r="A1802">
        <v>11801</v>
      </c>
      <c r="B1802" s="5">
        <v>45997</v>
      </c>
      <c r="C1802" s="5">
        <v>46004</v>
      </c>
      <c r="D1802" s="5">
        <v>46007</v>
      </c>
      <c r="E1802" t="s">
        <v>19</v>
      </c>
      <c r="F1802" t="s">
        <v>22</v>
      </c>
      <c r="G1802" t="s">
        <v>28</v>
      </c>
      <c r="H1802" t="s">
        <v>32</v>
      </c>
      <c r="I1802" t="s">
        <v>34</v>
      </c>
      <c r="J1802" t="s">
        <v>40</v>
      </c>
      <c r="K1802" t="s">
        <v>46</v>
      </c>
      <c r="L1802" t="s">
        <v>51</v>
      </c>
      <c r="M1802" s="7">
        <v>21543</v>
      </c>
      <c r="N1802">
        <v>0.14000000000000001</v>
      </c>
      <c r="O1802" s="7">
        <v>10817</v>
      </c>
      <c r="P1802">
        <v>8</v>
      </c>
      <c r="Q1802" t="s">
        <v>57</v>
      </c>
      <c r="R1802" t="s">
        <v>62</v>
      </c>
      <c r="S1802">
        <f t="shared" si="140"/>
        <v>2025</v>
      </c>
      <c r="T1802" t="str">
        <f t="shared" si="141"/>
        <v>Dec</v>
      </c>
      <c r="U1802">
        <f t="shared" si="142"/>
        <v>7</v>
      </c>
      <c r="V1802">
        <f t="shared" si="143"/>
        <v>10</v>
      </c>
      <c r="W1802" s="9">
        <f t="shared" si="144"/>
        <v>0.50211205495984779</v>
      </c>
    </row>
    <row r="1803" spans="1:23">
      <c r="A1803">
        <v>11802</v>
      </c>
      <c r="B1803" s="5">
        <v>45998</v>
      </c>
      <c r="C1803" s="5">
        <v>46001</v>
      </c>
      <c r="D1803" s="5">
        <v>46003</v>
      </c>
      <c r="E1803" t="s">
        <v>18</v>
      </c>
      <c r="F1803" t="s">
        <v>22</v>
      </c>
      <c r="G1803" t="s">
        <v>23</v>
      </c>
      <c r="H1803" t="s">
        <v>25</v>
      </c>
      <c r="I1803" t="s">
        <v>34</v>
      </c>
      <c r="J1803" t="s">
        <v>39</v>
      </c>
      <c r="K1803" t="s">
        <v>44</v>
      </c>
      <c r="L1803" t="s">
        <v>51</v>
      </c>
      <c r="M1803" s="7">
        <v>9095</v>
      </c>
      <c r="N1803">
        <v>0.25</v>
      </c>
      <c r="O1803" s="7">
        <v>-1793</v>
      </c>
      <c r="P1803">
        <v>17</v>
      </c>
      <c r="Q1803" t="s">
        <v>57</v>
      </c>
      <c r="R1803" t="s">
        <v>60</v>
      </c>
      <c r="S1803">
        <f t="shared" si="140"/>
        <v>2025</v>
      </c>
      <c r="T1803" t="str">
        <f t="shared" si="141"/>
        <v>Dec</v>
      </c>
      <c r="U1803">
        <f t="shared" si="142"/>
        <v>3</v>
      </c>
      <c r="V1803">
        <f t="shared" si="143"/>
        <v>5</v>
      </c>
      <c r="W1803" s="9">
        <f t="shared" si="144"/>
        <v>-0.19714128642111051</v>
      </c>
    </row>
    <row r="1804" spans="1:23">
      <c r="A1804">
        <v>11803</v>
      </c>
      <c r="B1804" s="5">
        <v>45999</v>
      </c>
      <c r="C1804" s="5">
        <v>46005</v>
      </c>
      <c r="D1804" s="5">
        <v>46006</v>
      </c>
      <c r="E1804" t="s">
        <v>21</v>
      </c>
      <c r="F1804" t="s">
        <v>22</v>
      </c>
      <c r="G1804" t="s">
        <v>28</v>
      </c>
      <c r="H1804" t="s">
        <v>33</v>
      </c>
      <c r="I1804" t="s">
        <v>36</v>
      </c>
      <c r="J1804" t="s">
        <v>40</v>
      </c>
      <c r="K1804" t="s">
        <v>50</v>
      </c>
      <c r="L1804" t="s">
        <v>51</v>
      </c>
      <c r="M1804" s="7">
        <v>23931</v>
      </c>
      <c r="N1804">
        <v>0.25</v>
      </c>
      <c r="O1804" s="7">
        <v>15973</v>
      </c>
      <c r="P1804">
        <v>14</v>
      </c>
      <c r="Q1804" t="s">
        <v>55</v>
      </c>
      <c r="R1804" t="s">
        <v>62</v>
      </c>
      <c r="S1804">
        <f t="shared" si="140"/>
        <v>2025</v>
      </c>
      <c r="T1804" t="str">
        <f t="shared" si="141"/>
        <v>Dec</v>
      </c>
      <c r="U1804">
        <f t="shared" si="142"/>
        <v>6</v>
      </c>
      <c r="V1804">
        <f t="shared" si="143"/>
        <v>7</v>
      </c>
      <c r="W1804" s="9">
        <f t="shared" si="144"/>
        <v>0.66746061593748696</v>
      </c>
    </row>
    <row r="1805" spans="1:23">
      <c r="A1805">
        <v>11804</v>
      </c>
      <c r="B1805" s="5">
        <v>46000</v>
      </c>
      <c r="C1805" s="5">
        <v>46005</v>
      </c>
      <c r="D1805" s="5">
        <v>46007</v>
      </c>
      <c r="E1805" t="s">
        <v>21</v>
      </c>
      <c r="F1805" t="s">
        <v>22</v>
      </c>
      <c r="G1805" t="s">
        <v>24</v>
      </c>
      <c r="H1805" t="s">
        <v>33</v>
      </c>
      <c r="I1805" t="s">
        <v>35</v>
      </c>
      <c r="J1805" t="s">
        <v>42</v>
      </c>
      <c r="K1805" t="s">
        <v>44</v>
      </c>
      <c r="L1805" t="s">
        <v>52</v>
      </c>
      <c r="M1805" s="7">
        <v>2251</v>
      </c>
      <c r="N1805">
        <v>0.03</v>
      </c>
      <c r="O1805" s="7">
        <v>1985</v>
      </c>
      <c r="P1805">
        <v>8</v>
      </c>
      <c r="Q1805" t="s">
        <v>55</v>
      </c>
      <c r="R1805" t="s">
        <v>61</v>
      </c>
      <c r="S1805">
        <f t="shared" si="140"/>
        <v>2025</v>
      </c>
      <c r="T1805" t="str">
        <f t="shared" si="141"/>
        <v>Dec</v>
      </c>
      <c r="U1805">
        <f t="shared" si="142"/>
        <v>5</v>
      </c>
      <c r="V1805">
        <f t="shared" si="143"/>
        <v>7</v>
      </c>
      <c r="W1805" s="9">
        <f t="shared" si="144"/>
        <v>0.88183029764549092</v>
      </c>
    </row>
    <row r="1806" spans="1:23">
      <c r="A1806">
        <v>11805</v>
      </c>
      <c r="B1806" s="5">
        <v>46001</v>
      </c>
      <c r="C1806" s="5">
        <v>46004</v>
      </c>
      <c r="D1806" s="5">
        <v>46005</v>
      </c>
      <c r="E1806" t="s">
        <v>20</v>
      </c>
      <c r="F1806" t="s">
        <v>22</v>
      </c>
      <c r="G1806" t="s">
        <v>28</v>
      </c>
      <c r="H1806" t="s">
        <v>31</v>
      </c>
      <c r="I1806" t="s">
        <v>36</v>
      </c>
      <c r="J1806" t="s">
        <v>37</v>
      </c>
      <c r="K1806" t="s">
        <v>48</v>
      </c>
      <c r="L1806" t="s">
        <v>51</v>
      </c>
      <c r="M1806" s="7">
        <v>72005</v>
      </c>
      <c r="N1806">
        <v>0.26</v>
      </c>
      <c r="O1806" s="7">
        <v>6845</v>
      </c>
      <c r="P1806">
        <v>9</v>
      </c>
      <c r="Q1806" t="s">
        <v>54</v>
      </c>
      <c r="R1806" t="s">
        <v>61</v>
      </c>
      <c r="S1806">
        <f t="shared" si="140"/>
        <v>2025</v>
      </c>
      <c r="T1806" t="str">
        <f t="shared" si="141"/>
        <v>Dec</v>
      </c>
      <c r="U1806">
        <f t="shared" si="142"/>
        <v>3</v>
      </c>
      <c r="V1806">
        <f t="shared" si="143"/>
        <v>4</v>
      </c>
      <c r="W1806" s="9">
        <f t="shared" si="144"/>
        <v>9.5062842858134849E-2</v>
      </c>
    </row>
    <row r="1807" spans="1:23">
      <c r="A1807">
        <v>11806</v>
      </c>
      <c r="B1807" s="5">
        <v>46002</v>
      </c>
      <c r="C1807" s="5">
        <v>46009</v>
      </c>
      <c r="D1807" s="5">
        <v>46011</v>
      </c>
      <c r="E1807" t="s">
        <v>20</v>
      </c>
      <c r="F1807" t="s">
        <v>22</v>
      </c>
      <c r="G1807" t="s">
        <v>23</v>
      </c>
      <c r="H1807" t="s">
        <v>29</v>
      </c>
      <c r="I1807" t="s">
        <v>34</v>
      </c>
      <c r="J1807" t="s">
        <v>37</v>
      </c>
      <c r="K1807" t="s">
        <v>49</v>
      </c>
      <c r="L1807" t="s">
        <v>52</v>
      </c>
      <c r="M1807" s="7">
        <v>26656</v>
      </c>
      <c r="N1807">
        <v>0.08</v>
      </c>
      <c r="O1807" s="7">
        <v>3694</v>
      </c>
      <c r="P1807">
        <v>12</v>
      </c>
      <c r="Q1807" t="s">
        <v>55</v>
      </c>
      <c r="R1807" t="s">
        <v>59</v>
      </c>
      <c r="S1807">
        <f t="shared" si="140"/>
        <v>2025</v>
      </c>
      <c r="T1807" t="str">
        <f t="shared" si="141"/>
        <v>Dec</v>
      </c>
      <c r="U1807">
        <f t="shared" si="142"/>
        <v>7</v>
      </c>
      <c r="V1807">
        <f t="shared" si="143"/>
        <v>9</v>
      </c>
      <c r="W1807" s="9">
        <f t="shared" si="144"/>
        <v>0.13858043217286914</v>
      </c>
    </row>
    <row r="1808" spans="1:23">
      <c r="A1808">
        <v>11807</v>
      </c>
      <c r="B1808" s="5">
        <v>46003</v>
      </c>
      <c r="C1808" s="5">
        <v>46009</v>
      </c>
      <c r="D1808" s="5">
        <v>46011</v>
      </c>
      <c r="E1808" t="s">
        <v>18</v>
      </c>
      <c r="F1808" t="s">
        <v>22</v>
      </c>
      <c r="G1808" t="s">
        <v>27</v>
      </c>
      <c r="H1808" t="s">
        <v>33</v>
      </c>
      <c r="I1808" t="s">
        <v>35</v>
      </c>
      <c r="J1808" t="s">
        <v>42</v>
      </c>
      <c r="K1808" t="s">
        <v>46</v>
      </c>
      <c r="L1808" t="s">
        <v>52</v>
      </c>
      <c r="M1808" s="7">
        <v>46686</v>
      </c>
      <c r="N1808">
        <v>0.08</v>
      </c>
      <c r="O1808" s="7">
        <v>1627</v>
      </c>
      <c r="P1808">
        <v>11</v>
      </c>
      <c r="Q1808" t="s">
        <v>58</v>
      </c>
      <c r="R1808" t="s">
        <v>60</v>
      </c>
      <c r="S1808">
        <f t="shared" si="140"/>
        <v>2025</v>
      </c>
      <c r="T1808" t="str">
        <f t="shared" si="141"/>
        <v>Dec</v>
      </c>
      <c r="U1808">
        <f t="shared" si="142"/>
        <v>6</v>
      </c>
      <c r="V1808">
        <f t="shared" si="143"/>
        <v>8</v>
      </c>
      <c r="W1808" s="9">
        <f t="shared" si="144"/>
        <v>3.4849847920147364E-2</v>
      </c>
    </row>
    <row r="1809" spans="1:23">
      <c r="A1809">
        <v>11808</v>
      </c>
      <c r="B1809" s="5">
        <v>46004</v>
      </c>
      <c r="C1809" s="5">
        <v>46006</v>
      </c>
      <c r="D1809" s="5">
        <v>46009</v>
      </c>
      <c r="E1809" t="s">
        <v>20</v>
      </c>
      <c r="F1809" t="s">
        <v>22</v>
      </c>
      <c r="G1809" t="s">
        <v>24</v>
      </c>
      <c r="H1809" t="s">
        <v>30</v>
      </c>
      <c r="I1809" t="s">
        <v>34</v>
      </c>
      <c r="J1809" t="s">
        <v>40</v>
      </c>
      <c r="K1809" t="s">
        <v>44</v>
      </c>
      <c r="L1809" t="s">
        <v>51</v>
      </c>
      <c r="M1809" s="7">
        <v>67465</v>
      </c>
      <c r="N1809">
        <v>0.36</v>
      </c>
      <c r="O1809" s="7">
        <v>18265</v>
      </c>
      <c r="P1809">
        <v>20</v>
      </c>
      <c r="Q1809" t="s">
        <v>58</v>
      </c>
      <c r="R1809" t="s">
        <v>61</v>
      </c>
      <c r="S1809">
        <f t="shared" si="140"/>
        <v>2025</v>
      </c>
      <c r="T1809" t="str">
        <f t="shared" si="141"/>
        <v>Dec</v>
      </c>
      <c r="U1809">
        <f t="shared" si="142"/>
        <v>2</v>
      </c>
      <c r="V1809">
        <f t="shared" si="143"/>
        <v>5</v>
      </c>
      <c r="W1809" s="9">
        <f t="shared" si="144"/>
        <v>0.27073297265248647</v>
      </c>
    </row>
    <row r="1810" spans="1:23">
      <c r="A1810">
        <v>11809</v>
      </c>
      <c r="B1810" s="5">
        <v>46005</v>
      </c>
      <c r="C1810" s="5">
        <v>46011</v>
      </c>
      <c r="D1810" s="5">
        <v>46012</v>
      </c>
      <c r="E1810" t="s">
        <v>21</v>
      </c>
      <c r="F1810" t="s">
        <v>22</v>
      </c>
      <c r="G1810" t="s">
        <v>26</v>
      </c>
      <c r="H1810" t="s">
        <v>33</v>
      </c>
      <c r="I1810" t="s">
        <v>36</v>
      </c>
      <c r="J1810" t="s">
        <v>37</v>
      </c>
      <c r="K1810" t="s">
        <v>48</v>
      </c>
      <c r="L1810" t="s">
        <v>53</v>
      </c>
      <c r="M1810" s="7">
        <v>36360</v>
      </c>
      <c r="N1810">
        <v>0.28000000000000003</v>
      </c>
      <c r="O1810" s="7">
        <v>5559</v>
      </c>
      <c r="P1810">
        <v>5</v>
      </c>
      <c r="Q1810" t="s">
        <v>57</v>
      </c>
      <c r="R1810" t="s">
        <v>59</v>
      </c>
      <c r="S1810">
        <f t="shared" si="140"/>
        <v>2025</v>
      </c>
      <c r="T1810" t="str">
        <f t="shared" si="141"/>
        <v>Dec</v>
      </c>
      <c r="U1810">
        <f t="shared" si="142"/>
        <v>6</v>
      </c>
      <c r="V1810">
        <f t="shared" si="143"/>
        <v>7</v>
      </c>
      <c r="W1810" s="9">
        <f t="shared" si="144"/>
        <v>0.15288778877887788</v>
      </c>
    </row>
    <row r="1811" spans="1:23">
      <c r="A1811">
        <v>11810</v>
      </c>
      <c r="B1811" s="5">
        <v>46006</v>
      </c>
      <c r="C1811" s="5">
        <v>46009</v>
      </c>
      <c r="D1811" s="5">
        <v>46011</v>
      </c>
      <c r="E1811" t="s">
        <v>19</v>
      </c>
      <c r="F1811" t="s">
        <v>22</v>
      </c>
      <c r="G1811" t="s">
        <v>26</v>
      </c>
      <c r="H1811" t="s">
        <v>33</v>
      </c>
      <c r="I1811" t="s">
        <v>36</v>
      </c>
      <c r="J1811" t="s">
        <v>39</v>
      </c>
      <c r="K1811" t="s">
        <v>48</v>
      </c>
      <c r="L1811" t="s">
        <v>52</v>
      </c>
      <c r="M1811" s="7">
        <v>44521</v>
      </c>
      <c r="N1811">
        <v>0.24</v>
      </c>
      <c r="O1811" s="7">
        <v>9757</v>
      </c>
      <c r="P1811">
        <v>12</v>
      </c>
      <c r="Q1811" t="s">
        <v>58</v>
      </c>
      <c r="R1811" t="s">
        <v>61</v>
      </c>
      <c r="S1811">
        <f t="shared" si="140"/>
        <v>2025</v>
      </c>
      <c r="T1811" t="str">
        <f t="shared" si="141"/>
        <v>Dec</v>
      </c>
      <c r="U1811">
        <f t="shared" si="142"/>
        <v>3</v>
      </c>
      <c r="V1811">
        <f t="shared" si="143"/>
        <v>5</v>
      </c>
      <c r="W1811" s="9">
        <f t="shared" si="144"/>
        <v>0.21915500550302106</v>
      </c>
    </row>
    <row r="1812" spans="1:23">
      <c r="A1812">
        <v>11811</v>
      </c>
      <c r="B1812" s="5">
        <v>46007</v>
      </c>
      <c r="C1812" s="5">
        <v>46010</v>
      </c>
      <c r="D1812" s="5">
        <v>46012</v>
      </c>
      <c r="E1812" t="s">
        <v>21</v>
      </c>
      <c r="F1812" t="s">
        <v>22</v>
      </c>
      <c r="G1812" t="s">
        <v>25</v>
      </c>
      <c r="H1812" t="s">
        <v>31</v>
      </c>
      <c r="I1812" t="s">
        <v>35</v>
      </c>
      <c r="J1812" t="s">
        <v>43</v>
      </c>
      <c r="K1812" t="s">
        <v>47</v>
      </c>
      <c r="L1812" t="s">
        <v>51</v>
      </c>
      <c r="M1812" s="7">
        <v>69236</v>
      </c>
      <c r="N1812">
        <v>0.3</v>
      </c>
      <c r="O1812" s="7">
        <v>10831</v>
      </c>
      <c r="P1812">
        <v>3</v>
      </c>
      <c r="Q1812" t="s">
        <v>57</v>
      </c>
      <c r="R1812" t="s">
        <v>61</v>
      </c>
      <c r="S1812">
        <f t="shared" si="140"/>
        <v>2025</v>
      </c>
      <c r="T1812" t="str">
        <f t="shared" si="141"/>
        <v>Dec</v>
      </c>
      <c r="U1812">
        <f t="shared" si="142"/>
        <v>3</v>
      </c>
      <c r="V1812">
        <f t="shared" si="143"/>
        <v>5</v>
      </c>
      <c r="W1812" s="9">
        <f t="shared" si="144"/>
        <v>0.15643595817204922</v>
      </c>
    </row>
    <row r="1813" spans="1:23">
      <c r="A1813">
        <v>11812</v>
      </c>
      <c r="B1813" s="5">
        <v>46008</v>
      </c>
      <c r="C1813" s="5">
        <v>46015</v>
      </c>
      <c r="D1813" s="5">
        <v>46020</v>
      </c>
      <c r="E1813" t="s">
        <v>18</v>
      </c>
      <c r="F1813" t="s">
        <v>22</v>
      </c>
      <c r="G1813" t="s">
        <v>24</v>
      </c>
      <c r="H1813" t="s">
        <v>25</v>
      </c>
      <c r="I1813" t="s">
        <v>34</v>
      </c>
      <c r="J1813" t="s">
        <v>38</v>
      </c>
      <c r="K1813" t="s">
        <v>48</v>
      </c>
      <c r="L1813" t="s">
        <v>53</v>
      </c>
      <c r="M1813" s="7">
        <v>61722</v>
      </c>
      <c r="N1813">
        <v>0.22</v>
      </c>
      <c r="O1813" s="7">
        <v>3363</v>
      </c>
      <c r="P1813">
        <v>3</v>
      </c>
      <c r="Q1813" t="s">
        <v>54</v>
      </c>
      <c r="R1813" t="s">
        <v>60</v>
      </c>
      <c r="S1813">
        <f t="shared" si="140"/>
        <v>2025</v>
      </c>
      <c r="T1813" t="str">
        <f t="shared" si="141"/>
        <v>Dec</v>
      </c>
      <c r="U1813">
        <f t="shared" si="142"/>
        <v>7</v>
      </c>
      <c r="V1813">
        <f t="shared" si="143"/>
        <v>12</v>
      </c>
      <c r="W1813" s="9">
        <f t="shared" si="144"/>
        <v>5.4486244774958684E-2</v>
      </c>
    </row>
    <row r="1814" spans="1:23">
      <c r="A1814">
        <v>11813</v>
      </c>
      <c r="B1814" s="5">
        <v>46009</v>
      </c>
      <c r="C1814" s="5">
        <v>46016</v>
      </c>
      <c r="D1814" s="5">
        <v>46019</v>
      </c>
      <c r="E1814" t="s">
        <v>21</v>
      </c>
      <c r="F1814" t="s">
        <v>22</v>
      </c>
      <c r="G1814" t="s">
        <v>26</v>
      </c>
      <c r="H1814" t="s">
        <v>29</v>
      </c>
      <c r="I1814" t="s">
        <v>35</v>
      </c>
      <c r="J1814" t="s">
        <v>38</v>
      </c>
      <c r="K1814" t="s">
        <v>50</v>
      </c>
      <c r="L1814" t="s">
        <v>53</v>
      </c>
      <c r="M1814" s="7">
        <v>63675</v>
      </c>
      <c r="N1814">
        <v>0.26</v>
      </c>
      <c r="O1814" s="7">
        <v>14273</v>
      </c>
      <c r="P1814">
        <v>18</v>
      </c>
      <c r="Q1814" t="s">
        <v>55</v>
      </c>
      <c r="R1814" t="s">
        <v>60</v>
      </c>
      <c r="S1814">
        <f t="shared" si="140"/>
        <v>2025</v>
      </c>
      <c r="T1814" t="str">
        <f t="shared" si="141"/>
        <v>Dec</v>
      </c>
      <c r="U1814">
        <f t="shared" si="142"/>
        <v>7</v>
      </c>
      <c r="V1814">
        <f t="shared" si="143"/>
        <v>10</v>
      </c>
      <c r="W1814" s="9">
        <f t="shared" si="144"/>
        <v>0.22415390655673342</v>
      </c>
    </row>
    <row r="1815" spans="1:23">
      <c r="A1815">
        <v>11814</v>
      </c>
      <c r="B1815" s="5">
        <v>46010</v>
      </c>
      <c r="C1815" s="5">
        <v>46016</v>
      </c>
      <c r="D1815" s="5">
        <v>46017</v>
      </c>
      <c r="E1815" t="s">
        <v>20</v>
      </c>
      <c r="F1815" t="s">
        <v>22</v>
      </c>
      <c r="G1815" t="s">
        <v>23</v>
      </c>
      <c r="H1815" t="s">
        <v>32</v>
      </c>
      <c r="I1815" t="s">
        <v>36</v>
      </c>
      <c r="J1815" t="s">
        <v>43</v>
      </c>
      <c r="K1815" t="s">
        <v>48</v>
      </c>
      <c r="L1815" t="s">
        <v>53</v>
      </c>
      <c r="M1815" s="7">
        <v>31456</v>
      </c>
      <c r="N1815">
        <v>0.08</v>
      </c>
      <c r="O1815" s="7">
        <v>19935</v>
      </c>
      <c r="P1815">
        <v>1</v>
      </c>
      <c r="Q1815" t="s">
        <v>55</v>
      </c>
      <c r="R1815" t="s">
        <v>62</v>
      </c>
      <c r="S1815">
        <f t="shared" si="140"/>
        <v>2025</v>
      </c>
      <c r="T1815" t="str">
        <f t="shared" si="141"/>
        <v>Dec</v>
      </c>
      <c r="U1815">
        <f t="shared" si="142"/>
        <v>6</v>
      </c>
      <c r="V1815">
        <f t="shared" si="143"/>
        <v>7</v>
      </c>
      <c r="W1815" s="9">
        <f t="shared" si="144"/>
        <v>0.63374237029501523</v>
      </c>
    </row>
    <row r="1816" spans="1:23">
      <c r="A1816">
        <v>11815</v>
      </c>
      <c r="B1816" s="5">
        <v>46011</v>
      </c>
      <c r="C1816" s="5">
        <v>46018</v>
      </c>
      <c r="D1816" s="5">
        <v>46022</v>
      </c>
      <c r="E1816" t="s">
        <v>20</v>
      </c>
      <c r="F1816" t="s">
        <v>22</v>
      </c>
      <c r="G1816" t="s">
        <v>28</v>
      </c>
      <c r="H1816" t="s">
        <v>29</v>
      </c>
      <c r="I1816" t="s">
        <v>35</v>
      </c>
      <c r="J1816" t="s">
        <v>38</v>
      </c>
      <c r="K1816" t="s">
        <v>50</v>
      </c>
      <c r="L1816" t="s">
        <v>53</v>
      </c>
      <c r="M1816" s="7">
        <v>1492</v>
      </c>
      <c r="N1816">
        <v>0.28999999999999998</v>
      </c>
      <c r="O1816" s="7">
        <v>17217</v>
      </c>
      <c r="P1816">
        <v>7</v>
      </c>
      <c r="Q1816" t="s">
        <v>57</v>
      </c>
      <c r="R1816" t="s">
        <v>61</v>
      </c>
      <c r="S1816">
        <f t="shared" si="140"/>
        <v>2025</v>
      </c>
      <c r="T1816" t="str">
        <f t="shared" si="141"/>
        <v>Dec</v>
      </c>
      <c r="U1816">
        <f t="shared" si="142"/>
        <v>7</v>
      </c>
      <c r="V1816">
        <f t="shared" si="143"/>
        <v>11</v>
      </c>
      <c r="W1816" s="9">
        <f>IFERROR(O1816/M1816,0)</f>
        <v>11.539544235924932</v>
      </c>
    </row>
    <row r="1817" spans="1:23">
      <c r="A1817">
        <v>11816</v>
      </c>
      <c r="B1817" s="5">
        <v>46012</v>
      </c>
      <c r="C1817" s="5">
        <v>46017</v>
      </c>
      <c r="D1817" s="5">
        <v>46020</v>
      </c>
      <c r="E1817" t="s">
        <v>18</v>
      </c>
      <c r="F1817" t="s">
        <v>22</v>
      </c>
      <c r="G1817" t="s">
        <v>24</v>
      </c>
      <c r="H1817" t="s">
        <v>25</v>
      </c>
      <c r="I1817" t="s">
        <v>36</v>
      </c>
      <c r="J1817" t="s">
        <v>40</v>
      </c>
      <c r="K1817" t="s">
        <v>50</v>
      </c>
      <c r="L1817" t="s">
        <v>51</v>
      </c>
      <c r="M1817" s="7">
        <v>53811</v>
      </c>
      <c r="N1817">
        <v>0.28999999999999998</v>
      </c>
      <c r="O1817" s="7">
        <v>17412</v>
      </c>
      <c r="P1817">
        <v>24</v>
      </c>
      <c r="Q1817" t="s">
        <v>57</v>
      </c>
      <c r="R1817" t="s">
        <v>60</v>
      </c>
      <c r="S1817">
        <f t="shared" si="140"/>
        <v>2025</v>
      </c>
      <c r="T1817" t="str">
        <f t="shared" si="141"/>
        <v>Dec</v>
      </c>
      <c r="U1817">
        <f t="shared" si="142"/>
        <v>5</v>
      </c>
      <c r="V1817">
        <f t="shared" si="143"/>
        <v>8</v>
      </c>
      <c r="W1817" s="9">
        <f t="shared" si="144"/>
        <v>0.32357696381780676</v>
      </c>
    </row>
    <row r="1818" spans="1:23">
      <c r="A1818">
        <v>11817</v>
      </c>
      <c r="B1818" s="5">
        <v>46013</v>
      </c>
      <c r="C1818" s="5">
        <v>46019</v>
      </c>
      <c r="D1818" s="5">
        <v>46021</v>
      </c>
      <c r="E1818" t="s">
        <v>19</v>
      </c>
      <c r="F1818" t="s">
        <v>22</v>
      </c>
      <c r="G1818" t="s">
        <v>26</v>
      </c>
      <c r="H1818" t="s">
        <v>29</v>
      </c>
      <c r="I1818" t="s">
        <v>34</v>
      </c>
      <c r="J1818" t="s">
        <v>37</v>
      </c>
      <c r="K1818" t="s">
        <v>44</v>
      </c>
      <c r="L1818" t="s">
        <v>52</v>
      </c>
      <c r="M1818" s="7">
        <v>34072</v>
      </c>
      <c r="N1818">
        <v>0.2</v>
      </c>
      <c r="O1818" s="7">
        <v>1293</v>
      </c>
      <c r="P1818">
        <v>3</v>
      </c>
      <c r="Q1818" t="s">
        <v>57</v>
      </c>
      <c r="R1818" t="s">
        <v>62</v>
      </c>
      <c r="S1818">
        <f t="shared" si="140"/>
        <v>2025</v>
      </c>
      <c r="T1818" t="str">
        <f t="shared" si="141"/>
        <v>Dec</v>
      </c>
      <c r="U1818">
        <f t="shared" si="142"/>
        <v>6</v>
      </c>
      <c r="V1818">
        <f t="shared" si="143"/>
        <v>8</v>
      </c>
      <c r="W1818" s="9">
        <f t="shared" si="144"/>
        <v>3.7949049072552241E-2</v>
      </c>
    </row>
    <row r="1819" spans="1:23">
      <c r="A1819">
        <v>11818</v>
      </c>
      <c r="B1819" s="5">
        <v>46014</v>
      </c>
      <c r="C1819" s="5">
        <v>46020</v>
      </c>
      <c r="D1819" s="5">
        <v>46021</v>
      </c>
      <c r="E1819" t="s">
        <v>18</v>
      </c>
      <c r="F1819" t="s">
        <v>22</v>
      </c>
      <c r="G1819" t="s">
        <v>28</v>
      </c>
      <c r="H1819" t="s">
        <v>29</v>
      </c>
      <c r="I1819" t="s">
        <v>34</v>
      </c>
      <c r="J1819" t="s">
        <v>42</v>
      </c>
      <c r="K1819" t="s">
        <v>48</v>
      </c>
      <c r="L1819" t="s">
        <v>51</v>
      </c>
      <c r="M1819" s="7">
        <v>46531</v>
      </c>
      <c r="N1819">
        <v>0.28999999999999998</v>
      </c>
      <c r="O1819" s="7">
        <v>-1499</v>
      </c>
      <c r="P1819">
        <v>24</v>
      </c>
      <c r="Q1819" t="s">
        <v>54</v>
      </c>
      <c r="R1819" t="s">
        <v>61</v>
      </c>
      <c r="S1819">
        <f t="shared" si="140"/>
        <v>2025</v>
      </c>
      <c r="T1819" t="str">
        <f t="shared" si="141"/>
        <v>Dec</v>
      </c>
      <c r="U1819">
        <f t="shared" si="142"/>
        <v>6</v>
      </c>
      <c r="V1819">
        <f t="shared" si="143"/>
        <v>7</v>
      </c>
      <c r="W1819" s="9">
        <f t="shared" si="144"/>
        <v>-3.2215082418172829E-2</v>
      </c>
    </row>
    <row r="1820" spans="1:23">
      <c r="A1820">
        <v>11819</v>
      </c>
      <c r="B1820" s="5">
        <v>46015</v>
      </c>
      <c r="C1820" s="5">
        <v>46019</v>
      </c>
      <c r="D1820" s="5">
        <v>46021</v>
      </c>
      <c r="E1820" t="s">
        <v>20</v>
      </c>
      <c r="F1820" t="s">
        <v>22</v>
      </c>
      <c r="G1820" t="s">
        <v>28</v>
      </c>
      <c r="H1820" t="s">
        <v>31</v>
      </c>
      <c r="I1820" t="s">
        <v>35</v>
      </c>
      <c r="J1820" t="s">
        <v>38</v>
      </c>
      <c r="K1820" t="s">
        <v>49</v>
      </c>
      <c r="L1820" t="s">
        <v>53</v>
      </c>
      <c r="M1820" s="7">
        <v>64598</v>
      </c>
      <c r="N1820">
        <v>0.15</v>
      </c>
      <c r="O1820" s="7">
        <v>1471</v>
      </c>
      <c r="P1820">
        <v>18</v>
      </c>
      <c r="Q1820" t="s">
        <v>55</v>
      </c>
      <c r="R1820" t="s">
        <v>61</v>
      </c>
      <c r="S1820">
        <f t="shared" si="140"/>
        <v>2025</v>
      </c>
      <c r="T1820" t="str">
        <f t="shared" si="141"/>
        <v>Dec</v>
      </c>
      <c r="U1820">
        <f t="shared" si="142"/>
        <v>4</v>
      </c>
      <c r="V1820">
        <f t="shared" si="143"/>
        <v>6</v>
      </c>
      <c r="W1820" s="9">
        <f t="shared" si="144"/>
        <v>2.2771602836001114E-2</v>
      </c>
    </row>
    <row r="1821" spans="1:23">
      <c r="A1821">
        <v>11820</v>
      </c>
      <c r="B1821" s="5">
        <v>46016</v>
      </c>
      <c r="C1821" s="5">
        <v>46018</v>
      </c>
      <c r="D1821" s="5">
        <v>46020</v>
      </c>
      <c r="E1821" t="s">
        <v>18</v>
      </c>
      <c r="F1821" t="s">
        <v>22</v>
      </c>
      <c r="G1821" t="s">
        <v>23</v>
      </c>
      <c r="H1821" t="s">
        <v>29</v>
      </c>
      <c r="I1821" t="s">
        <v>35</v>
      </c>
      <c r="J1821" t="s">
        <v>38</v>
      </c>
      <c r="K1821" t="s">
        <v>45</v>
      </c>
      <c r="L1821" t="s">
        <v>53</v>
      </c>
      <c r="M1821" s="7">
        <v>32908</v>
      </c>
      <c r="N1821">
        <v>0.04</v>
      </c>
      <c r="O1821" s="7">
        <v>4427</v>
      </c>
      <c r="P1821">
        <v>12</v>
      </c>
      <c r="Q1821" t="s">
        <v>55</v>
      </c>
      <c r="R1821" t="s">
        <v>62</v>
      </c>
      <c r="S1821">
        <f t="shared" si="140"/>
        <v>2025</v>
      </c>
      <c r="T1821" t="str">
        <f t="shared" si="141"/>
        <v>Dec</v>
      </c>
      <c r="U1821">
        <f t="shared" si="142"/>
        <v>2</v>
      </c>
      <c r="V1821">
        <f t="shared" si="143"/>
        <v>4</v>
      </c>
      <c r="W1821" s="9">
        <f t="shared" si="144"/>
        <v>0.13452655889145496</v>
      </c>
    </row>
    <row r="1822" spans="1:23">
      <c r="A1822">
        <v>11821</v>
      </c>
      <c r="B1822" s="5">
        <v>46017</v>
      </c>
      <c r="C1822" s="5">
        <v>46021</v>
      </c>
      <c r="D1822" s="5">
        <v>46025</v>
      </c>
      <c r="E1822" t="s">
        <v>19</v>
      </c>
      <c r="F1822" t="s">
        <v>22</v>
      </c>
      <c r="G1822" t="s">
        <v>28</v>
      </c>
      <c r="H1822" t="s">
        <v>32</v>
      </c>
      <c r="I1822" t="s">
        <v>34</v>
      </c>
      <c r="J1822" t="s">
        <v>40</v>
      </c>
      <c r="K1822" t="s">
        <v>48</v>
      </c>
      <c r="L1822" t="s">
        <v>51</v>
      </c>
      <c r="M1822" s="7">
        <v>12451</v>
      </c>
      <c r="N1822">
        <v>0.39</v>
      </c>
      <c r="O1822" s="7">
        <v>9244</v>
      </c>
      <c r="P1822">
        <v>11</v>
      </c>
      <c r="Q1822" t="s">
        <v>58</v>
      </c>
      <c r="R1822" t="s">
        <v>61</v>
      </c>
      <c r="S1822">
        <f t="shared" si="140"/>
        <v>2025</v>
      </c>
      <c r="T1822" t="str">
        <f t="shared" si="141"/>
        <v>Dec</v>
      </c>
      <c r="U1822">
        <f t="shared" si="142"/>
        <v>4</v>
      </c>
      <c r="V1822">
        <f t="shared" si="143"/>
        <v>8</v>
      </c>
      <c r="W1822" s="9">
        <f t="shared" si="144"/>
        <v>0.742430326881375</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A1BF8-4763-4C84-B2C6-D63AC7F95968}">
  <dimension ref="A1:P54"/>
  <sheetViews>
    <sheetView zoomScale="78" workbookViewId="0">
      <selection activeCell="B43" sqref="B43"/>
    </sheetView>
  </sheetViews>
  <sheetFormatPr defaultRowHeight="14.4"/>
  <cols>
    <col min="1" max="1" width="13.21875" bestFit="1" customWidth="1"/>
    <col min="2" max="2" width="14.77734375" bestFit="1" customWidth="1"/>
    <col min="3" max="3" width="12.109375" bestFit="1" customWidth="1"/>
    <col min="4" max="4" width="18.77734375" bestFit="1" customWidth="1"/>
    <col min="5" max="5" width="18.88671875" bestFit="1" customWidth="1"/>
    <col min="14" max="14" width="11.6640625" bestFit="1" customWidth="1"/>
    <col min="15" max="15" width="12.109375" bestFit="1" customWidth="1"/>
  </cols>
  <sheetData>
    <row r="1" spans="1:16">
      <c r="A1" s="10" t="s">
        <v>68</v>
      </c>
      <c r="B1" t="s">
        <v>70</v>
      </c>
      <c r="C1" t="s">
        <v>71</v>
      </c>
      <c r="D1" t="s">
        <v>72</v>
      </c>
      <c r="E1" s="10"/>
      <c r="F1" s="10"/>
      <c r="G1" s="10"/>
      <c r="H1" s="10"/>
      <c r="I1" s="10"/>
      <c r="J1" s="10"/>
      <c r="K1" s="10"/>
      <c r="L1" s="10"/>
      <c r="M1" s="10"/>
      <c r="N1" s="10"/>
      <c r="O1" s="10"/>
      <c r="P1" s="10"/>
    </row>
    <row r="2" spans="1:16">
      <c r="A2" s="11" t="s">
        <v>21</v>
      </c>
      <c r="B2" s="7">
        <v>16352629</v>
      </c>
      <c r="C2" s="12">
        <v>3723311</v>
      </c>
      <c r="D2" s="7">
        <v>0.22768883217493652</v>
      </c>
    </row>
    <row r="3" spans="1:16">
      <c r="A3" s="11" t="s">
        <v>19</v>
      </c>
      <c r="B3" s="7">
        <v>17972987</v>
      </c>
      <c r="C3" s="12">
        <v>4282940</v>
      </c>
      <c r="D3" s="7">
        <v>0.23829873131271948</v>
      </c>
    </row>
    <row r="4" spans="1:16">
      <c r="A4" s="11" t="s">
        <v>20</v>
      </c>
      <c r="B4" s="7">
        <v>16209153</v>
      </c>
      <c r="C4" s="12">
        <v>4215736</v>
      </c>
      <c r="D4" s="7">
        <v>0.26008367001039473</v>
      </c>
    </row>
    <row r="5" spans="1:16">
      <c r="A5" s="11" t="s">
        <v>18</v>
      </c>
      <c r="B5" s="7">
        <v>17499731</v>
      </c>
      <c r="C5" s="12">
        <v>3685325</v>
      </c>
      <c r="D5" s="7">
        <v>0.21059323711890199</v>
      </c>
    </row>
    <row r="6" spans="1:16">
      <c r="A6" s="11" t="s">
        <v>69</v>
      </c>
      <c r="B6" s="7">
        <v>68034500</v>
      </c>
      <c r="C6" s="12">
        <v>15907312</v>
      </c>
      <c r="D6" s="7">
        <v>0.23381243339776142</v>
      </c>
    </row>
    <row r="20" spans="1:2">
      <c r="A20" s="10" t="s">
        <v>68</v>
      </c>
      <c r="B20" t="s">
        <v>70</v>
      </c>
    </row>
    <row r="21" spans="1:2">
      <c r="A21" s="11" t="s">
        <v>73</v>
      </c>
      <c r="B21" s="7">
        <v>5779130</v>
      </c>
    </row>
    <row r="22" spans="1:2">
      <c r="A22" s="11" t="s">
        <v>74</v>
      </c>
      <c r="B22" s="7">
        <v>5075046</v>
      </c>
    </row>
    <row r="23" spans="1:2">
      <c r="A23" s="11" t="s">
        <v>75</v>
      </c>
      <c r="B23" s="7">
        <v>5932464</v>
      </c>
    </row>
    <row r="24" spans="1:2">
      <c r="A24" s="11" t="s">
        <v>76</v>
      </c>
      <c r="B24" s="7">
        <v>5065205</v>
      </c>
    </row>
    <row r="25" spans="1:2">
      <c r="A25" s="11" t="s">
        <v>77</v>
      </c>
      <c r="B25" s="7">
        <v>5959189</v>
      </c>
    </row>
    <row r="26" spans="1:2">
      <c r="A26" s="11" t="s">
        <v>78</v>
      </c>
      <c r="B26" s="7">
        <v>5929863</v>
      </c>
    </row>
    <row r="27" spans="1:2">
      <c r="A27" s="11" t="s">
        <v>79</v>
      </c>
      <c r="B27" s="7">
        <v>5579491</v>
      </c>
    </row>
    <row r="28" spans="1:2">
      <c r="A28" s="11" t="s">
        <v>80</v>
      </c>
      <c r="B28" s="7">
        <v>5875782</v>
      </c>
    </row>
    <row r="29" spans="1:2">
      <c r="A29" s="11" t="s">
        <v>81</v>
      </c>
      <c r="B29" s="7">
        <v>5509149</v>
      </c>
    </row>
    <row r="30" spans="1:2">
      <c r="A30" s="11" t="s">
        <v>82</v>
      </c>
      <c r="B30" s="7">
        <v>6040865</v>
      </c>
    </row>
    <row r="31" spans="1:2">
      <c r="A31" s="11" t="s">
        <v>83</v>
      </c>
      <c r="B31" s="7">
        <v>5749556</v>
      </c>
    </row>
    <row r="32" spans="1:2">
      <c r="A32" s="11" t="s">
        <v>84</v>
      </c>
      <c r="B32" s="7">
        <v>5538760</v>
      </c>
    </row>
    <row r="33" spans="1:4">
      <c r="A33" s="11" t="s">
        <v>69</v>
      </c>
      <c r="B33" s="7">
        <v>68034500</v>
      </c>
    </row>
    <row r="38" spans="1:4">
      <c r="A38" s="10" t="s">
        <v>68</v>
      </c>
      <c r="B38" t="s">
        <v>70</v>
      </c>
      <c r="C38" t="s">
        <v>71</v>
      </c>
      <c r="D38" s="10"/>
    </row>
    <row r="39" spans="1:4">
      <c r="A39" s="11" t="s">
        <v>36</v>
      </c>
      <c r="B39" s="7">
        <v>22869774</v>
      </c>
      <c r="C39" s="12">
        <v>5391261</v>
      </c>
    </row>
    <row r="40" spans="1:4">
      <c r="A40" s="11" t="s">
        <v>34</v>
      </c>
      <c r="B40" s="7">
        <v>22246691</v>
      </c>
      <c r="C40" s="12">
        <v>5205281</v>
      </c>
    </row>
    <row r="41" spans="1:4">
      <c r="A41" s="11" t="s">
        <v>35</v>
      </c>
      <c r="B41" s="7">
        <v>22918035</v>
      </c>
      <c r="C41" s="12">
        <v>5310770</v>
      </c>
    </row>
    <row r="42" spans="1:4">
      <c r="A42" s="11" t="s">
        <v>69</v>
      </c>
      <c r="B42" s="7">
        <v>68034500</v>
      </c>
      <c r="C42" s="12">
        <v>15907312</v>
      </c>
    </row>
    <row r="53" spans="1:5">
      <c r="A53" t="s">
        <v>70</v>
      </c>
      <c r="B53" t="s">
        <v>71</v>
      </c>
      <c r="C53" t="s">
        <v>72</v>
      </c>
      <c r="D53" t="s">
        <v>91</v>
      </c>
      <c r="E53" t="s">
        <v>92</v>
      </c>
    </row>
    <row r="54" spans="1:5">
      <c r="A54" s="7">
        <v>68034500</v>
      </c>
      <c r="B54" s="12">
        <v>15907312</v>
      </c>
      <c r="C54" s="7">
        <v>0.23381243339776142</v>
      </c>
      <c r="D54" s="12">
        <v>19868931</v>
      </c>
      <c r="E54" s="12">
        <v>13630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55841-2AB9-414B-98A5-1BC7410888DC}">
  <dimension ref="A1:B7"/>
  <sheetViews>
    <sheetView workbookViewId="0">
      <selection activeCell="D7" sqref="D7"/>
    </sheetView>
  </sheetViews>
  <sheetFormatPr defaultRowHeight="14.4"/>
  <cols>
    <col min="1" max="1" width="26.6640625" customWidth="1"/>
    <col min="2" max="2" width="15.109375" bestFit="1" customWidth="1"/>
  </cols>
  <sheetData>
    <row r="1" spans="1:2" ht="23.4">
      <c r="A1" s="13" t="s">
        <v>85</v>
      </c>
    </row>
    <row r="3" spans="1:2">
      <c r="A3" t="s">
        <v>86</v>
      </c>
      <c r="B3" s="7">
        <f>GETPIVOTDATA("Sum of Sales",'Pivot _analysis'!$A$53)</f>
        <v>68034500</v>
      </c>
    </row>
    <row r="4" spans="1:2">
      <c r="A4" t="s">
        <v>87</v>
      </c>
      <c r="B4" s="7">
        <f>GETPIVOTDATA("Sum of Profit",'Pivot _analysis'!$A$53)</f>
        <v>15907312</v>
      </c>
    </row>
    <row r="5" spans="1:2">
      <c r="A5" t="s">
        <v>88</v>
      </c>
      <c r="B5" s="9">
        <f>GETPIVOTDATA("Sum of Profit Margin",'Pivot _analysis'!$A$53)</f>
        <v>0.23381243339776142</v>
      </c>
    </row>
    <row r="6" spans="1:2">
      <c r="A6" t="s">
        <v>89</v>
      </c>
      <c r="B6" s="14">
        <f>GETPIVOTDATA("Sum of OrderID",'Pivot _analysis'!$A$53)</f>
        <v>19868931</v>
      </c>
    </row>
    <row r="7" spans="1:2">
      <c r="A7" t="s">
        <v>90</v>
      </c>
      <c r="B7" s="15">
        <f>GETPIVOTDATA("Sum of Delivery Days",'Pivot _analysis'!$A$53)</f>
        <v>13630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EEB93-D937-47DF-87BF-AF2988F2E824}">
  <sheetPr>
    <tabColor theme="5" tint="0.39997558519241921"/>
  </sheetPr>
  <dimension ref="A2:C11"/>
  <sheetViews>
    <sheetView showGridLines="0" tabSelected="1" workbookViewId="0">
      <selection activeCell="T6" sqref="T6"/>
    </sheetView>
  </sheetViews>
  <sheetFormatPr defaultRowHeight="14.4"/>
  <cols>
    <col min="1" max="1" width="15.33203125" style="16" customWidth="1"/>
    <col min="2" max="2" width="16.5546875" style="16" customWidth="1"/>
    <col min="3" max="16384" width="8.88671875" style="16"/>
  </cols>
  <sheetData>
    <row r="2" spans="1:3">
      <c r="C2" s="16" t="s">
        <v>93</v>
      </c>
    </row>
    <row r="5" spans="1:3">
      <c r="A5" s="21"/>
      <c r="B5" s="17"/>
    </row>
    <row r="6" spans="1:3">
      <c r="B6" s="17"/>
    </row>
    <row r="7" spans="1:3">
      <c r="B7" s="18"/>
    </row>
    <row r="8" spans="1:3">
      <c r="B8" s="19"/>
    </row>
    <row r="9" spans="1:3">
      <c r="B9" s="20"/>
    </row>
    <row r="11" spans="1:3">
      <c r="A11"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Cleaned Data</vt:lpstr>
      <vt:lpstr>Pivot _analysis</vt:lpstr>
      <vt:lpstr>KPI Summary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SELVABHARATHI</cp:lastModifiedBy>
  <dcterms:created xsi:type="dcterms:W3CDTF">2026-01-20T13:56:29Z</dcterms:created>
  <dcterms:modified xsi:type="dcterms:W3CDTF">2026-01-21T14:48:06Z</dcterms:modified>
</cp:coreProperties>
</file>